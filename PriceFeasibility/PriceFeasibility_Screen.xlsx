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Data" sheetId="3" state="visible" r:id="rId3"/>
  </sheets>
  <definedNames>
    <definedName name="in_iso">Screen!$C$5</definedName>
    <definedName name="in_f1">Screen!$C$8</definedName>
    <definedName name="in_f2">Screen!$C$9</definedName>
    <definedName name="in_f3">Screen!$C$10</definedName>
    <definedName name="in_rebate">Screen!$C$11</definedName>
    <definedName name="in_cap">Screen!$C$12</definedName>
    <definedName name="in_tstep">Screen!$C$15</definedName>
    <definedName name="in_fstep">Screen!$C$16</definedName>
    <definedName name="in_elas">Screen!$C$19</definedName>
    <definedName name="in_kappa">Screen!$C$20</definedName>
    <definedName name="in_rise_lo">Screen!$C$21</definedName>
    <definedName name="in_rise_hi">Screen!$C$22</definedName>
    <definedName name="in_rise_miss">Screen!$C$23</definedName>
    <definedName name="in_gas_rep">Screen!$C$24</definedName>
    <definedName name="in_sw_floor">Screen!$C$25</definedName>
    <definedName name="in_sw_miss">Screen!$C$26</definedName>
    <definedName name="in_hr_coal">Screen!$C$27</definedName>
    <definedName name="in_hr_gas">Screen!$C$28</definedName>
    <definedName name="in_whole_sh">Screen!$C$29</definedName>
    <definedName name="in_res_sh">Screen!$C$30</definedName>
    <definedName name="in_q40">Screen!$C$31</definedName>
    <definedName name="in_phase">Screen!$C$32</definedName>
    <definedName name="in_pt3">Screen!$C$33</definedName>
    <definedName name="in_pt2">Screen!$C$34</definedName>
    <definedName name="in_pt1">Screen!$C$35</definedName>
    <definedName name="in_pt_hi">Screen!$C$36</definedName>
    <definedName name="in_pt_oth">Screen!$C$37</definedName>
    <definedName name="in_b40_li">Screen!$C$38</definedName>
    <definedName name="in_b40_lmi">Screen!$C$39</definedName>
    <definedName name="in_b40_umi">Screen!$C$40</definedName>
    <definedName name="in_b40_hi">Screen!$C$41</definedName>
    <definedName name="sel_row">Screen!$H$5</definedName>
    <definedName name="_xlnm._FilterDatabase" localSheetId="1" hidden="1">'Countries'!$A$4:$BW$174</definedName>
    <definedName name="_xlnm._FilterDatabase" localSheetId="2" hidden="1">'Data'!$A$1:$I$2927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E1B2A"/>
      <sz val="16"/>
    </font>
    <font>
      <name val="Arial"/>
      <i val="1"/>
      <color rgb="005A6B7B"/>
      <sz val="10"/>
    </font>
    <font>
      <name val="Arial"/>
      <b val="1"/>
      <color rgb="00C05621"/>
      <sz val="10"/>
    </font>
    <font>
      <name val="Arial"/>
      <b val="1"/>
      <sz val="11"/>
    </font>
    <font>
      <name val="Arial"/>
      <i val="1"/>
      <color rgb="005A6B7B"/>
      <sz val="8"/>
    </font>
    <font>
      <name val="Arial"/>
      <b val="1"/>
      <color rgb="000E1B2A"/>
      <sz val="12"/>
    </font>
    <font>
      <name val="Arial"/>
      <i val="1"/>
      <color rgb="005A6B7B"/>
      <sz val="9"/>
    </font>
    <font>
      <name val="Arial"/>
      <b val="1"/>
      <color rgb="00C05621"/>
      <sz val="8"/>
    </font>
    <font>
      <name val="Arial"/>
      <color rgb="005A6B7B"/>
      <sz val="8"/>
    </font>
    <font>
      <name val="Arial"/>
      <b val="1"/>
      <sz val="9"/>
    </font>
    <font>
      <name val="Arial"/>
      <b val="1"/>
      <color rgb="000E1B2A"/>
      <sz val="9"/>
    </font>
    <font>
      <name val="Arial"/>
      <b val="1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2CC"/>
      </patternFill>
    </fill>
    <fill>
      <patternFill patternType="solid">
        <fgColor rgb="00F0F3F5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11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2" fillId="3" borderId="1" pivotButton="0" quotePrefix="0" xfId="0"/>
    <xf numFmtId="0" fontId="7" fillId="0" borderId="0" pivotButton="0" quotePrefix="0" xfId="0"/>
    <xf numFmtId="49" fontId="12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2" fontId="12" fillId="0" borderId="0" pivotButton="0" quotePrefix="0" xfId="0"/>
    <xf numFmtId="0" fontId="1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49" fontId="2" fillId="0" borderId="0" pivotButton="0" quotePrefix="0" xfId="0"/>
    <xf numFmtId="0" fontId="13" fillId="0" borderId="0" pivotButton="0" quotePrefix="0" xfId="0"/>
    <xf numFmtId="0" fontId="14" fillId="2" borderId="0" pivotButton="0" quotePrefix="0" xfId="0"/>
    <xf numFmtId="1" fontId="14" fillId="2" borderId="0" pivotButton="0" quotePrefix="0" xfId="0"/>
    <xf numFmtId="164" fontId="2" fillId="0" borderId="1" applyAlignment="1" pivotButton="0" quotePrefix="0" xfId="0">
      <alignment horizontal="center"/>
    </xf>
    <xf numFmtId="0" fontId="11" fillId="0" borderId="0" applyAlignment="1" pivotButton="0" quotePrefix="0" xfId="0">
      <alignment vertical="top" wrapText="1"/>
    </xf>
    <xf numFmtId="165" fontId="11" fillId="0" borderId="0" pivotButton="0" quotePrefix="0" xfId="0"/>
    <xf numFmtId="2" fontId="1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2" fontId="2" fillId="4" borderId="0" pivotButton="0" quotePrefix="0" xfId="0"/>
    <xf numFmtId="164" fontId="2" fillId="4" borderId="0" pivotButton="0" quotePrefix="0" xfId="0"/>
    <xf numFmtId="49" fontId="2" fillId="4" borderId="0" pivotButton="0" quotePrefix="0" xfId="0"/>
  </cellXfs>
  <cellStyles count="1">
    <cellStyle name="Normal" xfId="0" builtinId="0" hidden="0"/>
  </cellStyles>
  <dxfs count="3">
    <dxf>
      <font>
        <b val="1"/>
      </font>
      <fill>
        <patternFill patternType="solid">
          <fgColor rgb="00CDE8D2"/>
          <bgColor rgb="00CDE8D2"/>
        </patternFill>
      </fill>
      <border>
        <left style="medium">
          <color rgb="000E1B2A"/>
        </left>
        <right style="medium">
          <color rgb="000E1B2A"/>
        </right>
        <top style="medium">
          <color rgb="000E1B2A"/>
        </top>
        <bottom style="medium">
          <color rgb="000E1B2A"/>
        </bottom>
      </border>
    </dxf>
    <dxf>
      <fill>
        <patternFill patternType="solid">
          <fgColor rgb="00CDE8D2"/>
          <bgColor rgb="00CDE8D2"/>
        </patternFill>
      </fill>
    </dxf>
    <dxf>
      <font>
        <color rgb="009A9A9A"/>
      </font>
      <fill>
        <patternFill patternType="solid">
          <fgColor rgb="00EEEEEE"/>
          <b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R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6" customWidth="1" min="2" max="2"/>
    <col width="10" customWidth="1" min="3" max="3"/>
    <col width="26" customWidth="1" min="4" max="4"/>
    <col width="3" customWidth="1" min="5" max="5"/>
    <col width="3" customWidth="1" min="6" max="6"/>
    <col width="30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>
      <c r="B2" s="1" t="inlineStr">
        <is>
          <t>Carbon tax vs feebate: feasibility screen (power sector)</t>
        </is>
      </c>
    </row>
    <row r="3">
      <c r="B3" s="2" t="inlineStr">
        <is>
          <t>Most abatement each instrument gets without breaking three political limits. Yellow cells are inputs. Screening only: priors are placeholders, see notes below.</t>
        </is>
      </c>
    </row>
    <row r="5">
      <c r="B5" s="3" t="inlineStr">
        <is>
          <t>Country (ISO3)</t>
        </is>
      </c>
      <c r="C5" s="4" t="inlineStr">
        <is>
          <t>ZAF</t>
        </is>
      </c>
      <c r="G5" s="5" t="inlineStr">
        <is>
          <t>Row in Countries</t>
        </is>
      </c>
      <c r="H5" s="5">
        <f>MATCH(in_iso,Countries!$A$1:$A$174,0)</f>
        <v/>
      </c>
    </row>
    <row r="7">
      <c r="B7" s="6" t="inlineStr">
        <is>
          <t>Political limits</t>
        </is>
      </c>
      <c r="C7" s="6" t="inlineStr">
        <is>
          <t>Value</t>
        </is>
      </c>
      <c r="D7" s="6" t="inlineStr">
        <is>
          <t>Note</t>
        </is>
      </c>
      <c r="G7" s="6" t="inlineStr">
        <is>
          <t>Selected country</t>
        </is>
      </c>
      <c r="H7" s="6" t="inlineStr"/>
    </row>
    <row r="8">
      <c r="B8" s="7" t="inlineStr">
        <is>
          <t>F1 max tariff rise (%)</t>
        </is>
      </c>
      <c r="C8" s="8" t="n">
        <v>10</v>
      </c>
      <c r="D8" s="9" t="inlineStr">
        <is>
          <t>First-year rise in residential tariff</t>
        </is>
      </c>
      <c r="G8" s="7" t="inlineStr">
        <is>
          <t>Country</t>
        </is>
      </c>
      <c r="H8" s="10">
        <f>INDEX(Countries!$B$1:$B$174,sel_row)</f>
        <v/>
      </c>
    </row>
    <row r="9">
      <c r="B9" s="7" t="inlineStr">
        <is>
          <t>F2 max bottom-40% burden (% of consumption)</t>
        </is>
      </c>
      <c r="C9" s="8" t="n">
        <v>0.5</v>
      </c>
      <c r="D9" s="9" t="inlineStr">
        <is>
          <t>Net of rebate</t>
        </is>
      </c>
      <c r="G9" s="7" t="inlineStr">
        <is>
          <t>Income</t>
        </is>
      </c>
      <c r="H9" s="10">
        <f>INDEX(Countries!$C$1:$C$174,sel_row)</f>
        <v/>
      </c>
    </row>
    <row r="10">
      <c r="B10" s="7" t="inlineStr">
        <is>
          <t>F3 max coal/oil generator payment (% of revenue)</t>
        </is>
      </c>
      <c r="C10" s="8" t="n">
        <v>15</v>
      </c>
      <c r="D10" s="9" t="inlineStr">
        <is>
          <t>Unpassed tax + net feebate payment</t>
        </is>
      </c>
      <c r="G10" s="7" t="inlineStr">
        <is>
          <t>Baseline power CO2 (Mt)</t>
        </is>
      </c>
      <c r="H10" s="11">
        <f>INDEX(Countries!$Q$1:$Q$174,sel_row)</f>
        <v/>
      </c>
    </row>
    <row r="11">
      <c r="B11" s="7" t="inlineStr">
        <is>
          <t>Share of tax revenue rebated to bottom 40%</t>
        </is>
      </c>
      <c r="C11" s="8" t="n">
        <v>0</v>
      </c>
      <c r="D11" s="9" t="inlineStr">
        <is>
          <t>0-1</t>
        </is>
      </c>
      <c r="G11" s="7" t="inlineStr">
        <is>
          <t>Average intensity (t/MWh)</t>
        </is>
      </c>
      <c r="H11" s="12">
        <f>INDEX(Countries!$R$1:$R$174,sel_row)</f>
        <v/>
      </c>
    </row>
    <row r="12">
      <c r="B12" s="7" t="inlineStr">
        <is>
          <t>Rate cap ($/tCO2)</t>
        </is>
      </c>
      <c r="C12" s="8" t="n">
        <v>200</v>
      </c>
      <c r="D12" s="9" t="inlineStr">
        <is>
          <t>Upper bound for tax and feebate rates</t>
        </is>
      </c>
      <c r="G12" s="7" t="inlineStr">
        <is>
          <t>Residential tariff ($/MWh)</t>
        </is>
      </c>
      <c r="H12" s="11">
        <f>INDEX(Countries!$V$1:$V$174,sel_row)</f>
        <v/>
      </c>
    </row>
    <row r="13">
      <c r="G13" s="7" t="inlineStr">
        <is>
          <t>Pass-through</t>
        </is>
      </c>
      <c r="H13" s="13">
        <f>INDEX(Countries!$W$1:$W$174,sel_row)</f>
        <v/>
      </c>
    </row>
    <row r="14">
      <c r="B14" s="6" t="inlineStr">
        <is>
          <t>Grid</t>
        </is>
      </c>
      <c r="C14" s="6" t="inlineStr">
        <is>
          <t>Value</t>
        </is>
      </c>
      <c r="D14" s="6" t="inlineStr">
        <is>
          <t>Note</t>
        </is>
      </c>
      <c r="G14" s="7" t="inlineStr">
        <is>
          <t>Switching price ($/t)</t>
        </is>
      </c>
      <c r="H14" s="11">
        <f>INDEX(Countries!$Y$1:$Y$174,sel_row)</f>
        <v/>
      </c>
    </row>
    <row r="15">
      <c r="B15" s="7" t="inlineStr">
        <is>
          <t>Grid: tax step ($/t)</t>
        </is>
      </c>
      <c r="C15" s="8" t="n">
        <v>10</v>
      </c>
      <c r="D15" s="9" t="inlineStr">
        <is>
          <t>Rows of the grid</t>
        </is>
      </c>
      <c r="G15" s="7" t="inlineStr">
        <is>
          <t>Max substitution share</t>
        </is>
      </c>
      <c r="H15" s="12">
        <f>INDEX(Countries!$X$1:$X$174,sel_row)</f>
        <v/>
      </c>
    </row>
    <row r="16">
      <c r="B16" s="7" t="inlineStr">
        <is>
          <t>Grid: feebate step ($/t)</t>
        </is>
      </c>
      <c r="C16" s="8" t="n">
        <v>20</v>
      </c>
      <c r="D16" s="9" t="inlineStr">
        <is>
          <t>Columns of the grid</t>
        </is>
      </c>
      <c r="G16" s="7" t="inlineStr">
        <is>
          <t>Feebate/tax abatement at $50</t>
        </is>
      </c>
      <c r="H16" s="13">
        <f>INDEX(Countries!$AR$1:$AR$174,sel_row)</f>
        <v/>
      </c>
    </row>
    <row r="17">
      <c r="G17" s="7" t="inlineStr">
        <is>
          <t>Tariff rise from $50 tax (%)</t>
        </is>
      </c>
      <c r="H17" s="11">
        <f>INDEX(Countries!$AS$1:$AS$174,sel_row)</f>
        <v/>
      </c>
    </row>
    <row r="18">
      <c r="B18" s="6" t="inlineStr">
        <is>
          <t>Priors (assumptions: replace with country evidence or CPAT)</t>
        </is>
      </c>
      <c r="C18" s="6" t="inlineStr">
        <is>
          <t>Value</t>
        </is>
      </c>
      <c r="D18" s="6" t="inlineStr">
        <is>
          <t>Note</t>
        </is>
      </c>
    </row>
    <row r="19">
      <c r="B19" s="7" t="inlineStr">
        <is>
          <t>Electricity demand elasticity</t>
        </is>
      </c>
      <c r="C19" s="8" t="n">
        <v>-0.3</v>
      </c>
      <c r="D19" s="9" t="inlineStr">
        <is>
          <t>Long run</t>
        </is>
      </c>
      <c r="G19" s="6" t="inlineStr">
        <is>
          <t>Best under limits</t>
        </is>
      </c>
      <c r="H19" s="6" t="inlineStr">
        <is>
          <t>E (%)</t>
        </is>
      </c>
      <c r="I19" s="6" t="inlineStr">
        <is>
          <t>Tax $/t</t>
        </is>
      </c>
      <c r="J19" s="6" t="inlineStr">
        <is>
          <t>Feebate $/t</t>
        </is>
      </c>
      <c r="K19" s="6" t="inlineStr">
        <is>
          <t>F1</t>
        </is>
      </c>
      <c r="L19" s="6" t="inlineStr">
        <is>
          <t>F2</t>
        </is>
      </c>
      <c r="M19" s="6" t="inlineStr">
        <is>
          <t>F3</t>
        </is>
      </c>
      <c r="N19" s="6" t="inlineStr">
        <is>
          <t>Binding</t>
        </is>
      </c>
    </row>
    <row r="20">
      <c r="B20" s="7" t="inlineStr">
        <is>
          <t>Max share of coal+oil output displaceable by 2030</t>
        </is>
      </c>
      <c r="C20" s="8" t="n">
        <v>0.4</v>
      </c>
      <c r="D20" s="9" t="inlineStr"/>
      <c r="G20" s="14" t="inlineStr">
        <is>
          <t>Carbon tax / ETS</t>
        </is>
      </c>
      <c r="H20" s="15">
        <f>INDEX(Countries!$AJ$1:$AJ$174,sel_row)</f>
        <v/>
      </c>
      <c r="I20" s="16">
        <f>INDEX(Countries!$AI$1:$AI$174,sel_row)</f>
        <v/>
      </c>
      <c r="J20" s="16">
        <f>0</f>
        <v/>
      </c>
      <c r="K20" s="15">
        <f>INDEX(Countries!$AB$1:$AB$174,sel_row)*I20</f>
        <v/>
      </c>
      <c r="L20" s="15">
        <f>INDEX(Countries!$AC$1:$AC$174,sel_row)*I20</f>
        <v/>
      </c>
      <c r="M20" s="16">
        <f>INDEX(Countries!$AD$1:$AD$174,sel_row)*I20+INDEX(Countries!$AE$1:$AE$174,sel_row)*J20</f>
        <v/>
      </c>
      <c r="N20" s="17">
        <f>INDEX(Countries!$AK$1:$AK$174,sel_row)</f>
        <v/>
      </c>
    </row>
    <row r="21">
      <c r="B21" s="7" t="inlineStr">
        <is>
          <t>kappa multiplier at RISE score 0</t>
        </is>
      </c>
      <c r="C21" s="8" t="n">
        <v>0.5</v>
      </c>
      <c r="D21" s="9" t="inlineStr"/>
      <c r="G21" s="14" t="inlineStr">
        <is>
          <t>Feebate</t>
        </is>
      </c>
      <c r="H21" s="15">
        <f>INDEX(Countries!$AN$1:$AN$174,sel_row)</f>
        <v/>
      </c>
      <c r="I21" s="16">
        <f>0</f>
        <v/>
      </c>
      <c r="J21" s="16">
        <f>INDEX(Countries!$AM$1:$AM$174,sel_row)</f>
        <v/>
      </c>
      <c r="K21" s="15">
        <f>INDEX(Countries!$AB$1:$AB$174,sel_row)*I21</f>
        <v/>
      </c>
      <c r="L21" s="15">
        <f>INDEX(Countries!$AC$1:$AC$174,sel_row)*I21</f>
        <v/>
      </c>
      <c r="M21" s="16">
        <f>INDEX(Countries!$AD$1:$AD$174,sel_row)*I21+INDEX(Countries!$AE$1:$AE$174,sel_row)*J21</f>
        <v/>
      </c>
      <c r="N21" s="17">
        <f>INDEX(Countries!$AO$1:$AO$174,sel_row)</f>
        <v/>
      </c>
    </row>
    <row r="22">
      <c r="B22" s="7" t="inlineStr">
        <is>
          <t>kappa multiplier at RISE score 100</t>
        </is>
      </c>
      <c r="C22" s="8" t="n">
        <v>1</v>
      </c>
      <c r="D22" s="9" t="inlineStr"/>
      <c r="G22" s="14" t="inlineStr">
        <is>
          <t>Hybrid (tax + feebate)</t>
        </is>
      </c>
      <c r="H22" s="15">
        <f>INDEX(Countries!$AT$1:$AT$174,sel_row)</f>
        <v/>
      </c>
      <c r="I22" s="16">
        <f>INDEX(Countries!$AU$1:$AU$174,sel_row)</f>
        <v/>
      </c>
      <c r="J22" s="16">
        <f>INDEX(Countries!$AV$1:$AV$174,sel_row)</f>
        <v/>
      </c>
      <c r="K22" s="15">
        <f>INDEX(Countries!$AB$1:$AB$174,sel_row)*I22</f>
        <v/>
      </c>
      <c r="L22" s="15">
        <f>INDEX(Countries!$AC$1:$AC$174,sel_row)*I22</f>
        <v/>
      </c>
      <c r="M22" s="16">
        <f>INDEX(Countries!$AD$1:$AD$174,sel_row)*I22+INDEX(Countries!$AE$1:$AE$174,sel_row)*J22</f>
        <v/>
      </c>
      <c r="N22" s="17">
        <f>INDEX(Countries!$AZ$1:$AZ$174,sel_row)</f>
        <v/>
      </c>
    </row>
    <row r="23">
      <c r="B23" s="7" t="inlineStr">
        <is>
          <t>RISE score when missing</t>
        </is>
      </c>
      <c r="C23" s="8" t="n">
        <v>35</v>
      </c>
      <c r="D23" s="9" t="inlineStr">
        <is>
          <t>Median</t>
        </is>
      </c>
    </row>
    <row r="24">
      <c r="B24" s="7" t="inlineStr">
        <is>
          <t>Share of displaced output replaced by gas</t>
        </is>
      </c>
      <c r="C24" s="8" t="n">
        <v>0.3</v>
      </c>
      <c r="D24" s="9" t="inlineStr">
        <is>
          <t>Rest clean</t>
        </is>
      </c>
      <c r="G24" s="7" t="inlineStr">
        <is>
          <t>+1pp on F1 buys, tax only (pp E)</t>
        </is>
      </c>
      <c r="H24" s="13">
        <f>INDEX(Countries!$AL$1:$AL$174,sel_row)</f>
        <v/>
      </c>
    </row>
    <row r="25">
      <c r="B25" s="7" t="inlineStr">
        <is>
          <t>Lowest switching price ($/t)</t>
        </is>
      </c>
      <c r="C25" s="8" t="n">
        <v>15</v>
      </c>
      <c r="D25" s="9" t="inlineStr">
        <is>
          <t>Non-price barriers</t>
        </is>
      </c>
    </row>
    <row r="26">
      <c r="B26" s="7" t="inlineStr">
        <is>
          <t>Switching price when no gas price ($/t)</t>
        </is>
      </c>
      <c r="C26" s="8" t="n">
        <v>50</v>
      </c>
      <c r="D26" s="9" t="inlineStr"/>
      <c r="G26" s="18" t="inlineStr">
        <is>
          <t>Abatement E (%) by tax (rows) and feebate (columns). Green = within all three limits; bold border = best feasible cell.</t>
        </is>
      </c>
    </row>
    <row r="27">
      <c r="B27" s="7" t="inlineStr">
        <is>
          <t>Coal heat rate (GJ/MWh)</t>
        </is>
      </c>
      <c r="C27" s="8" t="n">
        <v>10</v>
      </c>
      <c r="D27" s="9" t="inlineStr"/>
      <c r="G27" s="19" t="inlineStr">
        <is>
          <t>Tax $/t \ Feebate $/t</t>
        </is>
      </c>
      <c r="H27" s="20">
        <f>in_fstep*0</f>
        <v/>
      </c>
      <c r="I27" s="20">
        <f>in_fstep*1</f>
        <v/>
      </c>
      <c r="J27" s="20">
        <f>in_fstep*2</f>
        <v/>
      </c>
      <c r="K27" s="20">
        <f>in_fstep*3</f>
        <v/>
      </c>
      <c r="L27" s="20">
        <f>in_fstep*4</f>
        <v/>
      </c>
      <c r="M27" s="20">
        <f>in_fstep*5</f>
        <v/>
      </c>
      <c r="N27" s="20">
        <f>in_fstep*6</f>
        <v/>
      </c>
      <c r="O27" s="20">
        <f>in_fstep*7</f>
        <v/>
      </c>
      <c r="P27" s="20">
        <f>in_fstep*8</f>
        <v/>
      </c>
      <c r="Q27" s="20">
        <f>in_fstep*9</f>
        <v/>
      </c>
      <c r="R27" s="20">
        <f>in_fstep*10</f>
        <v/>
      </c>
    </row>
    <row r="28">
      <c r="B28" s="7" t="inlineStr">
        <is>
          <t>Gas heat rate (GJ/MWh)</t>
        </is>
      </c>
      <c r="C28" s="8" t="n">
        <v>7</v>
      </c>
      <c r="D28" s="9" t="inlineStr">
        <is>
          <t>CCGT</t>
        </is>
      </c>
      <c r="G28" s="20">
        <f>in_tstep*0</f>
        <v/>
      </c>
      <c r="H28" s="21">
        <f>100*(1-(1-$H$44*(1-EXP(-($G28+H$27)/$I$44)))*(1-MIN(ABS(in_elas)*$J$44*$K$44*$G28/$L$44,1)))</f>
        <v/>
      </c>
      <c r="I28" s="21">
        <f>100*(1-(1-$H$44*(1-EXP(-($G28+I$27)/$I$44)))*(1-MIN(ABS(in_elas)*$J$44*$K$44*$G28/$L$44,1)))</f>
        <v/>
      </c>
      <c r="J28" s="21">
        <f>100*(1-(1-$H$44*(1-EXP(-($G28+J$27)/$I$44)))*(1-MIN(ABS(in_elas)*$J$44*$K$44*$G28/$L$44,1)))</f>
        <v/>
      </c>
      <c r="K28" s="21">
        <f>100*(1-(1-$H$44*(1-EXP(-($G28+K$27)/$I$44)))*(1-MIN(ABS(in_elas)*$J$44*$K$44*$G28/$L$44,1)))</f>
        <v/>
      </c>
      <c r="L28" s="21">
        <f>100*(1-(1-$H$44*(1-EXP(-($G28+L$27)/$I$44)))*(1-MIN(ABS(in_elas)*$J$44*$K$44*$G28/$L$44,1)))</f>
        <v/>
      </c>
      <c r="M28" s="21">
        <f>100*(1-(1-$H$44*(1-EXP(-($G28+M$27)/$I$44)))*(1-MIN(ABS(in_elas)*$J$44*$K$44*$G28/$L$44,1)))</f>
        <v/>
      </c>
      <c r="N28" s="21">
        <f>100*(1-(1-$H$44*(1-EXP(-($G28+N$27)/$I$44)))*(1-MIN(ABS(in_elas)*$J$44*$K$44*$G28/$L$44,1)))</f>
        <v/>
      </c>
      <c r="O28" s="21">
        <f>100*(1-(1-$H$44*(1-EXP(-($G28+O$27)/$I$44)))*(1-MIN(ABS(in_elas)*$J$44*$K$44*$G28/$L$44,1)))</f>
        <v/>
      </c>
      <c r="P28" s="21">
        <f>100*(1-(1-$H$44*(1-EXP(-($G28+P$27)/$I$44)))*(1-MIN(ABS(in_elas)*$J$44*$K$44*$G28/$L$44,1)))</f>
        <v/>
      </c>
      <c r="Q28" s="21">
        <f>100*(1-(1-$H$44*(1-EXP(-($G28+Q$27)/$I$44)))*(1-MIN(ABS(in_elas)*$J$44*$K$44*$G28/$L$44,1)))</f>
        <v/>
      </c>
      <c r="R28" s="21">
        <f>100*(1-(1-$H$44*(1-EXP(-($G28+R$27)/$I$44)))*(1-MIN(ABS(in_elas)*$J$44*$K$44*$G28/$L$44,1)))</f>
        <v/>
      </c>
    </row>
    <row r="29">
      <c r="B29" s="7" t="inlineStr">
        <is>
          <t>Wholesale price / residential tariff</t>
        </is>
      </c>
      <c r="C29" s="8" t="n">
        <v>0.6</v>
      </c>
      <c r="D29" s="9" t="inlineStr"/>
      <c r="G29" s="20">
        <f>in_tstep*1</f>
        <v/>
      </c>
      <c r="H29" s="21">
        <f>100*(1-(1-$H$44*(1-EXP(-($G29+H$27)/$I$44)))*(1-MIN(ABS(in_elas)*$J$44*$K$44*$G29/$L$44,1)))</f>
        <v/>
      </c>
      <c r="I29" s="21">
        <f>100*(1-(1-$H$44*(1-EXP(-($G29+I$27)/$I$44)))*(1-MIN(ABS(in_elas)*$J$44*$K$44*$G29/$L$44,1)))</f>
        <v/>
      </c>
      <c r="J29" s="21">
        <f>100*(1-(1-$H$44*(1-EXP(-($G29+J$27)/$I$44)))*(1-MIN(ABS(in_elas)*$J$44*$K$44*$G29/$L$44,1)))</f>
        <v/>
      </c>
      <c r="K29" s="21">
        <f>100*(1-(1-$H$44*(1-EXP(-($G29+K$27)/$I$44)))*(1-MIN(ABS(in_elas)*$J$44*$K$44*$G29/$L$44,1)))</f>
        <v/>
      </c>
      <c r="L29" s="21">
        <f>100*(1-(1-$H$44*(1-EXP(-($G29+L$27)/$I$44)))*(1-MIN(ABS(in_elas)*$J$44*$K$44*$G29/$L$44,1)))</f>
        <v/>
      </c>
      <c r="M29" s="21">
        <f>100*(1-(1-$H$44*(1-EXP(-($G29+M$27)/$I$44)))*(1-MIN(ABS(in_elas)*$J$44*$K$44*$G29/$L$44,1)))</f>
        <v/>
      </c>
      <c r="N29" s="21">
        <f>100*(1-(1-$H$44*(1-EXP(-($G29+N$27)/$I$44)))*(1-MIN(ABS(in_elas)*$J$44*$K$44*$G29/$L$44,1)))</f>
        <v/>
      </c>
      <c r="O29" s="21">
        <f>100*(1-(1-$H$44*(1-EXP(-($G29+O$27)/$I$44)))*(1-MIN(ABS(in_elas)*$J$44*$K$44*$G29/$L$44,1)))</f>
        <v/>
      </c>
      <c r="P29" s="21">
        <f>100*(1-(1-$H$44*(1-EXP(-($G29+P$27)/$I$44)))*(1-MIN(ABS(in_elas)*$J$44*$K$44*$G29/$L$44,1)))</f>
        <v/>
      </c>
      <c r="Q29" s="21">
        <f>100*(1-(1-$H$44*(1-EXP(-($G29+Q$27)/$I$44)))*(1-MIN(ABS(in_elas)*$J$44*$K$44*$G29/$L$44,1)))</f>
        <v/>
      </c>
      <c r="R29" s="21">
        <f>100*(1-(1-$H$44*(1-EXP(-($G29+R$27)/$I$44)))*(1-MIN(ABS(in_elas)*$J$44*$K$44*$G29/$L$44,1)))</f>
        <v/>
      </c>
    </row>
    <row r="30">
      <c r="B30" s="7" t="inlineStr">
        <is>
          <t>Residential share of electricity sales</t>
        </is>
      </c>
      <c r="C30" s="8" t="n">
        <v>0.35</v>
      </c>
      <c r="D30" s="9" t="inlineStr"/>
      <c r="G30" s="20">
        <f>in_tstep*2</f>
        <v/>
      </c>
      <c r="H30" s="21">
        <f>100*(1-(1-$H$44*(1-EXP(-($G30+H$27)/$I$44)))*(1-MIN(ABS(in_elas)*$J$44*$K$44*$G30/$L$44,1)))</f>
        <v/>
      </c>
      <c r="I30" s="21">
        <f>100*(1-(1-$H$44*(1-EXP(-($G30+I$27)/$I$44)))*(1-MIN(ABS(in_elas)*$J$44*$K$44*$G30/$L$44,1)))</f>
        <v/>
      </c>
      <c r="J30" s="21">
        <f>100*(1-(1-$H$44*(1-EXP(-($G30+J$27)/$I$44)))*(1-MIN(ABS(in_elas)*$J$44*$K$44*$G30/$L$44,1)))</f>
        <v/>
      </c>
      <c r="K30" s="21">
        <f>100*(1-(1-$H$44*(1-EXP(-($G30+K$27)/$I$44)))*(1-MIN(ABS(in_elas)*$J$44*$K$44*$G30/$L$44,1)))</f>
        <v/>
      </c>
      <c r="L30" s="21">
        <f>100*(1-(1-$H$44*(1-EXP(-($G30+L$27)/$I$44)))*(1-MIN(ABS(in_elas)*$J$44*$K$44*$G30/$L$44,1)))</f>
        <v/>
      </c>
      <c r="M30" s="21">
        <f>100*(1-(1-$H$44*(1-EXP(-($G30+M$27)/$I$44)))*(1-MIN(ABS(in_elas)*$J$44*$K$44*$G30/$L$44,1)))</f>
        <v/>
      </c>
      <c r="N30" s="21">
        <f>100*(1-(1-$H$44*(1-EXP(-($G30+N$27)/$I$44)))*(1-MIN(ABS(in_elas)*$J$44*$K$44*$G30/$L$44,1)))</f>
        <v/>
      </c>
      <c r="O30" s="21">
        <f>100*(1-(1-$H$44*(1-EXP(-($G30+O$27)/$I$44)))*(1-MIN(ABS(in_elas)*$J$44*$K$44*$G30/$L$44,1)))</f>
        <v/>
      </c>
      <c r="P30" s="21">
        <f>100*(1-(1-$H$44*(1-EXP(-($G30+P$27)/$I$44)))*(1-MIN(ABS(in_elas)*$J$44*$K$44*$G30/$L$44,1)))</f>
        <v/>
      </c>
      <c r="Q30" s="21">
        <f>100*(1-(1-$H$44*(1-EXP(-($G30+Q$27)/$I$44)))*(1-MIN(ABS(in_elas)*$J$44*$K$44*$G30/$L$44,1)))</f>
        <v/>
      </c>
      <c r="R30" s="21">
        <f>100*(1-(1-$H$44*(1-EXP(-($G30+R$27)/$I$44)))*(1-MIN(ABS(in_elas)*$J$44*$K$44*$G30/$L$44,1)))</f>
        <v/>
      </c>
    </row>
    <row r="31">
      <c r="B31" s="7" t="inlineStr">
        <is>
          <t>Bottom-40% share of residential use</t>
        </is>
      </c>
      <c r="C31" s="8" t="n">
        <v>0.2</v>
      </c>
      <c r="D31" s="9" t="inlineStr"/>
      <c r="G31" s="20">
        <f>in_tstep*3</f>
        <v/>
      </c>
      <c r="H31" s="21">
        <f>100*(1-(1-$H$44*(1-EXP(-($G31+H$27)/$I$44)))*(1-MIN(ABS(in_elas)*$J$44*$K$44*$G31/$L$44,1)))</f>
        <v/>
      </c>
      <c r="I31" s="21">
        <f>100*(1-(1-$H$44*(1-EXP(-($G31+I$27)/$I$44)))*(1-MIN(ABS(in_elas)*$J$44*$K$44*$G31/$L$44,1)))</f>
        <v/>
      </c>
      <c r="J31" s="21">
        <f>100*(1-(1-$H$44*(1-EXP(-($G31+J$27)/$I$44)))*(1-MIN(ABS(in_elas)*$J$44*$K$44*$G31/$L$44,1)))</f>
        <v/>
      </c>
      <c r="K31" s="21">
        <f>100*(1-(1-$H$44*(1-EXP(-($G31+K$27)/$I$44)))*(1-MIN(ABS(in_elas)*$J$44*$K$44*$G31/$L$44,1)))</f>
        <v/>
      </c>
      <c r="L31" s="21">
        <f>100*(1-(1-$H$44*(1-EXP(-($G31+L$27)/$I$44)))*(1-MIN(ABS(in_elas)*$J$44*$K$44*$G31/$L$44,1)))</f>
        <v/>
      </c>
      <c r="M31" s="21">
        <f>100*(1-(1-$H$44*(1-EXP(-($G31+M$27)/$I$44)))*(1-MIN(ABS(in_elas)*$J$44*$K$44*$G31/$L$44,1)))</f>
        <v/>
      </c>
      <c r="N31" s="21">
        <f>100*(1-(1-$H$44*(1-EXP(-($G31+N$27)/$I$44)))*(1-MIN(ABS(in_elas)*$J$44*$K$44*$G31/$L$44,1)))</f>
        <v/>
      </c>
      <c r="O31" s="21">
        <f>100*(1-(1-$H$44*(1-EXP(-($G31+O$27)/$I$44)))*(1-MIN(ABS(in_elas)*$J$44*$K$44*$G31/$L$44,1)))</f>
        <v/>
      </c>
      <c r="P31" s="21">
        <f>100*(1-(1-$H$44*(1-EXP(-($G31+P$27)/$I$44)))*(1-MIN(ABS(in_elas)*$J$44*$K$44*$G31/$L$44,1)))</f>
        <v/>
      </c>
      <c r="Q31" s="21">
        <f>100*(1-(1-$H$44*(1-EXP(-($G31+Q$27)/$I$44)))*(1-MIN(ABS(in_elas)*$J$44*$K$44*$G31/$L$44,1)))</f>
        <v/>
      </c>
      <c r="R31" s="21">
        <f>100*(1-(1-$H$44*(1-EXP(-($G31+R$27)/$I$44)))*(1-MIN(ABS(in_elas)*$J$44*$K$44*$G31/$L$44,1)))</f>
        <v/>
      </c>
    </row>
    <row r="32">
      <c r="B32" s="7" t="inlineStr">
        <is>
          <t>Phase-in years</t>
        </is>
      </c>
      <c r="C32" s="8" t="n">
        <v>1</v>
      </c>
      <c r="D32" s="9" t="inlineStr">
        <is>
          <t>Tax reached in equal steps</t>
        </is>
      </c>
      <c r="G32" s="20">
        <f>in_tstep*4</f>
        <v/>
      </c>
      <c r="H32" s="21">
        <f>100*(1-(1-$H$44*(1-EXP(-($G32+H$27)/$I$44)))*(1-MIN(ABS(in_elas)*$J$44*$K$44*$G32/$L$44,1)))</f>
        <v/>
      </c>
      <c r="I32" s="21">
        <f>100*(1-(1-$H$44*(1-EXP(-($G32+I$27)/$I$44)))*(1-MIN(ABS(in_elas)*$J$44*$K$44*$G32/$L$44,1)))</f>
        <v/>
      </c>
      <c r="J32" s="21">
        <f>100*(1-(1-$H$44*(1-EXP(-($G32+J$27)/$I$44)))*(1-MIN(ABS(in_elas)*$J$44*$K$44*$G32/$L$44,1)))</f>
        <v/>
      </c>
      <c r="K32" s="21">
        <f>100*(1-(1-$H$44*(1-EXP(-($G32+K$27)/$I$44)))*(1-MIN(ABS(in_elas)*$J$44*$K$44*$G32/$L$44,1)))</f>
        <v/>
      </c>
      <c r="L32" s="21">
        <f>100*(1-(1-$H$44*(1-EXP(-($G32+L$27)/$I$44)))*(1-MIN(ABS(in_elas)*$J$44*$K$44*$G32/$L$44,1)))</f>
        <v/>
      </c>
      <c r="M32" s="21">
        <f>100*(1-(1-$H$44*(1-EXP(-($G32+M$27)/$I$44)))*(1-MIN(ABS(in_elas)*$J$44*$K$44*$G32/$L$44,1)))</f>
        <v/>
      </c>
      <c r="N32" s="21">
        <f>100*(1-(1-$H$44*(1-EXP(-($G32+N$27)/$I$44)))*(1-MIN(ABS(in_elas)*$J$44*$K$44*$G32/$L$44,1)))</f>
        <v/>
      </c>
      <c r="O32" s="21">
        <f>100*(1-(1-$H$44*(1-EXP(-($G32+O$27)/$I$44)))*(1-MIN(ABS(in_elas)*$J$44*$K$44*$G32/$L$44,1)))</f>
        <v/>
      </c>
      <c r="P32" s="21">
        <f>100*(1-(1-$H$44*(1-EXP(-($G32+P$27)/$I$44)))*(1-MIN(ABS(in_elas)*$J$44*$K$44*$G32/$L$44,1)))</f>
        <v/>
      </c>
      <c r="Q32" s="21">
        <f>100*(1-(1-$H$44*(1-EXP(-($G32+Q$27)/$I$44)))*(1-MIN(ABS(in_elas)*$J$44*$K$44*$G32/$L$44,1)))</f>
        <v/>
      </c>
      <c r="R32" s="21">
        <f>100*(1-(1-$H$44*(1-EXP(-($G32+R$27)/$I$44)))*(1-MIN(ABS(in_elas)*$J$44*$K$44*$G32/$L$44,1)))</f>
        <v/>
      </c>
    </row>
    <row r="33">
      <c r="B33" s="7" t="inlineStr">
        <is>
          <t>Pass-through: wholesale market (PSRT 3)</t>
        </is>
      </c>
      <c r="C33" s="8" t="n">
        <v>1</v>
      </c>
      <c r="D33" s="9" t="inlineStr"/>
      <c r="G33" s="20">
        <f>in_tstep*5</f>
        <v/>
      </c>
      <c r="H33" s="21">
        <f>100*(1-(1-$H$44*(1-EXP(-($G33+H$27)/$I$44)))*(1-MIN(ABS(in_elas)*$J$44*$K$44*$G33/$L$44,1)))</f>
        <v/>
      </c>
      <c r="I33" s="21">
        <f>100*(1-(1-$H$44*(1-EXP(-($G33+I$27)/$I$44)))*(1-MIN(ABS(in_elas)*$J$44*$K$44*$G33/$L$44,1)))</f>
        <v/>
      </c>
      <c r="J33" s="21">
        <f>100*(1-(1-$H$44*(1-EXP(-($G33+J$27)/$I$44)))*(1-MIN(ABS(in_elas)*$J$44*$K$44*$G33/$L$44,1)))</f>
        <v/>
      </c>
      <c r="K33" s="21">
        <f>100*(1-(1-$H$44*(1-EXP(-($G33+K$27)/$I$44)))*(1-MIN(ABS(in_elas)*$J$44*$K$44*$G33/$L$44,1)))</f>
        <v/>
      </c>
      <c r="L33" s="21">
        <f>100*(1-(1-$H$44*(1-EXP(-($G33+L$27)/$I$44)))*(1-MIN(ABS(in_elas)*$J$44*$K$44*$G33/$L$44,1)))</f>
        <v/>
      </c>
      <c r="M33" s="21">
        <f>100*(1-(1-$H$44*(1-EXP(-($G33+M$27)/$I$44)))*(1-MIN(ABS(in_elas)*$J$44*$K$44*$G33/$L$44,1)))</f>
        <v/>
      </c>
      <c r="N33" s="21">
        <f>100*(1-(1-$H$44*(1-EXP(-($G33+N$27)/$I$44)))*(1-MIN(ABS(in_elas)*$J$44*$K$44*$G33/$L$44,1)))</f>
        <v/>
      </c>
      <c r="O33" s="21">
        <f>100*(1-(1-$H$44*(1-EXP(-($G33+O$27)/$I$44)))*(1-MIN(ABS(in_elas)*$J$44*$K$44*$G33/$L$44,1)))</f>
        <v/>
      </c>
      <c r="P33" s="21">
        <f>100*(1-(1-$H$44*(1-EXP(-($G33+P$27)/$I$44)))*(1-MIN(ABS(in_elas)*$J$44*$K$44*$G33/$L$44,1)))</f>
        <v/>
      </c>
      <c r="Q33" s="21">
        <f>100*(1-(1-$H$44*(1-EXP(-($G33+Q$27)/$I$44)))*(1-MIN(ABS(in_elas)*$J$44*$K$44*$G33/$L$44,1)))</f>
        <v/>
      </c>
      <c r="R33" s="21">
        <f>100*(1-(1-$H$44*(1-EXP(-($G33+R$27)/$I$44)))*(1-MIN(ABS(in_elas)*$J$44*$K$44*$G33/$L$44,1)))</f>
        <v/>
      </c>
    </row>
    <row r="34">
      <c r="B34" s="7" t="inlineStr">
        <is>
          <t>Pass-through: single buyer (PSRT 2)</t>
        </is>
      </c>
      <c r="C34" s="8" t="n">
        <v>0.6</v>
      </c>
      <c r="D34" s="9" t="inlineStr"/>
      <c r="G34" s="20">
        <f>in_tstep*6</f>
        <v/>
      </c>
      <c r="H34" s="21">
        <f>100*(1-(1-$H$44*(1-EXP(-($G34+H$27)/$I$44)))*(1-MIN(ABS(in_elas)*$J$44*$K$44*$G34/$L$44,1)))</f>
        <v/>
      </c>
      <c r="I34" s="21">
        <f>100*(1-(1-$H$44*(1-EXP(-($G34+I$27)/$I$44)))*(1-MIN(ABS(in_elas)*$J$44*$K$44*$G34/$L$44,1)))</f>
        <v/>
      </c>
      <c r="J34" s="21">
        <f>100*(1-(1-$H$44*(1-EXP(-($G34+J$27)/$I$44)))*(1-MIN(ABS(in_elas)*$J$44*$K$44*$G34/$L$44,1)))</f>
        <v/>
      </c>
      <c r="K34" s="21">
        <f>100*(1-(1-$H$44*(1-EXP(-($G34+K$27)/$I$44)))*(1-MIN(ABS(in_elas)*$J$44*$K$44*$G34/$L$44,1)))</f>
        <v/>
      </c>
      <c r="L34" s="21">
        <f>100*(1-(1-$H$44*(1-EXP(-($G34+L$27)/$I$44)))*(1-MIN(ABS(in_elas)*$J$44*$K$44*$G34/$L$44,1)))</f>
        <v/>
      </c>
      <c r="M34" s="21">
        <f>100*(1-(1-$H$44*(1-EXP(-($G34+M$27)/$I$44)))*(1-MIN(ABS(in_elas)*$J$44*$K$44*$G34/$L$44,1)))</f>
        <v/>
      </c>
      <c r="N34" s="21">
        <f>100*(1-(1-$H$44*(1-EXP(-($G34+N$27)/$I$44)))*(1-MIN(ABS(in_elas)*$J$44*$K$44*$G34/$L$44,1)))</f>
        <v/>
      </c>
      <c r="O34" s="21">
        <f>100*(1-(1-$H$44*(1-EXP(-($G34+O$27)/$I$44)))*(1-MIN(ABS(in_elas)*$J$44*$K$44*$G34/$L$44,1)))</f>
        <v/>
      </c>
      <c r="P34" s="21">
        <f>100*(1-(1-$H$44*(1-EXP(-($G34+P$27)/$I$44)))*(1-MIN(ABS(in_elas)*$J$44*$K$44*$G34/$L$44,1)))</f>
        <v/>
      </c>
      <c r="Q34" s="21">
        <f>100*(1-(1-$H$44*(1-EXP(-($G34+Q$27)/$I$44)))*(1-MIN(ABS(in_elas)*$J$44*$K$44*$G34/$L$44,1)))</f>
        <v/>
      </c>
      <c r="R34" s="21">
        <f>100*(1-(1-$H$44*(1-EXP(-($G34+R$27)/$I$44)))*(1-MIN(ABS(in_elas)*$J$44*$K$44*$G34/$L$44,1)))</f>
        <v/>
      </c>
    </row>
    <row r="35">
      <c r="B35" s="7" t="inlineStr">
        <is>
          <t>Pass-through: vertically integrated (PSRT 1)</t>
        </is>
      </c>
      <c r="C35" s="8" t="n">
        <v>0.4</v>
      </c>
      <c r="D35" s="9" t="inlineStr"/>
      <c r="G35" s="20">
        <f>in_tstep*7</f>
        <v/>
      </c>
      <c r="H35" s="21">
        <f>100*(1-(1-$H$44*(1-EXP(-($G35+H$27)/$I$44)))*(1-MIN(ABS(in_elas)*$J$44*$K$44*$G35/$L$44,1)))</f>
        <v/>
      </c>
      <c r="I35" s="21">
        <f>100*(1-(1-$H$44*(1-EXP(-($G35+I$27)/$I$44)))*(1-MIN(ABS(in_elas)*$J$44*$K$44*$G35/$L$44,1)))</f>
        <v/>
      </c>
      <c r="J35" s="21">
        <f>100*(1-(1-$H$44*(1-EXP(-($G35+J$27)/$I$44)))*(1-MIN(ABS(in_elas)*$J$44*$K$44*$G35/$L$44,1)))</f>
        <v/>
      </c>
      <c r="K35" s="21">
        <f>100*(1-(1-$H$44*(1-EXP(-($G35+K$27)/$I$44)))*(1-MIN(ABS(in_elas)*$J$44*$K$44*$G35/$L$44,1)))</f>
        <v/>
      </c>
      <c r="L35" s="21">
        <f>100*(1-(1-$H$44*(1-EXP(-($G35+L$27)/$I$44)))*(1-MIN(ABS(in_elas)*$J$44*$K$44*$G35/$L$44,1)))</f>
        <v/>
      </c>
      <c r="M35" s="21">
        <f>100*(1-(1-$H$44*(1-EXP(-($G35+M$27)/$I$44)))*(1-MIN(ABS(in_elas)*$J$44*$K$44*$G35/$L$44,1)))</f>
        <v/>
      </c>
      <c r="N35" s="21">
        <f>100*(1-(1-$H$44*(1-EXP(-($G35+N$27)/$I$44)))*(1-MIN(ABS(in_elas)*$J$44*$K$44*$G35/$L$44,1)))</f>
        <v/>
      </c>
      <c r="O35" s="21">
        <f>100*(1-(1-$H$44*(1-EXP(-($G35+O$27)/$I$44)))*(1-MIN(ABS(in_elas)*$J$44*$K$44*$G35/$L$44,1)))</f>
        <v/>
      </c>
      <c r="P35" s="21">
        <f>100*(1-(1-$H$44*(1-EXP(-($G35+P$27)/$I$44)))*(1-MIN(ABS(in_elas)*$J$44*$K$44*$G35/$L$44,1)))</f>
        <v/>
      </c>
      <c r="Q35" s="21">
        <f>100*(1-(1-$H$44*(1-EXP(-($G35+Q$27)/$I$44)))*(1-MIN(ABS(in_elas)*$J$44*$K$44*$G35/$L$44,1)))</f>
        <v/>
      </c>
      <c r="R35" s="21">
        <f>100*(1-(1-$H$44*(1-EXP(-($G35+R$27)/$I$44)))*(1-MIN(ABS(in_elas)*$J$44*$K$44*$G35/$L$44,1)))</f>
        <v/>
      </c>
    </row>
    <row r="36">
      <c r="B36" s="7" t="inlineStr">
        <is>
          <t>Pass-through: no PSRT data, high income</t>
        </is>
      </c>
      <c r="C36" s="8" t="n">
        <v>0.9</v>
      </c>
      <c r="D36" s="9" t="inlineStr"/>
      <c r="G36" s="20">
        <f>in_tstep*8</f>
        <v/>
      </c>
      <c r="H36" s="21">
        <f>100*(1-(1-$H$44*(1-EXP(-($G36+H$27)/$I$44)))*(1-MIN(ABS(in_elas)*$J$44*$K$44*$G36/$L$44,1)))</f>
        <v/>
      </c>
      <c r="I36" s="21">
        <f>100*(1-(1-$H$44*(1-EXP(-($G36+I$27)/$I$44)))*(1-MIN(ABS(in_elas)*$J$44*$K$44*$G36/$L$44,1)))</f>
        <v/>
      </c>
      <c r="J36" s="21">
        <f>100*(1-(1-$H$44*(1-EXP(-($G36+J$27)/$I$44)))*(1-MIN(ABS(in_elas)*$J$44*$K$44*$G36/$L$44,1)))</f>
        <v/>
      </c>
      <c r="K36" s="21">
        <f>100*(1-(1-$H$44*(1-EXP(-($G36+K$27)/$I$44)))*(1-MIN(ABS(in_elas)*$J$44*$K$44*$G36/$L$44,1)))</f>
        <v/>
      </c>
      <c r="L36" s="21">
        <f>100*(1-(1-$H$44*(1-EXP(-($G36+L$27)/$I$44)))*(1-MIN(ABS(in_elas)*$J$44*$K$44*$G36/$L$44,1)))</f>
        <v/>
      </c>
      <c r="M36" s="21">
        <f>100*(1-(1-$H$44*(1-EXP(-($G36+M$27)/$I$44)))*(1-MIN(ABS(in_elas)*$J$44*$K$44*$G36/$L$44,1)))</f>
        <v/>
      </c>
      <c r="N36" s="21">
        <f>100*(1-(1-$H$44*(1-EXP(-($G36+N$27)/$I$44)))*(1-MIN(ABS(in_elas)*$J$44*$K$44*$G36/$L$44,1)))</f>
        <v/>
      </c>
      <c r="O36" s="21">
        <f>100*(1-(1-$H$44*(1-EXP(-($G36+O$27)/$I$44)))*(1-MIN(ABS(in_elas)*$J$44*$K$44*$G36/$L$44,1)))</f>
        <v/>
      </c>
      <c r="P36" s="21">
        <f>100*(1-(1-$H$44*(1-EXP(-($G36+P$27)/$I$44)))*(1-MIN(ABS(in_elas)*$J$44*$K$44*$G36/$L$44,1)))</f>
        <v/>
      </c>
      <c r="Q36" s="21">
        <f>100*(1-(1-$H$44*(1-EXP(-($G36+Q$27)/$I$44)))*(1-MIN(ABS(in_elas)*$J$44*$K$44*$G36/$L$44,1)))</f>
        <v/>
      </c>
      <c r="R36" s="21">
        <f>100*(1-(1-$H$44*(1-EXP(-($G36+R$27)/$I$44)))*(1-MIN(ABS(in_elas)*$J$44*$K$44*$G36/$L$44,1)))</f>
        <v/>
      </c>
    </row>
    <row r="37">
      <c r="B37" s="7" t="inlineStr">
        <is>
          <t>Pass-through: no PSRT data, other</t>
        </is>
      </c>
      <c r="C37" s="8" t="n">
        <v>0.6</v>
      </c>
      <c r="D37" s="9" t="inlineStr"/>
      <c r="G37" s="20">
        <f>in_tstep*9</f>
        <v/>
      </c>
      <c r="H37" s="21">
        <f>100*(1-(1-$H$44*(1-EXP(-($G37+H$27)/$I$44)))*(1-MIN(ABS(in_elas)*$J$44*$K$44*$G37/$L$44,1)))</f>
        <v/>
      </c>
      <c r="I37" s="21">
        <f>100*(1-(1-$H$44*(1-EXP(-($G37+I$27)/$I$44)))*(1-MIN(ABS(in_elas)*$J$44*$K$44*$G37/$L$44,1)))</f>
        <v/>
      </c>
      <c r="J37" s="21">
        <f>100*(1-(1-$H$44*(1-EXP(-($G37+J$27)/$I$44)))*(1-MIN(ABS(in_elas)*$J$44*$K$44*$G37/$L$44,1)))</f>
        <v/>
      </c>
      <c r="K37" s="21">
        <f>100*(1-(1-$H$44*(1-EXP(-($G37+K$27)/$I$44)))*(1-MIN(ABS(in_elas)*$J$44*$K$44*$G37/$L$44,1)))</f>
        <v/>
      </c>
      <c r="L37" s="21">
        <f>100*(1-(1-$H$44*(1-EXP(-($G37+L$27)/$I$44)))*(1-MIN(ABS(in_elas)*$J$44*$K$44*$G37/$L$44,1)))</f>
        <v/>
      </c>
      <c r="M37" s="21">
        <f>100*(1-(1-$H$44*(1-EXP(-($G37+M$27)/$I$44)))*(1-MIN(ABS(in_elas)*$J$44*$K$44*$G37/$L$44,1)))</f>
        <v/>
      </c>
      <c r="N37" s="21">
        <f>100*(1-(1-$H$44*(1-EXP(-($G37+N$27)/$I$44)))*(1-MIN(ABS(in_elas)*$J$44*$K$44*$G37/$L$44,1)))</f>
        <v/>
      </c>
      <c r="O37" s="21">
        <f>100*(1-(1-$H$44*(1-EXP(-($G37+O$27)/$I$44)))*(1-MIN(ABS(in_elas)*$J$44*$K$44*$G37/$L$44,1)))</f>
        <v/>
      </c>
      <c r="P37" s="21">
        <f>100*(1-(1-$H$44*(1-EXP(-($G37+P$27)/$I$44)))*(1-MIN(ABS(in_elas)*$J$44*$K$44*$G37/$L$44,1)))</f>
        <v/>
      </c>
      <c r="Q37" s="21">
        <f>100*(1-(1-$H$44*(1-EXP(-($G37+Q$27)/$I$44)))*(1-MIN(ABS(in_elas)*$J$44*$K$44*$G37/$L$44,1)))</f>
        <v/>
      </c>
      <c r="R37" s="21">
        <f>100*(1-(1-$H$44*(1-EXP(-($G37+R$27)/$I$44)))*(1-MIN(ABS(in_elas)*$J$44*$K$44*$G37/$L$44,1)))</f>
        <v/>
      </c>
    </row>
    <row r="38">
      <c r="B38" s="7" t="inlineStr">
        <is>
          <t>Bottom-40% electricity budget share: low income</t>
        </is>
      </c>
      <c r="C38" s="8" t="n">
        <v>0.02</v>
      </c>
      <c r="D38" s="9" t="inlineStr">
        <is>
          <t>Placeholder</t>
        </is>
      </c>
      <c r="G38" s="20">
        <f>in_tstep*10</f>
        <v/>
      </c>
      <c r="H38" s="21">
        <f>100*(1-(1-$H$44*(1-EXP(-($G38+H$27)/$I$44)))*(1-MIN(ABS(in_elas)*$J$44*$K$44*$G38/$L$44,1)))</f>
        <v/>
      </c>
      <c r="I38" s="21">
        <f>100*(1-(1-$H$44*(1-EXP(-($G38+I$27)/$I$44)))*(1-MIN(ABS(in_elas)*$J$44*$K$44*$G38/$L$44,1)))</f>
        <v/>
      </c>
      <c r="J38" s="21">
        <f>100*(1-(1-$H$44*(1-EXP(-($G38+J$27)/$I$44)))*(1-MIN(ABS(in_elas)*$J$44*$K$44*$G38/$L$44,1)))</f>
        <v/>
      </c>
      <c r="K38" s="21">
        <f>100*(1-(1-$H$44*(1-EXP(-($G38+K$27)/$I$44)))*(1-MIN(ABS(in_elas)*$J$44*$K$44*$G38/$L$44,1)))</f>
        <v/>
      </c>
      <c r="L38" s="21">
        <f>100*(1-(1-$H$44*(1-EXP(-($G38+L$27)/$I$44)))*(1-MIN(ABS(in_elas)*$J$44*$K$44*$G38/$L$44,1)))</f>
        <v/>
      </c>
      <c r="M38" s="21">
        <f>100*(1-(1-$H$44*(1-EXP(-($G38+M$27)/$I$44)))*(1-MIN(ABS(in_elas)*$J$44*$K$44*$G38/$L$44,1)))</f>
        <v/>
      </c>
      <c r="N38" s="21">
        <f>100*(1-(1-$H$44*(1-EXP(-($G38+N$27)/$I$44)))*(1-MIN(ABS(in_elas)*$J$44*$K$44*$G38/$L$44,1)))</f>
        <v/>
      </c>
      <c r="O38" s="21">
        <f>100*(1-(1-$H$44*(1-EXP(-($G38+O$27)/$I$44)))*(1-MIN(ABS(in_elas)*$J$44*$K$44*$G38/$L$44,1)))</f>
        <v/>
      </c>
      <c r="P38" s="21">
        <f>100*(1-(1-$H$44*(1-EXP(-($G38+P$27)/$I$44)))*(1-MIN(ABS(in_elas)*$J$44*$K$44*$G38/$L$44,1)))</f>
        <v/>
      </c>
      <c r="Q38" s="21">
        <f>100*(1-(1-$H$44*(1-EXP(-($G38+Q$27)/$I$44)))*(1-MIN(ABS(in_elas)*$J$44*$K$44*$G38/$L$44,1)))</f>
        <v/>
      </c>
      <c r="R38" s="21">
        <f>100*(1-(1-$H$44*(1-EXP(-($G38+R$27)/$I$44)))*(1-MIN(ABS(in_elas)*$J$44*$K$44*$G38/$L$44,1)))</f>
        <v/>
      </c>
    </row>
    <row r="39">
      <c r="B39" s="7" t="inlineStr">
        <is>
          <t>... lower middle income</t>
        </is>
      </c>
      <c r="C39" s="8" t="n">
        <v>0.035</v>
      </c>
      <c r="D39" s="9" t="inlineStr">
        <is>
          <t>Placeholder</t>
        </is>
      </c>
    </row>
    <row r="40">
      <c r="B40" s="7" t="inlineStr">
        <is>
          <t>... upper middle income</t>
        </is>
      </c>
      <c r="C40" s="8" t="n">
        <v>0.04</v>
      </c>
      <c r="D40" s="9" t="inlineStr">
        <is>
          <t>Placeholder</t>
        </is>
      </c>
    </row>
    <row r="41">
      <c r="B41" s="7" t="inlineStr">
        <is>
          <t>... high income</t>
        </is>
      </c>
      <c r="C41" s="8" t="n">
        <v>0.03</v>
      </c>
      <c r="D41" s="9" t="inlineStr">
        <is>
          <t>Placeholder</t>
        </is>
      </c>
    </row>
    <row r="42">
      <c r="G42" s="9" t="inlineStr">
        <is>
          <t>Grid parameters (from Countries)</t>
        </is>
      </c>
    </row>
    <row r="43">
      <c r="B43" s="6" t="inlineStr">
        <is>
          <t>Notes</t>
        </is>
      </c>
      <c r="C43" s="6" t="inlineStr"/>
      <c r="D43" s="6" t="inlineStr"/>
      <c r="H43" s="5" t="inlineStr">
        <is>
          <t>smax</t>
        </is>
      </c>
      <c r="I43" s="5" t="inlineStr">
        <is>
          <t>tsw</t>
        </is>
      </c>
      <c r="J43" s="5" t="inlineStr">
        <is>
          <t>phi</t>
        </is>
      </c>
      <c r="K43" s="5" t="inlineStr">
        <is>
          <t>eavg</t>
        </is>
      </c>
      <c r="L43" s="5" t="inlineStr">
        <is>
          <t>pres</t>
        </is>
      </c>
      <c r="M43" s="5" t="inlineStr">
        <is>
          <t>a1</t>
        </is>
      </c>
      <c r="N43" s="5" t="inlineStr">
        <is>
          <t>a2</t>
        </is>
      </c>
      <c r="O43" s="5" t="inlineStr">
        <is>
          <t>a3t</t>
        </is>
      </c>
      <c r="P43" s="5" t="inlineStr">
        <is>
          <t>a3f</t>
        </is>
      </c>
    </row>
    <row r="44" ht="34" customHeight="1">
      <c r="B44" s="22" t="inlineStr">
        <is>
          <t>What: most power-sector CO2 cut from a carbon tax/ETS, a feebate (= output-based allocation, TPS) or a hybrid, without exceeding three political limits.</t>
        </is>
      </c>
      <c r="H44" s="23">
        <f>INDEX(Countries!$X$1:$X$174,sel_row)</f>
        <v/>
      </c>
      <c r="I44" s="23">
        <f>INDEX(Countries!$Y$1:$Y$174,sel_row)</f>
        <v/>
      </c>
      <c r="J44" s="23">
        <f>INDEX(Countries!$W$1:$W$174,sel_row)</f>
        <v/>
      </c>
      <c r="K44" s="23">
        <f>INDEX(Countries!$R$1:$R$174,sel_row)</f>
        <v/>
      </c>
      <c r="L44" s="23">
        <f>INDEX(Countries!$V$1:$V$174,sel_row)</f>
        <v/>
      </c>
      <c r="M44" s="23">
        <f>INDEX(Countries!$AB$1:$AB$174,sel_row)</f>
        <v/>
      </c>
      <c r="N44" s="23">
        <f>INDEX(Countries!$AC$1:$AC$174,sel_row)</f>
        <v/>
      </c>
      <c r="O44" s="23">
        <f>INDEX(Countries!$AD$1:$AD$174,sel_row)</f>
        <v/>
      </c>
      <c r="P44" s="23">
        <f>INDEX(Countries!$AE$1:$AE$174,sel_row)</f>
        <v/>
      </c>
    </row>
    <row r="45" ht="34" customHeight="1">
      <c r="B45" s="22" t="inlineStr">
        <is>
          <t>E = 1-(1-A_sub)(1-A_dem). A_sub = s_max(1-exp(-(tax+feebate)/switching price)): cleaner generation, driven by the marginal price. A_dem = |elasticity| x tariff rise: less use, driven by the tax only.</t>
        </is>
      </c>
    </row>
    <row r="46" ht="34" customHeight="1">
      <c r="B46" s="22" t="inlineStr">
        <is>
          <t>F1 = tariff rise = pass-through x avg intensity x tax / tariff. F2 = bottom-40% budget share x F1 x (1 - rebate cover); full cover needs pass-through x residential share x q40 of revenue.</t>
        </is>
      </c>
      <c r="G46" s="9" t="inlineStr">
        <is>
          <t>Best feasible E in grid</t>
        </is>
      </c>
      <c r="H46" s="24">
        <f>MAX(IF(AND($M$44*$G28&lt;=in_f1,$N$44*$G28&lt;=in_f2,$O$44*$G28+$P$44*H$27&lt;=in_f3),H28,0),IF(AND($M$44*$G28&lt;=in_f1,$N$44*$G28&lt;=in_f2,$O$44*$G28+$P$44*I$27&lt;=in_f3),I28,0),IF(AND($M$44*$G28&lt;=in_f1,$N$44*$G28&lt;=in_f2,$O$44*$G28+$P$44*J$27&lt;=in_f3),J28,0),IF(AND($M$44*$G28&lt;=in_f1,$N$44*$G28&lt;=in_f2,$O$44*$G28+$P$44*K$27&lt;=in_f3),K28,0),IF(AND($M$44*$G28&lt;=in_f1,$N$44*$G28&lt;=in_f2,$O$44*$G28+$P$44*L$27&lt;=in_f3),L28,0),IF(AND($M$44*$G28&lt;=in_f1,$N$44*$G28&lt;=in_f2,$O$44*$G28+$P$44*M$27&lt;=in_f3),M28,0),IF(AND($M$44*$G28&lt;=in_f1,$N$44*$G28&lt;=in_f2,$O$44*$G28+$P$44*N$27&lt;=in_f3),N28,0),IF(AND($M$44*$G28&lt;=in_f1,$N$44*$G28&lt;=in_f2,$O$44*$G28+$P$44*O$27&lt;=in_f3),O28,0),IF(AND($M$44*$G28&lt;=in_f1,$N$44*$G28&lt;=in_f2,$O$44*$G28+$P$44*P$27&lt;=in_f3),P28,0),IF(AND($M$44*$G28&lt;=in_f1,$N$44*$G28&lt;=in_f2,$O$44*$G28+$P$44*Q$27&lt;=in_f3),Q28,0),IF(AND($M$44*$G28&lt;=in_f1,$N$44*$G28&lt;=in_f2,$O$44*$G28+$P$44*R$27&lt;=in_f3),R28,0),IF(AND($M$44*$G29&lt;=in_f1,$N$44*$G29&lt;=in_f2,$O$44*$G29+$P$44*H$27&lt;=in_f3),H29,0),IF(AND($M$44*$G29&lt;=in_f1,$N$44*$G29&lt;=in_f2,$O$44*$G29+$P$44*I$27&lt;=in_f3),I29,0),IF(AND($M$44*$G29&lt;=in_f1,$N$44*$G29&lt;=in_f2,$O$44*$G29+$P$44*J$27&lt;=in_f3),J29,0),IF(AND($M$44*$G29&lt;=in_f1,$N$44*$G29&lt;=in_f2,$O$44*$G29+$P$44*K$27&lt;=in_f3),K29,0),IF(AND($M$44*$G29&lt;=in_f1,$N$44*$G29&lt;=in_f2,$O$44*$G29+$P$44*L$27&lt;=in_f3),L29,0),IF(AND($M$44*$G29&lt;=in_f1,$N$44*$G29&lt;=in_f2,$O$44*$G29+$P$44*M$27&lt;=in_f3),M29,0),IF(AND($M$44*$G29&lt;=in_f1,$N$44*$G29&lt;=in_f2,$O$44*$G29+$P$44*N$27&lt;=in_f3),N29,0),IF(AND($M$44*$G29&lt;=in_f1,$N$44*$G29&lt;=in_f2,$O$44*$G29+$P$44*O$27&lt;=in_f3),O29,0),IF(AND($M$44*$G29&lt;=in_f1,$N$44*$G29&lt;=in_f2,$O$44*$G29+$P$44*P$27&lt;=in_f3),P29,0),IF(AND($M$44*$G29&lt;=in_f1,$N$44*$G29&lt;=in_f2,$O$44*$G29+$P$44*Q$27&lt;=in_f3),Q29,0),IF(AND($M$44*$G29&lt;=in_f1,$N$44*$G29&lt;=in_f2,$O$44*$G29+$P$44*R$27&lt;=in_f3),R29,0),IF(AND($M$44*$G30&lt;=in_f1,$N$44*$G30&lt;=in_f2,$O$44*$G30+$P$44*H$27&lt;=in_f3),H30,0),IF(AND($M$44*$G30&lt;=in_f1,$N$44*$G30&lt;=in_f2,$O$44*$G30+$P$44*I$27&lt;=in_f3),I30,0),IF(AND($M$44*$G30&lt;=in_f1,$N$44*$G30&lt;=in_f2,$O$44*$G30+$P$44*J$27&lt;=in_f3),J30,0),IF(AND($M$44*$G30&lt;=in_f1,$N$44*$G30&lt;=in_f2,$O$44*$G30+$P$44*K$27&lt;=in_f3),K30,0),IF(AND($M$44*$G30&lt;=in_f1,$N$44*$G30&lt;=in_f2,$O$44*$G30+$P$44*L$27&lt;=in_f3),L30,0),IF(AND($M$44*$G30&lt;=in_f1,$N$44*$G30&lt;=in_f2,$O$44*$G30+$P$44*M$27&lt;=in_f3),M30,0),IF(AND($M$44*$G30&lt;=in_f1,$N$44*$G30&lt;=in_f2,$O$44*$G30+$P$44*N$27&lt;=in_f3),N30,0),IF(AND($M$44*$G30&lt;=in_f1,$N$44*$G30&lt;=in_f2,$O$44*$G30+$P$44*O$27&lt;=in_f3),O30,0),IF(AND($M$44*$G30&lt;=in_f1,$N$44*$G30&lt;=in_f2,$O$44*$G30+$P$44*P$27&lt;=in_f3),P30,0),IF(AND($M$44*$G30&lt;=in_f1,$N$44*$G30&lt;=in_f2,$O$44*$G30+$P$44*Q$27&lt;=in_f3),Q30,0),IF(AND($M$44*$G30&lt;=in_f1,$N$44*$G30&lt;=in_f2,$O$44*$G30+$P$44*R$27&lt;=in_f3),R30,0),IF(AND($M$44*$G31&lt;=in_f1,$N$44*$G31&lt;=in_f2,$O$44*$G31+$P$44*H$27&lt;=in_f3),H31,0),IF(AND($M$44*$G31&lt;=in_f1,$N$44*$G31&lt;=in_f2,$O$44*$G31+$P$44*I$27&lt;=in_f3),I31,0),IF(AND($M$44*$G31&lt;=in_f1,$N$44*$G31&lt;=in_f2,$O$44*$G31+$P$44*J$27&lt;=in_f3),J31,0),IF(AND($M$44*$G31&lt;=in_f1,$N$44*$G31&lt;=in_f2,$O$44*$G31+$P$44*K$27&lt;=in_f3),K31,0),IF(AND($M$44*$G31&lt;=in_f1,$N$44*$G31&lt;=in_f2,$O$44*$G31+$P$44*L$27&lt;=in_f3),L31,0),IF(AND($M$44*$G31&lt;=in_f1,$N$44*$G31&lt;=in_f2,$O$44*$G31+$P$44*M$27&lt;=in_f3),M31,0),IF(AND($M$44*$G31&lt;=in_f1,$N$44*$G31&lt;=in_f2,$O$44*$G31+$P$44*N$27&lt;=in_f3),N31,0),IF(AND($M$44*$G31&lt;=in_f1,$N$44*$G31&lt;=in_f2,$O$44*$G31+$P$44*O$27&lt;=in_f3),O31,0),IF(AND($M$44*$G31&lt;=in_f1,$N$44*$G31&lt;=in_f2,$O$44*$G31+$P$44*P$27&lt;=in_f3),P31,0),IF(AND($M$44*$G31&lt;=in_f1,$N$44*$G31&lt;=in_f2,$O$44*$G31+$P$44*Q$27&lt;=in_f3),Q31,0),IF(AND($M$44*$G31&lt;=in_f1,$N$44*$G31&lt;=in_f2,$O$44*$G31+$P$44*R$27&lt;=in_f3),R31,0),IF(AND($M$44*$G32&lt;=in_f1,$N$44*$G32&lt;=in_f2,$O$44*$G32+$P$44*H$27&lt;=in_f3),H32,0),IF(AND($M$44*$G32&lt;=in_f1,$N$44*$G32&lt;=in_f2,$O$44*$G32+$P$44*I$27&lt;=in_f3),I32,0),IF(AND($M$44*$G32&lt;=in_f1,$N$44*$G32&lt;=in_f2,$O$44*$G32+$P$44*J$27&lt;=in_f3),J32,0),IF(AND($M$44*$G32&lt;=in_f1,$N$44*$G32&lt;=in_f2,$O$44*$G32+$P$44*K$27&lt;=in_f3),K32,0),IF(AND($M$44*$G32&lt;=in_f1,$N$44*$G32&lt;=in_f2,$O$44*$G32+$P$44*L$27&lt;=in_f3),L32,0),IF(AND($M$44*$G32&lt;=in_f1,$N$44*$G32&lt;=in_f2,$O$44*$G32+$P$44*M$27&lt;=in_f3),M32,0),IF(AND($M$44*$G32&lt;=in_f1,$N$44*$G32&lt;=in_f2,$O$44*$G32+$P$44*N$27&lt;=in_f3),N32,0),IF(AND($M$44*$G32&lt;=in_f1,$N$44*$G32&lt;=in_f2,$O$44*$G32+$P$44*O$27&lt;=in_f3),O32,0),IF(AND($M$44*$G32&lt;=in_f1,$N$44*$G32&lt;=in_f2,$O$44*$G32+$P$44*P$27&lt;=in_f3),P32,0),IF(AND($M$44*$G32&lt;=in_f1,$N$44*$G32&lt;=in_f2,$O$44*$G32+$P$44*Q$27&lt;=in_f3),Q32,0),IF(AND($M$44*$G32&lt;=in_f1,$N$44*$G32&lt;=in_f2,$O$44*$G32+$P$44*R$27&lt;=in_f3),R32,0),IF(AND($M$44*$G33&lt;=in_f1,$N$44*$G33&lt;=in_f2,$O$44*$G33+$P$44*H$27&lt;=in_f3),H33,0),IF(AND($M$44*$G33&lt;=in_f1,$N$44*$G33&lt;=in_f2,$O$44*$G33+$P$44*I$27&lt;=in_f3),I33,0),IF(AND($M$44*$G33&lt;=in_f1,$N$44*$G33&lt;=in_f2,$O$44*$G33+$P$44*J$27&lt;=in_f3),J33,0),IF(AND($M$44*$G33&lt;=in_f1,$N$44*$G33&lt;=in_f2,$O$44*$G33+$P$44*K$27&lt;=in_f3),K33,0),IF(AND($M$44*$G33&lt;=in_f1,$N$44*$G33&lt;=in_f2,$O$44*$G33+$P$44*L$27&lt;=in_f3),L33,0),IF(AND($M$44*$G33&lt;=in_f1,$N$44*$G33&lt;=in_f2,$O$44*$G33+$P$44*M$27&lt;=in_f3),M33,0),IF(AND($M$44*$G33&lt;=in_f1,$N$44*$G33&lt;=in_f2,$O$44*$G33+$P$44*N$27&lt;=in_f3),N33,0),IF(AND($M$44*$G33&lt;=in_f1,$N$44*$G33&lt;=in_f2,$O$44*$G33+$P$44*O$27&lt;=in_f3),O33,0),IF(AND($M$44*$G33&lt;=in_f1,$N$44*$G33&lt;=in_f2,$O$44*$G33+$P$44*P$27&lt;=in_f3),P33,0),IF(AND($M$44*$G33&lt;=in_f1,$N$44*$G33&lt;=in_f2,$O$44*$G33+$P$44*Q$27&lt;=in_f3),Q33,0),IF(AND($M$44*$G33&lt;=in_f1,$N$44*$G33&lt;=in_f2,$O$44*$G33+$P$44*R$27&lt;=in_f3),R33,0),IF(AND($M$44*$G34&lt;=in_f1,$N$44*$G34&lt;=in_f2,$O$44*$G34+$P$44*H$27&lt;=in_f3),H34,0),IF(AND($M$44*$G34&lt;=in_f1,$N$44*$G34&lt;=in_f2,$O$44*$G34+$P$44*I$27&lt;=in_f3),I34,0),IF(AND($M$44*$G34&lt;=in_f1,$N$44*$G34&lt;=in_f2,$O$44*$G34+$P$44*J$27&lt;=in_f3),J34,0),IF(AND($M$44*$G34&lt;=in_f1,$N$44*$G34&lt;=in_f2,$O$44*$G34+$P$44*K$27&lt;=in_f3),K34,0),IF(AND($M$44*$G34&lt;=in_f1,$N$44*$G34&lt;=in_f2,$O$44*$G34+$P$44*L$27&lt;=in_f3),L34,0),IF(AND($M$44*$G34&lt;=in_f1,$N$44*$G34&lt;=in_f2,$O$44*$G34+$P$44*M$27&lt;=in_f3),M34,0),IF(AND($M$44*$G34&lt;=in_f1,$N$44*$G34&lt;=in_f2,$O$44*$G34+$P$44*N$27&lt;=in_f3),N34,0),IF(AND($M$44*$G34&lt;=in_f1,$N$44*$G34&lt;=in_f2,$O$44*$G34+$P$44*O$27&lt;=in_f3),O34,0),IF(AND($M$44*$G34&lt;=in_f1,$N$44*$G34&lt;=in_f2,$O$44*$G34+$P$44*P$27&lt;=in_f3),P34,0),IF(AND($M$44*$G34&lt;=in_f1,$N$44*$G34&lt;=in_f2,$O$44*$G34+$P$44*Q$27&lt;=in_f3),Q34,0),IF(AND($M$44*$G34&lt;=in_f1,$N$44*$G34&lt;=in_f2,$O$44*$G34+$P$44*R$27&lt;=in_f3),R34,0),IF(AND($M$44*$G35&lt;=in_f1,$N$44*$G35&lt;=in_f2,$O$44*$G35+$P$44*H$27&lt;=in_f3),H35,0),IF(AND($M$44*$G35&lt;=in_f1,$N$44*$G35&lt;=in_f2,$O$44*$G35+$P$44*I$27&lt;=in_f3),I35,0),IF(AND($M$44*$G35&lt;=in_f1,$N$44*$G35&lt;=in_f2,$O$44*$G35+$P$44*J$27&lt;=in_f3),J35,0),IF(AND($M$44*$G35&lt;=in_f1,$N$44*$G35&lt;=in_f2,$O$44*$G35+$P$44*K$27&lt;=in_f3),K35,0),IF(AND($M$44*$G35&lt;=in_f1,$N$44*$G35&lt;=in_f2,$O$44*$G35+$P$44*L$27&lt;=in_f3),L35,0),IF(AND($M$44*$G35&lt;=in_f1,$N$44*$G35&lt;=in_f2,$O$44*$G35+$P$44*M$27&lt;=in_f3),M35,0),IF(AND($M$44*$G35&lt;=in_f1,$N$44*$G35&lt;=in_f2,$O$44*$G35+$P$44*N$27&lt;=in_f3),N35,0),IF(AND($M$44*$G35&lt;=in_f1,$N$44*$G35&lt;=in_f2,$O$44*$G35+$P$44*O$27&lt;=in_f3),O35,0),IF(AND($M$44*$G35&lt;=in_f1,$N$44*$G35&lt;=in_f2,$O$44*$G35+$P$44*P$27&lt;=in_f3),P35,0),IF(AND($M$44*$G35&lt;=in_f1,$N$44*$G35&lt;=in_f2,$O$44*$G35+$P$44*Q$27&lt;=in_f3),Q35,0),IF(AND($M$44*$G35&lt;=in_f1,$N$44*$G35&lt;=in_f2,$O$44*$G35+$P$44*R$27&lt;=in_f3),R35,0),IF(AND($M$44*$G36&lt;=in_f1,$N$44*$G36&lt;=in_f2,$O$44*$G36+$P$44*H$27&lt;=in_f3),H36,0),IF(AND($M$44*$G36&lt;=in_f1,$N$44*$G36&lt;=in_f2,$O$44*$G36+$P$44*I$27&lt;=in_f3),I36,0),IF(AND($M$44*$G36&lt;=in_f1,$N$44*$G36&lt;=in_f2,$O$44*$G36+$P$44*J$27&lt;=in_f3),J36,0),IF(AND($M$44*$G36&lt;=in_f1,$N$44*$G36&lt;=in_f2,$O$44*$G36+$P$44*K$27&lt;=in_f3),K36,0),IF(AND($M$44*$G36&lt;=in_f1,$N$44*$G36&lt;=in_f2,$O$44*$G36+$P$44*L$27&lt;=in_f3),L36,0),IF(AND($M$44*$G36&lt;=in_f1,$N$44*$G36&lt;=in_f2,$O$44*$G36+$P$44*M$27&lt;=in_f3),M36,0),IF(AND($M$44*$G36&lt;=in_f1,$N$44*$G36&lt;=in_f2,$O$44*$G36+$P$44*N$27&lt;=in_f3),N36,0),IF(AND($M$44*$G36&lt;=in_f1,$N$44*$G36&lt;=in_f2,$O$44*$G36+$P$44*O$27&lt;=in_f3),O36,0),IF(AND($M$44*$G36&lt;=in_f1,$N$44*$G36&lt;=in_f2,$O$44*$G36+$P$44*P$27&lt;=in_f3),P36,0),IF(AND($M$44*$G36&lt;=in_f1,$N$44*$G36&lt;=in_f2,$O$44*$G36+$P$44*Q$27&lt;=in_f3),Q36,0),IF(AND($M$44*$G36&lt;=in_f1,$N$44*$G36&lt;=in_f2,$O$44*$G36+$P$44*R$27&lt;=in_f3),R36,0),IF(AND($M$44*$G37&lt;=in_f1,$N$44*$G37&lt;=in_f2,$O$44*$G37+$P$44*H$27&lt;=in_f3),H37,0),IF(AND($M$44*$G37&lt;=in_f1,$N$44*$G37&lt;=in_f2,$O$44*$G37+$P$44*I$27&lt;=in_f3),I37,0),IF(AND($M$44*$G37&lt;=in_f1,$N$44*$G37&lt;=in_f2,$O$44*$G37+$P$44*J$27&lt;=in_f3),J37,0),IF(AND($M$44*$G37&lt;=in_f1,$N$44*$G37&lt;=in_f2,$O$44*$G37+$P$44*K$27&lt;=in_f3),K37,0),IF(AND($M$44*$G37&lt;=in_f1,$N$44*$G37&lt;=in_f2,$O$44*$G37+$P$44*L$27&lt;=in_f3),L37,0),IF(AND($M$44*$G37&lt;=in_f1,$N$44*$G37&lt;=in_f2,$O$44*$G37+$P$44*M$27&lt;=in_f3),M37,0),IF(AND($M$44*$G37&lt;=in_f1,$N$44*$G37&lt;=in_f2,$O$44*$G37+$P$44*N$27&lt;=in_f3),N37,0),IF(AND($M$44*$G37&lt;=in_f1,$N$44*$G37&lt;=in_f2,$O$44*$G37+$P$44*O$27&lt;=in_f3),O37,0),IF(AND($M$44*$G37&lt;=in_f1,$N$44*$G37&lt;=in_f2,$O$44*$G37+$P$44*P$27&lt;=in_f3),P37,0),IF(AND($M$44*$G37&lt;=in_f1,$N$44*$G37&lt;=in_f2,$O$44*$G37+$P$44*Q$27&lt;=in_f3),Q37,0),IF(AND($M$44*$G37&lt;=in_f1,$N$44*$G37&lt;=in_f2,$O$44*$G37+$P$44*R$27&lt;=in_f3),R37,0),IF(AND($M$44*$G38&lt;=in_f1,$N$44*$G38&lt;=in_f2,$O$44*$G38+$P$44*H$27&lt;=in_f3),H38,0),IF(AND($M$44*$G38&lt;=in_f1,$N$44*$G38&lt;=in_f2,$O$44*$G38+$P$44*I$27&lt;=in_f3),I38,0),IF(AND($M$44*$G38&lt;=in_f1,$N$44*$G38&lt;=in_f2,$O$44*$G38+$P$44*J$27&lt;=in_f3),J38,0),IF(AND($M$44*$G38&lt;=in_f1,$N$44*$G38&lt;=in_f2,$O$44*$G38+$P$44*K$27&lt;=in_f3),K38,0),IF(AND($M$44*$G38&lt;=in_f1,$N$44*$G38&lt;=in_f2,$O$44*$G38+$P$44*L$27&lt;=in_f3),L38,0),IF(AND($M$44*$G38&lt;=in_f1,$N$44*$G38&lt;=in_f2,$O$44*$G38+$P$44*M$27&lt;=in_f3),M38,0),IF(AND($M$44*$G38&lt;=in_f1,$N$44*$G38&lt;=in_f2,$O$44*$G38+$P$44*N$27&lt;=in_f3),N38,0),IF(AND($M$44*$G38&lt;=in_f1,$N$44*$G38&lt;=in_f2,$O$44*$G38+$P$44*O$27&lt;=in_f3),O38,0),IF(AND($M$44*$G38&lt;=in_f1,$N$44*$G38&lt;=in_f2,$O$44*$G38+$P$44*P$27&lt;=in_f3),P38,0),IF(AND($M$44*$G38&lt;=in_f1,$N$44*$G38&lt;=in_f2,$O$44*$G38+$P$44*Q$27&lt;=in_f3),Q38,0),IF(AND($M$44*$G38&lt;=in_f1,$N$44*$G38&lt;=in_f2,$O$44*$G38+$P$44*R$27&lt;=in_f3),R38,0))</f>
        <v/>
      </c>
    </row>
    <row r="47" ht="34" customHeight="1">
      <c r="B47" s="22" t="inlineStr">
        <is>
          <t>F3 = [tax x coal/oil intensity x (1-pass-through) + feebate x (coal/oil intensity - average)] / wholesale price: what coal and oil generators pay.</t>
        </is>
      </c>
    </row>
    <row r="48" ht="34" customHeight="1">
      <c r="B48" s="22" t="inlineStr">
        <is>
          <t>Data: same long format as the dashboard's global_data_long.csv. To refresh, paste new rows on Data (same columns); add a country by adding its ISO3 in Countries col A and copying a row down.</t>
        </is>
      </c>
    </row>
    <row r="49" ht="34" customHeight="1">
      <c r="B49" s="22" t="inlineStr">
        <is>
          <t>Screening only. Priors above are placeholders. One sector, one period (~2030). Python version and method: price_feasibility.py, README.md, NOTES.md.</t>
        </is>
      </c>
    </row>
  </sheetData>
  <mergeCells count="6">
    <mergeCell ref="B45:D45"/>
    <mergeCell ref="B46:D46"/>
    <mergeCell ref="B49:D49"/>
    <mergeCell ref="B44:D44"/>
    <mergeCell ref="B47:D47"/>
    <mergeCell ref="B48:D48"/>
  </mergeCells>
  <conditionalFormatting sqref="H28:R38">
    <cfRule type="expression" priority="1" dxfId="0">
      <formula>AND(AND($M$44*$G28&lt;=in_f1,$N$44*$G28&lt;=in_f2,$O$44*$G28+$P$44*H$27&lt;=in_f3),ABS(H28-$H$46)&lt;1E-9)</formula>
    </cfRule>
    <cfRule type="expression" priority="2" dxfId="1">
      <formula>AND($M$44*$G28&lt;=in_f1,$N$44*$G28&lt;=in_f2,$O$44*$G28+$P$44*H$27&lt;=in_f3)</formula>
    </cfRule>
    <cfRule type="expression" priority="3" dxfId="2">
      <formula>NOT(AND($M$44*$G28&lt;=in_f1,$N$44*$G28&lt;=in_f2,$O$44*$G28+$P$44*H$27&lt;=in_f3))</formula>
    </cfRule>
  </conditionalFormatting>
  <dataValidations count="1">
    <dataValidation sqref="C5" showDropDown="0" showInputMessage="0" showErrorMessage="0" allowBlank="0" type="list">
      <formula1>=Countries!$A$5:$A$174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7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8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8" customWidth="1" min="38" max="38"/>
    <col width="7" customWidth="1" min="39" max="39"/>
    <col width="7" customWidth="1" min="40" max="40"/>
    <col width="8" customWidth="1" min="41" max="41"/>
    <col width="7" customWidth="1" min="42" max="42"/>
    <col width="7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6" customWidth="1" min="49" max="49"/>
    <col width="6" customWidth="1" min="50" max="50"/>
    <col width="6" customWidth="1" min="51" max="51"/>
    <col width="8" customWidth="1" min="52" max="52"/>
    <col width="8" customWidth="1" min="53" max="53"/>
    <col hidden="1" outlineLevel="1" width="6" customWidth="1" min="54" max="54"/>
    <col hidden="1" outlineLevel="1" width="6" customWidth="1" min="55" max="55"/>
    <col hidden="1" outlineLevel="1" width="6" customWidth="1" min="56" max="56"/>
    <col hidden="1" outlineLevel="1" width="6" customWidth="1" min="57" max="57"/>
    <col hidden="1" outlineLevel="1" width="6" customWidth="1" min="58" max="58"/>
    <col hidden="1" outlineLevel="1" width="6" customWidth="1" min="59" max="59"/>
    <col hidden="1" outlineLevel="1" width="6" customWidth="1" min="60" max="60"/>
    <col hidden="1" outlineLevel="1" width="6" customWidth="1" min="61" max="61"/>
    <col hidden="1" outlineLevel="1" width="6" customWidth="1" min="62" max="62"/>
    <col hidden="1" outlineLevel="1" width="6" customWidth="1" min="63" max="63"/>
    <col hidden="1" outlineLevel="1" width="6" customWidth="1" min="64" max="64"/>
    <col hidden="1" outlineLevel="1" width="6" customWidth="1" min="65" max="65"/>
    <col hidden="1" outlineLevel="1" width="6" customWidth="1" min="66" max="66"/>
    <col hidden="1" outlineLevel="1" width="6" customWidth="1" min="67" max="67"/>
    <col hidden="1" outlineLevel="1" width="6" customWidth="1" min="68" max="68"/>
    <col hidden="1" outlineLevel="1" width="6" customWidth="1" min="69" max="69"/>
    <col hidden="1" outlineLevel="1" width="6" customWidth="1" min="70" max="70"/>
    <col hidden="1" outlineLevel="1" width="6" customWidth="1" min="71" max="71"/>
    <col hidden="1" outlineLevel="1" width="6" customWidth="1" min="72" max="72"/>
    <col hidden="1" outlineLevel="1" width="6" customWidth="1" min="73" max="73"/>
    <col hidden="1" outlineLevel="1" width="6" customWidth="1" min="74" max="74"/>
    <col hidden="1" outlineLevel="1" width="6" customWidth="1" min="75" max="75"/>
  </cols>
  <sheetData>
    <row r="1">
      <c r="A1" s="25" t="inlineStr">
        <is>
          <t>Countries: all metrics are live formulas on the Data tab and the Screen inputs</t>
        </is>
      </c>
    </row>
    <row r="2">
      <c r="A2" s="26" t="inlineStr">
        <is>
          <t>Rates in $/tCO2. E = abatement, % of baseline fossil power CO2. Hybrid: tax searched in 11 steps up to its cap; feebate fills the remaining F3 room.</t>
        </is>
      </c>
    </row>
    <row r="3">
      <c r="A3" s="27" t="inlineStr">
        <is>
          <t>Country</t>
        </is>
      </c>
      <c r="D3" s="27" t="inlineStr">
        <is>
          <t>Data</t>
        </is>
      </c>
      <c r="Q3" s="27" t="inlineStr">
        <is>
          <t>Parameters</t>
        </is>
      </c>
      <c r="AB3" s="27" t="inlineStr">
        <is>
          <t>Coefficients</t>
        </is>
      </c>
      <c r="AF3" s="27" t="inlineStr">
        <is>
          <t>Tax only</t>
        </is>
      </c>
      <c r="AM3" s="27" t="inlineStr">
        <is>
          <t>Feebate only</t>
        </is>
      </c>
      <c r="AP3" s="27" t="inlineStr">
        <is>
          <t>At $50/t</t>
        </is>
      </c>
      <c r="AT3" s="27" t="inlineStr">
        <is>
          <t>Hybrid (best mix)</t>
        </is>
      </c>
      <c r="BB3" s="27" t="inlineStr">
        <is>
          <t>Hybrid search: feebate</t>
        </is>
      </c>
      <c r="BM3" s="27" t="inlineStr">
        <is>
          <t>Hybrid search: E</t>
        </is>
      </c>
    </row>
    <row r="4" ht="42" customHeight="1">
      <c r="A4" s="6" t="inlineStr">
        <is>
          <t>ISO3</t>
        </is>
      </c>
      <c r="B4" s="6" t="inlineStr">
        <is>
          <t>Country</t>
        </is>
      </c>
      <c r="C4" s="6" t="inlineStr">
        <is>
          <t>Income</t>
        </is>
      </c>
      <c r="D4" s="6" t="inlineStr">
        <is>
          <t>Coal gen TWh</t>
        </is>
      </c>
      <c r="E4" s="6" t="inlineStr">
        <is>
          <t>Gas gen TWh</t>
        </is>
      </c>
      <c r="F4" s="6" t="inlineStr">
        <is>
          <t>Oil gen TWh</t>
        </is>
      </c>
      <c r="G4" s="6" t="inlineStr">
        <is>
          <t>Total gen TWh</t>
        </is>
      </c>
      <c r="H4" s="6" t="inlineStr">
        <is>
          <t>Coal CO2 Mt</t>
        </is>
      </c>
      <c r="I4" s="6" t="inlineStr">
        <is>
          <t>Gas CO2 Mt</t>
        </is>
      </c>
      <c r="J4" s="6" t="inlineStr">
        <is>
          <t>Oil CO2 Mt</t>
        </is>
      </c>
      <c r="K4" s="6" t="inlineStr">
        <is>
          <t>Res. tariff $/kWh</t>
        </is>
      </c>
      <c r="L4" s="6" t="inlineStr">
        <is>
          <t>Coal price power $/GJ</t>
        </is>
      </c>
      <c r="M4" s="6" t="inlineStr">
        <is>
          <t>Gas price power $/GJ</t>
        </is>
      </c>
      <c r="N4" s="6" t="inlineStr">
        <is>
          <t>Gas price ind. $/GJ</t>
        </is>
      </c>
      <c r="O4" s="6" t="inlineStr">
        <is>
          <t>Market structure (PSRT)</t>
        </is>
      </c>
      <c r="P4" s="6" t="inlineStr">
        <is>
          <t>RISE RE score</t>
        </is>
      </c>
      <c r="Q4" s="6" t="inlineStr">
        <is>
          <t>Baseline CO2 Mt</t>
        </is>
      </c>
      <c r="R4" s="6" t="inlineStr">
        <is>
          <t>Avg intensity t/MWh</t>
        </is>
      </c>
      <c r="S4" s="6" t="inlineStr">
        <is>
          <t>Coal t/MWh</t>
        </is>
      </c>
      <c r="T4" s="6" t="inlineStr">
        <is>
          <t>Gas t/MWh</t>
        </is>
      </c>
      <c r="U4" s="6" t="inlineStr">
        <is>
          <t>Coal+oil t/MWh</t>
        </is>
      </c>
      <c r="V4" s="6" t="inlineStr">
        <is>
          <t>Tariff $/MWh</t>
        </is>
      </c>
      <c r="W4" s="6" t="inlineStr">
        <is>
          <t>Pass-through</t>
        </is>
      </c>
      <c r="X4" s="6" t="inlineStr">
        <is>
          <t>Max substitution share</t>
        </is>
      </c>
      <c r="Y4" s="6" t="inlineStr">
        <is>
          <t>Switching price $/t</t>
        </is>
      </c>
      <c r="Z4" s="6" t="inlineStr">
        <is>
          <t>B40 elec. budget share</t>
        </is>
      </c>
      <c r="AA4" s="6" t="inlineStr">
        <is>
          <t>Coal+oil gen share</t>
        </is>
      </c>
      <c r="AB4" s="6" t="inlineStr">
        <is>
          <t>F1 per $ tax</t>
        </is>
      </c>
      <c r="AC4" s="6" t="inlineStr">
        <is>
          <t>F2 per $ tax</t>
        </is>
      </c>
      <c r="AD4" s="6" t="inlineStr">
        <is>
          <t>F3 per $ tax</t>
        </is>
      </c>
      <c r="AE4" s="6" t="inlineStr">
        <is>
          <t>F3 per $ feebate</t>
        </is>
      </c>
      <c r="AF4" s="6" t="inlineStr">
        <is>
          <t>Tax cap from F1</t>
        </is>
      </c>
      <c r="AG4" s="6" t="inlineStr">
        <is>
          <t>Tax cap from F2</t>
        </is>
      </c>
      <c r="AH4" s="6" t="inlineStr">
        <is>
          <t>Tax cap from F3</t>
        </is>
      </c>
      <c r="AI4" s="6" t="inlineStr">
        <is>
          <t>Best tax $/t</t>
        </is>
      </c>
      <c r="AJ4" s="6" t="inlineStr">
        <is>
          <t>Tax: E %</t>
        </is>
      </c>
      <c r="AK4" s="6" t="inlineStr">
        <is>
          <t>Tax: binding</t>
        </is>
      </c>
      <c r="AL4" s="6" t="inlineStr">
        <is>
          <t>Tax: +1pp F1 buys (pp E)</t>
        </is>
      </c>
      <c r="AM4" s="6" t="inlineStr">
        <is>
          <t>Best feebate $/t</t>
        </is>
      </c>
      <c r="AN4" s="6" t="inlineStr">
        <is>
          <t>Feebate: E %</t>
        </is>
      </c>
      <c r="AO4" s="6" t="inlineStr">
        <is>
          <t>Feebate: binding</t>
        </is>
      </c>
      <c r="AP4" s="6" t="inlineStr">
        <is>
          <t>E at $50 tax</t>
        </is>
      </c>
      <c r="AQ4" s="6" t="inlineStr">
        <is>
          <t>E at $50 feebate</t>
        </is>
      </c>
      <c r="AR4" s="6" t="inlineStr">
        <is>
          <t>Feebate/tax abatement ratio</t>
        </is>
      </c>
      <c r="AS4" s="6" t="inlineStr">
        <is>
          <t>F1 at $50 tax</t>
        </is>
      </c>
      <c r="AT4" s="6" t="inlineStr">
        <is>
          <t>Hybrid: E %</t>
        </is>
      </c>
      <c r="AU4" s="6" t="inlineStr">
        <is>
          <t>Hybrid: tax $/t</t>
        </is>
      </c>
      <c r="AV4" s="6" t="inlineStr">
        <is>
          <t>Hybrid: feebate $/t</t>
        </is>
      </c>
      <c r="AW4" s="6" t="inlineStr">
        <is>
          <t>Hybrid: F1</t>
        </is>
      </c>
      <c r="AX4" s="6" t="inlineStr">
        <is>
          <t>Hybrid: F2</t>
        </is>
      </c>
      <c r="AY4" s="6" t="inlineStr">
        <is>
          <t>Hybrid: F3</t>
        </is>
      </c>
      <c r="AZ4" s="6" t="inlineStr">
        <is>
          <t>Hybrid: binding</t>
        </is>
      </c>
      <c r="BA4" s="6" t="inlineStr">
        <is>
          <t>Hybrid: Mt saved</t>
        </is>
      </c>
      <c r="BB4" s="6" t="inlineStr">
        <is>
          <t>Feebate at k=0</t>
        </is>
      </c>
      <c r="BC4" s="6" t="inlineStr">
        <is>
          <t>Feebate at k=1</t>
        </is>
      </c>
      <c r="BD4" s="6" t="inlineStr">
        <is>
          <t>Feebate at k=2</t>
        </is>
      </c>
      <c r="BE4" s="6" t="inlineStr">
        <is>
          <t>Feebate at k=3</t>
        </is>
      </c>
      <c r="BF4" s="6" t="inlineStr">
        <is>
          <t>Feebate at k=4</t>
        </is>
      </c>
      <c r="BG4" s="6" t="inlineStr">
        <is>
          <t>Feebate at k=5</t>
        </is>
      </c>
      <c r="BH4" s="6" t="inlineStr">
        <is>
          <t>Feebate at k=6</t>
        </is>
      </c>
      <c r="BI4" s="6" t="inlineStr">
        <is>
          <t>Feebate at k=7</t>
        </is>
      </c>
      <c r="BJ4" s="6" t="inlineStr">
        <is>
          <t>Feebate at k=8</t>
        </is>
      </c>
      <c r="BK4" s="6" t="inlineStr">
        <is>
          <t>Feebate at k=9</t>
        </is>
      </c>
      <c r="BL4" s="6" t="inlineStr">
        <is>
          <t>Feebate at k=10</t>
        </is>
      </c>
      <c r="BM4" s="6" t="inlineStr">
        <is>
          <t>E at k=0</t>
        </is>
      </c>
      <c r="BN4" s="6" t="inlineStr">
        <is>
          <t>E at k=1</t>
        </is>
      </c>
      <c r="BO4" s="6" t="inlineStr">
        <is>
          <t>E at k=2</t>
        </is>
      </c>
      <c r="BP4" s="6" t="inlineStr">
        <is>
          <t>E at k=3</t>
        </is>
      </c>
      <c r="BQ4" s="6" t="inlineStr">
        <is>
          <t>E at k=4</t>
        </is>
      </c>
      <c r="BR4" s="6" t="inlineStr">
        <is>
          <t>E at k=5</t>
        </is>
      </c>
      <c r="BS4" s="6" t="inlineStr">
        <is>
          <t>E at k=6</t>
        </is>
      </c>
      <c r="BT4" s="6" t="inlineStr">
        <is>
          <t>E at k=7</t>
        </is>
      </c>
      <c r="BU4" s="6" t="inlineStr">
        <is>
          <t>E at k=8</t>
        </is>
      </c>
      <c r="BV4" s="6" t="inlineStr">
        <is>
          <t>E at k=9</t>
        </is>
      </c>
      <c r="BW4" s="6" t="inlineStr">
        <is>
          <t>E at k=10</t>
        </is>
      </c>
    </row>
    <row r="5">
      <c r="A5" s="17" t="inlineStr">
        <is>
          <t>ABW</t>
        </is>
      </c>
      <c r="B5" s="17">
        <f>INDEX(Data!$B:$B,MATCH($A5,Data!$A:$A,0))</f>
        <v/>
      </c>
      <c r="C5" s="17">
        <f>INDEX(Data!$D:$D,MATCH($A5,Data!$A:$A,0))</f>
        <v/>
      </c>
      <c r="D5" s="16">
        <f>SUMIFS(Data!$G:$G,Data!$A:$A,$A5,Data!$F:$F,"gen_coal_twh")</f>
        <v/>
      </c>
      <c r="E5" s="16">
        <f>SUMIFS(Data!$G:$G,Data!$A:$A,$A5,Data!$F:$F,"gen_gas_twh")</f>
        <v/>
      </c>
      <c r="F5" s="16">
        <f>SUMIFS(Data!$G:$G,Data!$A:$A,$A5,Data!$F:$F,"gen_oil_twh")</f>
        <v/>
      </c>
      <c r="G5" s="16">
        <f>SUMIFS(Data!$G:$G,Data!$A:$A,$A5,Data!$F:$F,"gen_total_twh")</f>
        <v/>
      </c>
      <c r="H5" s="16">
        <f>SUMIFS(Data!$G:$G,Data!$A:$A,$A5,Data!$F:$F,"em_coal_mt")</f>
        <v/>
      </c>
      <c r="I5" s="16">
        <f>SUMIFS(Data!$G:$G,Data!$A:$A,$A5,Data!$F:$F,"em_gas_mt")</f>
        <v/>
      </c>
      <c r="J5" s="16">
        <f>SUMIFS(Data!$G:$G,Data!$A:$A,$A5,Data!$F:$F,"em_oil_mt")</f>
        <v/>
      </c>
      <c r="K5" s="28">
        <f>IF(COUNTIFS(Data!$A:$A,$A5,Data!$F:$F,"price_electricity_residential_usd_kwh")=0,"",SUMIFS(Data!$G:$G,Data!$A:$A,$A5,Data!$F:$F,"price_electricity_residential_usd_kwh"))</f>
        <v/>
      </c>
      <c r="L5" s="28">
        <f>IF(COUNTIFS(Data!$A:$A,$A5,Data!$F:$F,"price_coal_power_usd_gj")=0,"",SUMIFS(Data!$G:$G,Data!$A:$A,$A5,Data!$F:$F,"price_coal_power_usd_gj"))</f>
        <v/>
      </c>
      <c r="M5" s="28">
        <f>IF(COUNTIFS(Data!$A:$A,$A5,Data!$F:$F,"price_gas_power_usd_gj")=0,"",SUMIFS(Data!$G:$G,Data!$A:$A,$A5,Data!$F:$F,"price_gas_power_usd_gj"))</f>
        <v/>
      </c>
      <c r="N5" s="28">
        <f>IF(COUNTIFS(Data!$A:$A,$A5,Data!$F:$F,"price_gas_industry_usd_gj")=0,"",SUMIFS(Data!$G:$G,Data!$A:$A,$A5,Data!$F:$F,"price_gas_industry_usd_gj"))</f>
        <v/>
      </c>
      <c r="O5" s="28">
        <f>IF(COUNTIFS(Data!$A:$A,$A5,Data!$F:$F,"power_market_structure")=0,"",SUMIFS(Data!$G:$G,Data!$A:$A,$A5,Data!$F:$F,"power_market_structure"))</f>
        <v/>
      </c>
      <c r="P5" s="28">
        <f>IF(COUNTIFS(Data!$A:$A,$A5,Data!$F:$F,"rise_renewable_energy_score")=0,"",SUMIFS(Data!$G:$G,Data!$A:$A,$A5,Data!$F:$F,"rise_renewable_energy_score"))</f>
        <v/>
      </c>
      <c r="Q5" s="16">
        <f>H5+I5+J5</f>
        <v/>
      </c>
      <c r="R5" s="28">
        <f>Q5/G5</f>
        <v/>
      </c>
      <c r="S5" s="28">
        <f>IF(D5&gt;0,H5/D5,0.85)</f>
        <v/>
      </c>
      <c r="T5" s="28">
        <f>IF(E5&gt;0,I5/E5,0.4)</f>
        <v/>
      </c>
      <c r="U5" s="28">
        <f>IF(D5+F5&gt;0,(H5+J5)/(D5+F5),0)</f>
        <v/>
      </c>
      <c r="V5" s="16">
        <f>K5*1000</f>
        <v/>
      </c>
      <c r="W5" s="15">
        <f>IF(O5=3,in_pt3,IF(O5=2,in_pt2,IF(O5=1,in_pt1,IF(C5="High income",in_pt_hi,in_pt_oth))))</f>
        <v/>
      </c>
      <c r="X5" s="28">
        <f>IF(Q5&gt;0,in_kappa*(in_rise_lo+(in_rise_hi-in_rise_lo)*IF(P5="",in_rise_miss,P5)/100)*(D5+F5)*MAX(U5-in_gas_rep*T5,0)/Q5,0)</f>
        <v/>
      </c>
      <c r="Y5" s="16">
        <f>IF(IF(M5="",N5,M5)="",MAX(in_sw_floor,in_sw_miss),MAX(in_sw_floor,(IF(M5="",N5,M5)*in_hr_gas-L5*in_hr_coal)/MAX(S5-T5,0.1)))</f>
        <v/>
      </c>
      <c r="Z5" s="28">
        <f>IF(C5="Low income",in_b40_li,IF(C5="Lower middle income",in_b40_lmi,IF(C5="Upper middle income",in_b40_umi,IF(C5="High income",in_b40_hi,0.03))))</f>
        <v/>
      </c>
      <c r="AA5" s="15">
        <f>(D5+F5)/G5</f>
        <v/>
      </c>
      <c r="AB5" s="28">
        <f>100*W5*R5/V5/in_phase</f>
        <v/>
      </c>
      <c r="AC5" s="29">
        <f>100*Z5*W5*R5/V5*(1-IF(W5&gt;0,MIN(in_rebate/(W5*in_res_sh*in_q40),1),1))</f>
        <v/>
      </c>
      <c r="AD5" s="28">
        <f>IF(AA5&gt;0,100*U5*(1-W5)/(in_whole_sh*V5),0)</f>
        <v/>
      </c>
      <c r="AE5" s="28">
        <f>IF(AA5&gt;0,100*MAX(U5-R5,0)/(in_whole_sh*V5),0)</f>
        <v/>
      </c>
      <c r="AF5" s="16">
        <f>IF(AB5&gt;0,in_f1/AB5,in_cap)</f>
        <v/>
      </c>
      <c r="AG5" s="16">
        <f>IF(AC5&gt;0,in_f2/AC5,in_cap)</f>
        <v/>
      </c>
      <c r="AH5" s="16">
        <f>IF(AD5&gt;0,in_f3/AD5,in_cap)</f>
        <v/>
      </c>
      <c r="AI5" s="16">
        <f>MIN(in_cap,AF5,AG5,AH5)</f>
        <v/>
      </c>
      <c r="AJ5" s="30">
        <f>100*(1-(1-X5*(1-EXP(-((AI5)+(0))/Y5)))*(1-MIN(ABS(in_elas)*W5*R5*(AI5)/V5,1)))</f>
        <v/>
      </c>
      <c r="AK5" s="17">
        <f>IF(AI5&gt;=in_cap-1E-9,"rate cap",TRIM(IF(ABS(AI5-AF5)&lt;1E-9,"F1 ","")&amp;IF(ABS(AI5-AG5)&lt;1E-9,"F2 ","")&amp;IF(ABS(AI5-AH5)&lt;1E-9,"F3","")))</f>
        <v/>
      </c>
      <c r="AL5" s="15">
        <f>100*(1-(1-X5*(1-EXP(-((MIN(in_cap,IF(AB5&gt;0,(in_f1+1)/AB5,in_cap),AG5,AH5))+(0))/Y5)))*(1-MIN(ABS(in_elas)*W5*R5*(MIN(in_cap,IF(AB5&gt;0,(in_f1+1)/AB5,in_cap),AG5,AH5))/V5,1)))-AJ5</f>
        <v/>
      </c>
      <c r="AM5" s="16">
        <f>MIN(in_cap,IF(AE5&gt;0,in_f3/AE5,in_cap))</f>
        <v/>
      </c>
      <c r="AN5" s="30">
        <f>100*(1-(1-X5*(1-EXP(-((0)+(AM5))/Y5)))*(1-MIN(ABS(in_elas)*W5*R5*(0)/V5,1)))</f>
        <v/>
      </c>
      <c r="AO5" s="17">
        <f>IF(AM5&gt;=in_cap-1E-9,"rate cap","F3")</f>
        <v/>
      </c>
      <c r="AP5" s="15">
        <f>100*(1-(1-X5*(1-EXP(-((50)+(0))/Y5)))*(1-MIN(ABS(in_elas)*W5*R5*(50)/V5,1)))</f>
        <v/>
      </c>
      <c r="AQ5" s="15">
        <f>100*(1-(1-X5*(1-EXP(-((0)+(50))/Y5)))*(1-MIN(ABS(in_elas)*W5*R5*(0)/V5,1)))</f>
        <v/>
      </c>
      <c r="AR5" s="15">
        <f>IF(AP5&gt;0,AQ5/AP5,"")</f>
        <v/>
      </c>
      <c r="AS5" s="16">
        <f>50*AB5</f>
        <v/>
      </c>
      <c r="AT5" s="30">
        <f>MAX(BM5:BW5)</f>
        <v/>
      </c>
      <c r="AU5" s="31">
        <f>AI5*(MATCH(AT5,BM5:BW5,0)-1)/10</f>
        <v/>
      </c>
      <c r="AV5" s="31">
        <f>INDEX(BB5:BL5,1,(MATCH(AT5,BM5:BW5,0)-1)+1)</f>
        <v/>
      </c>
      <c r="AW5" s="31">
        <f>AB5*AU5</f>
        <v/>
      </c>
      <c r="AX5" s="30">
        <f>AC5*AU5</f>
        <v/>
      </c>
      <c r="AY5" s="31">
        <f>AD5*AU5+AE5*AV5</f>
        <v/>
      </c>
      <c r="AZ5" s="32">
        <f>TRIM(IF(AND(AU5&gt;0,ABS(AU5-AF5)&lt;1E-6),"F1 ","")&amp;IF(AND(AU5&gt;0,ABS(AU5-AG5)&lt;1E-6),"F2 ","")&amp;IF(AY5&gt;=in_f3-1E-6,"F3 ","")&amp;IF(AV5&gt;=in_cap-1E-9,"rate cap",""))</f>
        <v/>
      </c>
      <c r="BA5" s="31">
        <f>Q5*AT5/100</f>
        <v/>
      </c>
      <c r="BB5" s="16">
        <f>MAX(0,MIN(in_cap,IF(AE5&gt;0,(in_f3-AD5*AI5*0/10)/AE5,in_cap)))</f>
        <v/>
      </c>
      <c r="BC5" s="16">
        <f>MAX(0,MIN(in_cap,IF(AE5&gt;0,(in_f3-AD5*AI5*1/10)/AE5,in_cap)))</f>
        <v/>
      </c>
      <c r="BD5" s="16">
        <f>MAX(0,MIN(in_cap,IF(AE5&gt;0,(in_f3-AD5*AI5*2/10)/AE5,in_cap)))</f>
        <v/>
      </c>
      <c r="BE5" s="16">
        <f>MAX(0,MIN(in_cap,IF(AE5&gt;0,(in_f3-AD5*AI5*3/10)/AE5,in_cap)))</f>
        <v/>
      </c>
      <c r="BF5" s="16">
        <f>MAX(0,MIN(in_cap,IF(AE5&gt;0,(in_f3-AD5*AI5*4/10)/AE5,in_cap)))</f>
        <v/>
      </c>
      <c r="BG5" s="16">
        <f>MAX(0,MIN(in_cap,IF(AE5&gt;0,(in_f3-AD5*AI5*5/10)/AE5,in_cap)))</f>
        <v/>
      </c>
      <c r="BH5" s="16">
        <f>MAX(0,MIN(in_cap,IF(AE5&gt;0,(in_f3-AD5*AI5*6/10)/AE5,in_cap)))</f>
        <v/>
      </c>
      <c r="BI5" s="16">
        <f>MAX(0,MIN(in_cap,IF(AE5&gt;0,(in_f3-AD5*AI5*7/10)/AE5,in_cap)))</f>
        <v/>
      </c>
      <c r="BJ5" s="16">
        <f>MAX(0,MIN(in_cap,IF(AE5&gt;0,(in_f3-AD5*AI5*8/10)/AE5,in_cap)))</f>
        <v/>
      </c>
      <c r="BK5" s="16">
        <f>MAX(0,MIN(in_cap,IF(AE5&gt;0,(in_f3-AD5*AI5*9/10)/AE5,in_cap)))</f>
        <v/>
      </c>
      <c r="BL5" s="16">
        <f>MAX(0,MIN(in_cap,IF(AE5&gt;0,(in_f3-AD5*AI5*10/10)/AE5,in_cap)))</f>
        <v/>
      </c>
      <c r="BM5" s="15">
        <f>100*(1-(1-X5*(1-EXP(-((AI5*0/10)+(BB5))/Y5)))*(1-MIN(ABS(in_elas)*W5*R5*(AI5*0/10)/V5,1)))</f>
        <v/>
      </c>
      <c r="BN5" s="15">
        <f>100*(1-(1-X5*(1-EXP(-((AI5*1/10)+(BC5))/Y5)))*(1-MIN(ABS(in_elas)*W5*R5*(AI5*1/10)/V5,1)))</f>
        <v/>
      </c>
      <c r="BO5" s="15">
        <f>100*(1-(1-X5*(1-EXP(-((AI5*2/10)+(BD5))/Y5)))*(1-MIN(ABS(in_elas)*W5*R5*(AI5*2/10)/V5,1)))</f>
        <v/>
      </c>
      <c r="BP5" s="15">
        <f>100*(1-(1-X5*(1-EXP(-((AI5*3/10)+(BE5))/Y5)))*(1-MIN(ABS(in_elas)*W5*R5*(AI5*3/10)/V5,1)))</f>
        <v/>
      </c>
      <c r="BQ5" s="15">
        <f>100*(1-(1-X5*(1-EXP(-((AI5*4/10)+(BF5))/Y5)))*(1-MIN(ABS(in_elas)*W5*R5*(AI5*4/10)/V5,1)))</f>
        <v/>
      </c>
      <c r="BR5" s="15">
        <f>100*(1-(1-X5*(1-EXP(-((AI5*5/10)+(BG5))/Y5)))*(1-MIN(ABS(in_elas)*W5*R5*(AI5*5/10)/V5,1)))</f>
        <v/>
      </c>
      <c r="BS5" s="15">
        <f>100*(1-(1-X5*(1-EXP(-((AI5*6/10)+(BH5))/Y5)))*(1-MIN(ABS(in_elas)*W5*R5*(AI5*6/10)/V5,1)))</f>
        <v/>
      </c>
      <c r="BT5" s="15">
        <f>100*(1-(1-X5*(1-EXP(-((AI5*7/10)+(BI5))/Y5)))*(1-MIN(ABS(in_elas)*W5*R5*(AI5*7/10)/V5,1)))</f>
        <v/>
      </c>
      <c r="BU5" s="15">
        <f>100*(1-(1-X5*(1-EXP(-((AI5*8/10)+(BJ5))/Y5)))*(1-MIN(ABS(in_elas)*W5*R5*(AI5*8/10)/V5,1)))</f>
        <v/>
      </c>
      <c r="BV5" s="15">
        <f>100*(1-(1-X5*(1-EXP(-((AI5*9/10)+(BK5))/Y5)))*(1-MIN(ABS(in_elas)*W5*R5*(AI5*9/10)/V5,1)))</f>
        <v/>
      </c>
      <c r="BW5" s="15">
        <f>100*(1-(1-X5*(1-EXP(-((AI5*10/10)+(BL5))/Y5)))*(1-MIN(ABS(in_elas)*W5*R5*(AI5*10/10)/V5,1)))</f>
        <v/>
      </c>
    </row>
    <row r="6">
      <c r="A6" s="17" t="inlineStr">
        <is>
          <t>AFG</t>
        </is>
      </c>
      <c r="B6" s="17">
        <f>INDEX(Data!$B:$B,MATCH($A6,Data!$A:$A,0))</f>
        <v/>
      </c>
      <c r="C6" s="17">
        <f>INDEX(Data!$D:$D,MATCH($A6,Data!$A:$A,0))</f>
        <v/>
      </c>
      <c r="D6" s="16">
        <f>SUMIFS(Data!$G:$G,Data!$A:$A,$A6,Data!$F:$F,"gen_coal_twh")</f>
        <v/>
      </c>
      <c r="E6" s="16">
        <f>SUMIFS(Data!$G:$G,Data!$A:$A,$A6,Data!$F:$F,"gen_gas_twh")</f>
        <v/>
      </c>
      <c r="F6" s="16">
        <f>SUMIFS(Data!$G:$G,Data!$A:$A,$A6,Data!$F:$F,"gen_oil_twh")</f>
        <v/>
      </c>
      <c r="G6" s="16">
        <f>SUMIFS(Data!$G:$G,Data!$A:$A,$A6,Data!$F:$F,"gen_total_twh")</f>
        <v/>
      </c>
      <c r="H6" s="16">
        <f>SUMIFS(Data!$G:$G,Data!$A:$A,$A6,Data!$F:$F,"em_coal_mt")</f>
        <v/>
      </c>
      <c r="I6" s="16">
        <f>SUMIFS(Data!$G:$G,Data!$A:$A,$A6,Data!$F:$F,"em_gas_mt")</f>
        <v/>
      </c>
      <c r="J6" s="16">
        <f>SUMIFS(Data!$G:$G,Data!$A:$A,$A6,Data!$F:$F,"em_oil_mt")</f>
        <v/>
      </c>
      <c r="K6" s="28">
        <f>IF(COUNTIFS(Data!$A:$A,$A6,Data!$F:$F,"price_electricity_residential_usd_kwh")=0,"",SUMIFS(Data!$G:$G,Data!$A:$A,$A6,Data!$F:$F,"price_electricity_residential_usd_kwh"))</f>
        <v/>
      </c>
      <c r="L6" s="28">
        <f>IF(COUNTIFS(Data!$A:$A,$A6,Data!$F:$F,"price_coal_power_usd_gj")=0,"",SUMIFS(Data!$G:$G,Data!$A:$A,$A6,Data!$F:$F,"price_coal_power_usd_gj"))</f>
        <v/>
      </c>
      <c r="M6" s="28">
        <f>IF(COUNTIFS(Data!$A:$A,$A6,Data!$F:$F,"price_gas_power_usd_gj")=0,"",SUMIFS(Data!$G:$G,Data!$A:$A,$A6,Data!$F:$F,"price_gas_power_usd_gj"))</f>
        <v/>
      </c>
      <c r="N6" s="28">
        <f>IF(COUNTIFS(Data!$A:$A,$A6,Data!$F:$F,"price_gas_industry_usd_gj")=0,"",SUMIFS(Data!$G:$G,Data!$A:$A,$A6,Data!$F:$F,"price_gas_industry_usd_gj"))</f>
        <v/>
      </c>
      <c r="O6" s="28">
        <f>IF(COUNTIFS(Data!$A:$A,$A6,Data!$F:$F,"power_market_structure")=0,"",SUMIFS(Data!$G:$G,Data!$A:$A,$A6,Data!$F:$F,"power_market_structure"))</f>
        <v/>
      </c>
      <c r="P6" s="28">
        <f>IF(COUNTIFS(Data!$A:$A,$A6,Data!$F:$F,"rise_renewable_energy_score")=0,"",SUMIFS(Data!$G:$G,Data!$A:$A,$A6,Data!$F:$F,"rise_renewable_energy_score"))</f>
        <v/>
      </c>
      <c r="Q6" s="16">
        <f>H6+I6+J6</f>
        <v/>
      </c>
      <c r="R6" s="28">
        <f>Q6/G6</f>
        <v/>
      </c>
      <c r="S6" s="28">
        <f>IF(D6&gt;0,H6/D6,0.85)</f>
        <v/>
      </c>
      <c r="T6" s="28">
        <f>IF(E6&gt;0,I6/E6,0.4)</f>
        <v/>
      </c>
      <c r="U6" s="28">
        <f>IF(D6+F6&gt;0,(H6+J6)/(D6+F6),0)</f>
        <v/>
      </c>
      <c r="V6" s="16">
        <f>K6*1000</f>
        <v/>
      </c>
      <c r="W6" s="15">
        <f>IF(O6=3,in_pt3,IF(O6=2,in_pt2,IF(O6=1,in_pt1,IF(C6="High income",in_pt_hi,in_pt_oth))))</f>
        <v/>
      </c>
      <c r="X6" s="28">
        <f>IF(Q6&gt;0,in_kappa*(in_rise_lo+(in_rise_hi-in_rise_lo)*IF(P6="",in_rise_miss,P6)/100)*(D6+F6)*MAX(U6-in_gas_rep*T6,0)/Q6,0)</f>
        <v/>
      </c>
      <c r="Y6" s="16">
        <f>IF(IF(M6="",N6,M6)="",MAX(in_sw_floor,in_sw_miss),MAX(in_sw_floor,(IF(M6="",N6,M6)*in_hr_gas-L6*in_hr_coal)/MAX(S6-T6,0.1)))</f>
        <v/>
      </c>
      <c r="Z6" s="28">
        <f>IF(C6="Low income",in_b40_li,IF(C6="Lower middle income",in_b40_lmi,IF(C6="Upper middle income",in_b40_umi,IF(C6="High income",in_b40_hi,0.03))))</f>
        <v/>
      </c>
      <c r="AA6" s="15">
        <f>(D6+F6)/G6</f>
        <v/>
      </c>
      <c r="AB6" s="28">
        <f>100*W6*R6/V6/in_phase</f>
        <v/>
      </c>
      <c r="AC6" s="29">
        <f>100*Z6*W6*R6/V6*(1-IF(W6&gt;0,MIN(in_rebate/(W6*in_res_sh*in_q40),1),1))</f>
        <v/>
      </c>
      <c r="AD6" s="28">
        <f>IF(AA6&gt;0,100*U6*(1-W6)/(in_whole_sh*V6),0)</f>
        <v/>
      </c>
      <c r="AE6" s="28">
        <f>IF(AA6&gt;0,100*MAX(U6-R6,0)/(in_whole_sh*V6),0)</f>
        <v/>
      </c>
      <c r="AF6" s="16">
        <f>IF(AB6&gt;0,in_f1/AB6,in_cap)</f>
        <v/>
      </c>
      <c r="AG6" s="16">
        <f>IF(AC6&gt;0,in_f2/AC6,in_cap)</f>
        <v/>
      </c>
      <c r="AH6" s="16">
        <f>IF(AD6&gt;0,in_f3/AD6,in_cap)</f>
        <v/>
      </c>
      <c r="AI6" s="16">
        <f>MIN(in_cap,AF6,AG6,AH6)</f>
        <v/>
      </c>
      <c r="AJ6" s="30">
        <f>100*(1-(1-X6*(1-EXP(-((AI6)+(0))/Y6)))*(1-MIN(ABS(in_elas)*W6*R6*(AI6)/V6,1)))</f>
        <v/>
      </c>
      <c r="AK6" s="17">
        <f>IF(AI6&gt;=in_cap-1E-9,"rate cap",TRIM(IF(ABS(AI6-AF6)&lt;1E-9,"F1 ","")&amp;IF(ABS(AI6-AG6)&lt;1E-9,"F2 ","")&amp;IF(ABS(AI6-AH6)&lt;1E-9,"F3","")))</f>
        <v/>
      </c>
      <c r="AL6" s="15">
        <f>100*(1-(1-X6*(1-EXP(-((MIN(in_cap,IF(AB6&gt;0,(in_f1+1)/AB6,in_cap),AG6,AH6))+(0))/Y6)))*(1-MIN(ABS(in_elas)*W6*R6*(MIN(in_cap,IF(AB6&gt;0,(in_f1+1)/AB6,in_cap),AG6,AH6))/V6,1)))-AJ6</f>
        <v/>
      </c>
      <c r="AM6" s="16">
        <f>MIN(in_cap,IF(AE6&gt;0,in_f3/AE6,in_cap))</f>
        <v/>
      </c>
      <c r="AN6" s="30">
        <f>100*(1-(1-X6*(1-EXP(-((0)+(AM6))/Y6)))*(1-MIN(ABS(in_elas)*W6*R6*(0)/V6,1)))</f>
        <v/>
      </c>
      <c r="AO6" s="17">
        <f>IF(AM6&gt;=in_cap-1E-9,"rate cap","F3")</f>
        <v/>
      </c>
      <c r="AP6" s="15">
        <f>100*(1-(1-X6*(1-EXP(-((50)+(0))/Y6)))*(1-MIN(ABS(in_elas)*W6*R6*(50)/V6,1)))</f>
        <v/>
      </c>
      <c r="AQ6" s="15">
        <f>100*(1-(1-X6*(1-EXP(-((0)+(50))/Y6)))*(1-MIN(ABS(in_elas)*W6*R6*(0)/V6,1)))</f>
        <v/>
      </c>
      <c r="AR6" s="15">
        <f>IF(AP6&gt;0,AQ6/AP6,"")</f>
        <v/>
      </c>
      <c r="AS6" s="16">
        <f>50*AB6</f>
        <v/>
      </c>
      <c r="AT6" s="30">
        <f>MAX(BM6:BW6)</f>
        <v/>
      </c>
      <c r="AU6" s="31">
        <f>AI6*(MATCH(AT6,BM6:BW6,0)-1)/10</f>
        <v/>
      </c>
      <c r="AV6" s="31">
        <f>INDEX(BB6:BL6,1,(MATCH(AT6,BM6:BW6,0)-1)+1)</f>
        <v/>
      </c>
      <c r="AW6" s="31">
        <f>AB6*AU6</f>
        <v/>
      </c>
      <c r="AX6" s="30">
        <f>AC6*AU6</f>
        <v/>
      </c>
      <c r="AY6" s="31">
        <f>AD6*AU6+AE6*AV6</f>
        <v/>
      </c>
      <c r="AZ6" s="32">
        <f>TRIM(IF(AND(AU6&gt;0,ABS(AU6-AF6)&lt;1E-6),"F1 ","")&amp;IF(AND(AU6&gt;0,ABS(AU6-AG6)&lt;1E-6),"F2 ","")&amp;IF(AY6&gt;=in_f3-1E-6,"F3 ","")&amp;IF(AV6&gt;=in_cap-1E-9,"rate cap",""))</f>
        <v/>
      </c>
      <c r="BA6" s="31">
        <f>Q6*AT6/100</f>
        <v/>
      </c>
      <c r="BB6" s="16">
        <f>MAX(0,MIN(in_cap,IF(AE6&gt;0,(in_f3-AD6*AI6*0/10)/AE6,in_cap)))</f>
        <v/>
      </c>
      <c r="BC6" s="16">
        <f>MAX(0,MIN(in_cap,IF(AE6&gt;0,(in_f3-AD6*AI6*1/10)/AE6,in_cap)))</f>
        <v/>
      </c>
      <c r="BD6" s="16">
        <f>MAX(0,MIN(in_cap,IF(AE6&gt;0,(in_f3-AD6*AI6*2/10)/AE6,in_cap)))</f>
        <v/>
      </c>
      <c r="BE6" s="16">
        <f>MAX(0,MIN(in_cap,IF(AE6&gt;0,(in_f3-AD6*AI6*3/10)/AE6,in_cap)))</f>
        <v/>
      </c>
      <c r="BF6" s="16">
        <f>MAX(0,MIN(in_cap,IF(AE6&gt;0,(in_f3-AD6*AI6*4/10)/AE6,in_cap)))</f>
        <v/>
      </c>
      <c r="BG6" s="16">
        <f>MAX(0,MIN(in_cap,IF(AE6&gt;0,(in_f3-AD6*AI6*5/10)/AE6,in_cap)))</f>
        <v/>
      </c>
      <c r="BH6" s="16">
        <f>MAX(0,MIN(in_cap,IF(AE6&gt;0,(in_f3-AD6*AI6*6/10)/AE6,in_cap)))</f>
        <v/>
      </c>
      <c r="BI6" s="16">
        <f>MAX(0,MIN(in_cap,IF(AE6&gt;0,(in_f3-AD6*AI6*7/10)/AE6,in_cap)))</f>
        <v/>
      </c>
      <c r="BJ6" s="16">
        <f>MAX(0,MIN(in_cap,IF(AE6&gt;0,(in_f3-AD6*AI6*8/10)/AE6,in_cap)))</f>
        <v/>
      </c>
      <c r="BK6" s="16">
        <f>MAX(0,MIN(in_cap,IF(AE6&gt;0,(in_f3-AD6*AI6*9/10)/AE6,in_cap)))</f>
        <v/>
      </c>
      <c r="BL6" s="16">
        <f>MAX(0,MIN(in_cap,IF(AE6&gt;0,(in_f3-AD6*AI6*10/10)/AE6,in_cap)))</f>
        <v/>
      </c>
      <c r="BM6" s="15">
        <f>100*(1-(1-X6*(1-EXP(-((AI6*0/10)+(BB6))/Y6)))*(1-MIN(ABS(in_elas)*W6*R6*(AI6*0/10)/V6,1)))</f>
        <v/>
      </c>
      <c r="BN6" s="15">
        <f>100*(1-(1-X6*(1-EXP(-((AI6*1/10)+(BC6))/Y6)))*(1-MIN(ABS(in_elas)*W6*R6*(AI6*1/10)/V6,1)))</f>
        <v/>
      </c>
      <c r="BO6" s="15">
        <f>100*(1-(1-X6*(1-EXP(-((AI6*2/10)+(BD6))/Y6)))*(1-MIN(ABS(in_elas)*W6*R6*(AI6*2/10)/V6,1)))</f>
        <v/>
      </c>
      <c r="BP6" s="15">
        <f>100*(1-(1-X6*(1-EXP(-((AI6*3/10)+(BE6))/Y6)))*(1-MIN(ABS(in_elas)*W6*R6*(AI6*3/10)/V6,1)))</f>
        <v/>
      </c>
      <c r="BQ6" s="15">
        <f>100*(1-(1-X6*(1-EXP(-((AI6*4/10)+(BF6))/Y6)))*(1-MIN(ABS(in_elas)*W6*R6*(AI6*4/10)/V6,1)))</f>
        <v/>
      </c>
      <c r="BR6" s="15">
        <f>100*(1-(1-X6*(1-EXP(-((AI6*5/10)+(BG6))/Y6)))*(1-MIN(ABS(in_elas)*W6*R6*(AI6*5/10)/V6,1)))</f>
        <v/>
      </c>
      <c r="BS6" s="15">
        <f>100*(1-(1-X6*(1-EXP(-((AI6*6/10)+(BH6))/Y6)))*(1-MIN(ABS(in_elas)*W6*R6*(AI6*6/10)/V6,1)))</f>
        <v/>
      </c>
      <c r="BT6" s="15">
        <f>100*(1-(1-X6*(1-EXP(-((AI6*7/10)+(BI6))/Y6)))*(1-MIN(ABS(in_elas)*W6*R6*(AI6*7/10)/V6,1)))</f>
        <v/>
      </c>
      <c r="BU6" s="15">
        <f>100*(1-(1-X6*(1-EXP(-((AI6*8/10)+(BJ6))/Y6)))*(1-MIN(ABS(in_elas)*W6*R6*(AI6*8/10)/V6,1)))</f>
        <v/>
      </c>
      <c r="BV6" s="15">
        <f>100*(1-(1-X6*(1-EXP(-((AI6*9/10)+(BK6))/Y6)))*(1-MIN(ABS(in_elas)*W6*R6*(AI6*9/10)/V6,1)))</f>
        <v/>
      </c>
      <c r="BW6" s="15">
        <f>100*(1-(1-X6*(1-EXP(-((AI6*10/10)+(BL6))/Y6)))*(1-MIN(ABS(in_elas)*W6*R6*(AI6*10/10)/V6,1)))</f>
        <v/>
      </c>
    </row>
    <row r="7">
      <c r="A7" s="17" t="inlineStr">
        <is>
          <t>AGO</t>
        </is>
      </c>
      <c r="B7" s="17">
        <f>INDEX(Data!$B:$B,MATCH($A7,Data!$A:$A,0))</f>
        <v/>
      </c>
      <c r="C7" s="17">
        <f>INDEX(Data!$D:$D,MATCH($A7,Data!$A:$A,0))</f>
        <v/>
      </c>
      <c r="D7" s="16">
        <f>SUMIFS(Data!$G:$G,Data!$A:$A,$A7,Data!$F:$F,"gen_coal_twh")</f>
        <v/>
      </c>
      <c r="E7" s="16">
        <f>SUMIFS(Data!$G:$G,Data!$A:$A,$A7,Data!$F:$F,"gen_gas_twh")</f>
        <v/>
      </c>
      <c r="F7" s="16">
        <f>SUMIFS(Data!$G:$G,Data!$A:$A,$A7,Data!$F:$F,"gen_oil_twh")</f>
        <v/>
      </c>
      <c r="G7" s="16">
        <f>SUMIFS(Data!$G:$G,Data!$A:$A,$A7,Data!$F:$F,"gen_total_twh")</f>
        <v/>
      </c>
      <c r="H7" s="16">
        <f>SUMIFS(Data!$G:$G,Data!$A:$A,$A7,Data!$F:$F,"em_coal_mt")</f>
        <v/>
      </c>
      <c r="I7" s="16">
        <f>SUMIFS(Data!$G:$G,Data!$A:$A,$A7,Data!$F:$F,"em_gas_mt")</f>
        <v/>
      </c>
      <c r="J7" s="16">
        <f>SUMIFS(Data!$G:$G,Data!$A:$A,$A7,Data!$F:$F,"em_oil_mt")</f>
        <v/>
      </c>
      <c r="K7" s="28">
        <f>IF(COUNTIFS(Data!$A:$A,$A7,Data!$F:$F,"price_electricity_residential_usd_kwh")=0,"",SUMIFS(Data!$G:$G,Data!$A:$A,$A7,Data!$F:$F,"price_electricity_residential_usd_kwh"))</f>
        <v/>
      </c>
      <c r="L7" s="28">
        <f>IF(COUNTIFS(Data!$A:$A,$A7,Data!$F:$F,"price_coal_power_usd_gj")=0,"",SUMIFS(Data!$G:$G,Data!$A:$A,$A7,Data!$F:$F,"price_coal_power_usd_gj"))</f>
        <v/>
      </c>
      <c r="M7" s="28">
        <f>IF(COUNTIFS(Data!$A:$A,$A7,Data!$F:$F,"price_gas_power_usd_gj")=0,"",SUMIFS(Data!$G:$G,Data!$A:$A,$A7,Data!$F:$F,"price_gas_power_usd_gj"))</f>
        <v/>
      </c>
      <c r="N7" s="28">
        <f>IF(COUNTIFS(Data!$A:$A,$A7,Data!$F:$F,"price_gas_industry_usd_gj")=0,"",SUMIFS(Data!$G:$G,Data!$A:$A,$A7,Data!$F:$F,"price_gas_industry_usd_gj"))</f>
        <v/>
      </c>
      <c r="O7" s="28">
        <f>IF(COUNTIFS(Data!$A:$A,$A7,Data!$F:$F,"power_market_structure")=0,"",SUMIFS(Data!$G:$G,Data!$A:$A,$A7,Data!$F:$F,"power_market_structure"))</f>
        <v/>
      </c>
      <c r="P7" s="28">
        <f>IF(COUNTIFS(Data!$A:$A,$A7,Data!$F:$F,"rise_renewable_energy_score")=0,"",SUMIFS(Data!$G:$G,Data!$A:$A,$A7,Data!$F:$F,"rise_renewable_energy_score"))</f>
        <v/>
      </c>
      <c r="Q7" s="16">
        <f>H7+I7+J7</f>
        <v/>
      </c>
      <c r="R7" s="28">
        <f>Q7/G7</f>
        <v/>
      </c>
      <c r="S7" s="28">
        <f>IF(D7&gt;0,H7/D7,0.85)</f>
        <v/>
      </c>
      <c r="T7" s="28">
        <f>IF(E7&gt;0,I7/E7,0.4)</f>
        <v/>
      </c>
      <c r="U7" s="28">
        <f>IF(D7+F7&gt;0,(H7+J7)/(D7+F7),0)</f>
        <v/>
      </c>
      <c r="V7" s="16">
        <f>K7*1000</f>
        <v/>
      </c>
      <c r="W7" s="15">
        <f>IF(O7=3,in_pt3,IF(O7=2,in_pt2,IF(O7=1,in_pt1,IF(C7="High income",in_pt_hi,in_pt_oth))))</f>
        <v/>
      </c>
      <c r="X7" s="28">
        <f>IF(Q7&gt;0,in_kappa*(in_rise_lo+(in_rise_hi-in_rise_lo)*IF(P7="",in_rise_miss,P7)/100)*(D7+F7)*MAX(U7-in_gas_rep*T7,0)/Q7,0)</f>
        <v/>
      </c>
      <c r="Y7" s="16">
        <f>IF(IF(M7="",N7,M7)="",MAX(in_sw_floor,in_sw_miss),MAX(in_sw_floor,(IF(M7="",N7,M7)*in_hr_gas-L7*in_hr_coal)/MAX(S7-T7,0.1)))</f>
        <v/>
      </c>
      <c r="Z7" s="28">
        <f>IF(C7="Low income",in_b40_li,IF(C7="Lower middle income",in_b40_lmi,IF(C7="Upper middle income",in_b40_umi,IF(C7="High income",in_b40_hi,0.03))))</f>
        <v/>
      </c>
      <c r="AA7" s="15">
        <f>(D7+F7)/G7</f>
        <v/>
      </c>
      <c r="AB7" s="28">
        <f>100*W7*R7/V7/in_phase</f>
        <v/>
      </c>
      <c r="AC7" s="29">
        <f>100*Z7*W7*R7/V7*(1-IF(W7&gt;0,MIN(in_rebate/(W7*in_res_sh*in_q40),1),1))</f>
        <v/>
      </c>
      <c r="AD7" s="28">
        <f>IF(AA7&gt;0,100*U7*(1-W7)/(in_whole_sh*V7),0)</f>
        <v/>
      </c>
      <c r="AE7" s="28">
        <f>IF(AA7&gt;0,100*MAX(U7-R7,0)/(in_whole_sh*V7),0)</f>
        <v/>
      </c>
      <c r="AF7" s="16">
        <f>IF(AB7&gt;0,in_f1/AB7,in_cap)</f>
        <v/>
      </c>
      <c r="AG7" s="16">
        <f>IF(AC7&gt;0,in_f2/AC7,in_cap)</f>
        <v/>
      </c>
      <c r="AH7" s="16">
        <f>IF(AD7&gt;0,in_f3/AD7,in_cap)</f>
        <v/>
      </c>
      <c r="AI7" s="16">
        <f>MIN(in_cap,AF7,AG7,AH7)</f>
        <v/>
      </c>
      <c r="AJ7" s="30">
        <f>100*(1-(1-X7*(1-EXP(-((AI7)+(0))/Y7)))*(1-MIN(ABS(in_elas)*W7*R7*(AI7)/V7,1)))</f>
        <v/>
      </c>
      <c r="AK7" s="17">
        <f>IF(AI7&gt;=in_cap-1E-9,"rate cap",TRIM(IF(ABS(AI7-AF7)&lt;1E-9,"F1 ","")&amp;IF(ABS(AI7-AG7)&lt;1E-9,"F2 ","")&amp;IF(ABS(AI7-AH7)&lt;1E-9,"F3","")))</f>
        <v/>
      </c>
      <c r="AL7" s="15">
        <f>100*(1-(1-X7*(1-EXP(-((MIN(in_cap,IF(AB7&gt;0,(in_f1+1)/AB7,in_cap),AG7,AH7))+(0))/Y7)))*(1-MIN(ABS(in_elas)*W7*R7*(MIN(in_cap,IF(AB7&gt;0,(in_f1+1)/AB7,in_cap),AG7,AH7))/V7,1)))-AJ7</f>
        <v/>
      </c>
      <c r="AM7" s="16">
        <f>MIN(in_cap,IF(AE7&gt;0,in_f3/AE7,in_cap))</f>
        <v/>
      </c>
      <c r="AN7" s="30">
        <f>100*(1-(1-X7*(1-EXP(-((0)+(AM7))/Y7)))*(1-MIN(ABS(in_elas)*W7*R7*(0)/V7,1)))</f>
        <v/>
      </c>
      <c r="AO7" s="17">
        <f>IF(AM7&gt;=in_cap-1E-9,"rate cap","F3")</f>
        <v/>
      </c>
      <c r="AP7" s="15">
        <f>100*(1-(1-X7*(1-EXP(-((50)+(0))/Y7)))*(1-MIN(ABS(in_elas)*W7*R7*(50)/V7,1)))</f>
        <v/>
      </c>
      <c r="AQ7" s="15">
        <f>100*(1-(1-X7*(1-EXP(-((0)+(50))/Y7)))*(1-MIN(ABS(in_elas)*W7*R7*(0)/V7,1)))</f>
        <v/>
      </c>
      <c r="AR7" s="15">
        <f>IF(AP7&gt;0,AQ7/AP7,"")</f>
        <v/>
      </c>
      <c r="AS7" s="16">
        <f>50*AB7</f>
        <v/>
      </c>
      <c r="AT7" s="30">
        <f>MAX(BM7:BW7)</f>
        <v/>
      </c>
      <c r="AU7" s="31">
        <f>AI7*(MATCH(AT7,BM7:BW7,0)-1)/10</f>
        <v/>
      </c>
      <c r="AV7" s="31">
        <f>INDEX(BB7:BL7,1,(MATCH(AT7,BM7:BW7,0)-1)+1)</f>
        <v/>
      </c>
      <c r="AW7" s="31">
        <f>AB7*AU7</f>
        <v/>
      </c>
      <c r="AX7" s="30">
        <f>AC7*AU7</f>
        <v/>
      </c>
      <c r="AY7" s="31">
        <f>AD7*AU7+AE7*AV7</f>
        <v/>
      </c>
      <c r="AZ7" s="32">
        <f>TRIM(IF(AND(AU7&gt;0,ABS(AU7-AF7)&lt;1E-6),"F1 ","")&amp;IF(AND(AU7&gt;0,ABS(AU7-AG7)&lt;1E-6),"F2 ","")&amp;IF(AY7&gt;=in_f3-1E-6,"F3 ","")&amp;IF(AV7&gt;=in_cap-1E-9,"rate cap",""))</f>
        <v/>
      </c>
      <c r="BA7" s="31">
        <f>Q7*AT7/100</f>
        <v/>
      </c>
      <c r="BB7" s="16">
        <f>MAX(0,MIN(in_cap,IF(AE7&gt;0,(in_f3-AD7*AI7*0/10)/AE7,in_cap)))</f>
        <v/>
      </c>
      <c r="BC7" s="16">
        <f>MAX(0,MIN(in_cap,IF(AE7&gt;0,(in_f3-AD7*AI7*1/10)/AE7,in_cap)))</f>
        <v/>
      </c>
      <c r="BD7" s="16">
        <f>MAX(0,MIN(in_cap,IF(AE7&gt;0,(in_f3-AD7*AI7*2/10)/AE7,in_cap)))</f>
        <v/>
      </c>
      <c r="BE7" s="16">
        <f>MAX(0,MIN(in_cap,IF(AE7&gt;0,(in_f3-AD7*AI7*3/10)/AE7,in_cap)))</f>
        <v/>
      </c>
      <c r="BF7" s="16">
        <f>MAX(0,MIN(in_cap,IF(AE7&gt;0,(in_f3-AD7*AI7*4/10)/AE7,in_cap)))</f>
        <v/>
      </c>
      <c r="BG7" s="16">
        <f>MAX(0,MIN(in_cap,IF(AE7&gt;0,(in_f3-AD7*AI7*5/10)/AE7,in_cap)))</f>
        <v/>
      </c>
      <c r="BH7" s="16">
        <f>MAX(0,MIN(in_cap,IF(AE7&gt;0,(in_f3-AD7*AI7*6/10)/AE7,in_cap)))</f>
        <v/>
      </c>
      <c r="BI7" s="16">
        <f>MAX(0,MIN(in_cap,IF(AE7&gt;0,(in_f3-AD7*AI7*7/10)/AE7,in_cap)))</f>
        <v/>
      </c>
      <c r="BJ7" s="16">
        <f>MAX(0,MIN(in_cap,IF(AE7&gt;0,(in_f3-AD7*AI7*8/10)/AE7,in_cap)))</f>
        <v/>
      </c>
      <c r="BK7" s="16">
        <f>MAX(0,MIN(in_cap,IF(AE7&gt;0,(in_f3-AD7*AI7*9/10)/AE7,in_cap)))</f>
        <v/>
      </c>
      <c r="BL7" s="16">
        <f>MAX(0,MIN(in_cap,IF(AE7&gt;0,(in_f3-AD7*AI7*10/10)/AE7,in_cap)))</f>
        <v/>
      </c>
      <c r="BM7" s="15">
        <f>100*(1-(1-X7*(1-EXP(-((AI7*0/10)+(BB7))/Y7)))*(1-MIN(ABS(in_elas)*W7*R7*(AI7*0/10)/V7,1)))</f>
        <v/>
      </c>
      <c r="BN7" s="15">
        <f>100*(1-(1-X7*(1-EXP(-((AI7*1/10)+(BC7))/Y7)))*(1-MIN(ABS(in_elas)*W7*R7*(AI7*1/10)/V7,1)))</f>
        <v/>
      </c>
      <c r="BO7" s="15">
        <f>100*(1-(1-X7*(1-EXP(-((AI7*2/10)+(BD7))/Y7)))*(1-MIN(ABS(in_elas)*W7*R7*(AI7*2/10)/V7,1)))</f>
        <v/>
      </c>
      <c r="BP7" s="15">
        <f>100*(1-(1-X7*(1-EXP(-((AI7*3/10)+(BE7))/Y7)))*(1-MIN(ABS(in_elas)*W7*R7*(AI7*3/10)/V7,1)))</f>
        <v/>
      </c>
      <c r="BQ7" s="15">
        <f>100*(1-(1-X7*(1-EXP(-((AI7*4/10)+(BF7))/Y7)))*(1-MIN(ABS(in_elas)*W7*R7*(AI7*4/10)/V7,1)))</f>
        <v/>
      </c>
      <c r="BR7" s="15">
        <f>100*(1-(1-X7*(1-EXP(-((AI7*5/10)+(BG7))/Y7)))*(1-MIN(ABS(in_elas)*W7*R7*(AI7*5/10)/V7,1)))</f>
        <v/>
      </c>
      <c r="BS7" s="15">
        <f>100*(1-(1-X7*(1-EXP(-((AI7*6/10)+(BH7))/Y7)))*(1-MIN(ABS(in_elas)*W7*R7*(AI7*6/10)/V7,1)))</f>
        <v/>
      </c>
      <c r="BT7" s="15">
        <f>100*(1-(1-X7*(1-EXP(-((AI7*7/10)+(BI7))/Y7)))*(1-MIN(ABS(in_elas)*W7*R7*(AI7*7/10)/V7,1)))</f>
        <v/>
      </c>
      <c r="BU7" s="15">
        <f>100*(1-(1-X7*(1-EXP(-((AI7*8/10)+(BJ7))/Y7)))*(1-MIN(ABS(in_elas)*W7*R7*(AI7*8/10)/V7,1)))</f>
        <v/>
      </c>
      <c r="BV7" s="15">
        <f>100*(1-(1-X7*(1-EXP(-((AI7*9/10)+(BK7))/Y7)))*(1-MIN(ABS(in_elas)*W7*R7*(AI7*9/10)/V7,1)))</f>
        <v/>
      </c>
      <c r="BW7" s="15">
        <f>100*(1-(1-X7*(1-EXP(-((AI7*10/10)+(BL7))/Y7)))*(1-MIN(ABS(in_elas)*W7*R7*(AI7*10/10)/V7,1)))</f>
        <v/>
      </c>
    </row>
    <row r="8">
      <c r="A8" s="17" t="inlineStr">
        <is>
          <t>ARE</t>
        </is>
      </c>
      <c r="B8" s="17">
        <f>INDEX(Data!$B:$B,MATCH($A8,Data!$A:$A,0))</f>
        <v/>
      </c>
      <c r="C8" s="17">
        <f>INDEX(Data!$D:$D,MATCH($A8,Data!$A:$A,0))</f>
        <v/>
      </c>
      <c r="D8" s="16">
        <f>SUMIFS(Data!$G:$G,Data!$A:$A,$A8,Data!$F:$F,"gen_coal_twh")</f>
        <v/>
      </c>
      <c r="E8" s="16">
        <f>SUMIFS(Data!$G:$G,Data!$A:$A,$A8,Data!$F:$F,"gen_gas_twh")</f>
        <v/>
      </c>
      <c r="F8" s="16">
        <f>SUMIFS(Data!$G:$G,Data!$A:$A,$A8,Data!$F:$F,"gen_oil_twh")</f>
        <v/>
      </c>
      <c r="G8" s="16">
        <f>SUMIFS(Data!$G:$G,Data!$A:$A,$A8,Data!$F:$F,"gen_total_twh")</f>
        <v/>
      </c>
      <c r="H8" s="16">
        <f>SUMIFS(Data!$G:$G,Data!$A:$A,$A8,Data!$F:$F,"em_coal_mt")</f>
        <v/>
      </c>
      <c r="I8" s="16">
        <f>SUMIFS(Data!$G:$G,Data!$A:$A,$A8,Data!$F:$F,"em_gas_mt")</f>
        <v/>
      </c>
      <c r="J8" s="16">
        <f>SUMIFS(Data!$G:$G,Data!$A:$A,$A8,Data!$F:$F,"em_oil_mt")</f>
        <v/>
      </c>
      <c r="K8" s="28">
        <f>IF(COUNTIFS(Data!$A:$A,$A8,Data!$F:$F,"price_electricity_residential_usd_kwh")=0,"",SUMIFS(Data!$G:$G,Data!$A:$A,$A8,Data!$F:$F,"price_electricity_residential_usd_kwh"))</f>
        <v/>
      </c>
      <c r="L8" s="28">
        <f>IF(COUNTIFS(Data!$A:$A,$A8,Data!$F:$F,"price_coal_power_usd_gj")=0,"",SUMIFS(Data!$G:$G,Data!$A:$A,$A8,Data!$F:$F,"price_coal_power_usd_gj"))</f>
        <v/>
      </c>
      <c r="M8" s="28">
        <f>IF(COUNTIFS(Data!$A:$A,$A8,Data!$F:$F,"price_gas_power_usd_gj")=0,"",SUMIFS(Data!$G:$G,Data!$A:$A,$A8,Data!$F:$F,"price_gas_power_usd_gj"))</f>
        <v/>
      </c>
      <c r="N8" s="28">
        <f>IF(COUNTIFS(Data!$A:$A,$A8,Data!$F:$F,"price_gas_industry_usd_gj")=0,"",SUMIFS(Data!$G:$G,Data!$A:$A,$A8,Data!$F:$F,"price_gas_industry_usd_gj"))</f>
        <v/>
      </c>
      <c r="O8" s="28">
        <f>IF(COUNTIFS(Data!$A:$A,$A8,Data!$F:$F,"power_market_structure")=0,"",SUMIFS(Data!$G:$G,Data!$A:$A,$A8,Data!$F:$F,"power_market_structure"))</f>
        <v/>
      </c>
      <c r="P8" s="28">
        <f>IF(COUNTIFS(Data!$A:$A,$A8,Data!$F:$F,"rise_renewable_energy_score")=0,"",SUMIFS(Data!$G:$G,Data!$A:$A,$A8,Data!$F:$F,"rise_renewable_energy_score"))</f>
        <v/>
      </c>
      <c r="Q8" s="16">
        <f>H8+I8+J8</f>
        <v/>
      </c>
      <c r="R8" s="28">
        <f>Q8/G8</f>
        <v/>
      </c>
      <c r="S8" s="28">
        <f>IF(D8&gt;0,H8/D8,0.85)</f>
        <v/>
      </c>
      <c r="T8" s="28">
        <f>IF(E8&gt;0,I8/E8,0.4)</f>
        <v/>
      </c>
      <c r="U8" s="28">
        <f>IF(D8+F8&gt;0,(H8+J8)/(D8+F8),0)</f>
        <v/>
      </c>
      <c r="V8" s="16">
        <f>K8*1000</f>
        <v/>
      </c>
      <c r="W8" s="15">
        <f>IF(O8=3,in_pt3,IF(O8=2,in_pt2,IF(O8=1,in_pt1,IF(C8="High income",in_pt_hi,in_pt_oth))))</f>
        <v/>
      </c>
      <c r="X8" s="28">
        <f>IF(Q8&gt;0,in_kappa*(in_rise_lo+(in_rise_hi-in_rise_lo)*IF(P8="",in_rise_miss,P8)/100)*(D8+F8)*MAX(U8-in_gas_rep*T8,0)/Q8,0)</f>
        <v/>
      </c>
      <c r="Y8" s="16">
        <f>IF(IF(M8="",N8,M8)="",MAX(in_sw_floor,in_sw_miss),MAX(in_sw_floor,(IF(M8="",N8,M8)*in_hr_gas-L8*in_hr_coal)/MAX(S8-T8,0.1)))</f>
        <v/>
      </c>
      <c r="Z8" s="28">
        <f>IF(C8="Low income",in_b40_li,IF(C8="Lower middle income",in_b40_lmi,IF(C8="Upper middle income",in_b40_umi,IF(C8="High income",in_b40_hi,0.03))))</f>
        <v/>
      </c>
      <c r="AA8" s="15">
        <f>(D8+F8)/G8</f>
        <v/>
      </c>
      <c r="AB8" s="28">
        <f>100*W8*R8/V8/in_phase</f>
        <v/>
      </c>
      <c r="AC8" s="29">
        <f>100*Z8*W8*R8/V8*(1-IF(W8&gt;0,MIN(in_rebate/(W8*in_res_sh*in_q40),1),1))</f>
        <v/>
      </c>
      <c r="AD8" s="28">
        <f>IF(AA8&gt;0,100*U8*(1-W8)/(in_whole_sh*V8),0)</f>
        <v/>
      </c>
      <c r="AE8" s="28">
        <f>IF(AA8&gt;0,100*MAX(U8-R8,0)/(in_whole_sh*V8),0)</f>
        <v/>
      </c>
      <c r="AF8" s="16">
        <f>IF(AB8&gt;0,in_f1/AB8,in_cap)</f>
        <v/>
      </c>
      <c r="AG8" s="16">
        <f>IF(AC8&gt;0,in_f2/AC8,in_cap)</f>
        <v/>
      </c>
      <c r="AH8" s="16">
        <f>IF(AD8&gt;0,in_f3/AD8,in_cap)</f>
        <v/>
      </c>
      <c r="AI8" s="16">
        <f>MIN(in_cap,AF8,AG8,AH8)</f>
        <v/>
      </c>
      <c r="AJ8" s="30">
        <f>100*(1-(1-X8*(1-EXP(-((AI8)+(0))/Y8)))*(1-MIN(ABS(in_elas)*W8*R8*(AI8)/V8,1)))</f>
        <v/>
      </c>
      <c r="AK8" s="17">
        <f>IF(AI8&gt;=in_cap-1E-9,"rate cap",TRIM(IF(ABS(AI8-AF8)&lt;1E-9,"F1 ","")&amp;IF(ABS(AI8-AG8)&lt;1E-9,"F2 ","")&amp;IF(ABS(AI8-AH8)&lt;1E-9,"F3","")))</f>
        <v/>
      </c>
      <c r="AL8" s="15">
        <f>100*(1-(1-X8*(1-EXP(-((MIN(in_cap,IF(AB8&gt;0,(in_f1+1)/AB8,in_cap),AG8,AH8))+(0))/Y8)))*(1-MIN(ABS(in_elas)*W8*R8*(MIN(in_cap,IF(AB8&gt;0,(in_f1+1)/AB8,in_cap),AG8,AH8))/V8,1)))-AJ8</f>
        <v/>
      </c>
      <c r="AM8" s="16">
        <f>MIN(in_cap,IF(AE8&gt;0,in_f3/AE8,in_cap))</f>
        <v/>
      </c>
      <c r="AN8" s="30">
        <f>100*(1-(1-X8*(1-EXP(-((0)+(AM8))/Y8)))*(1-MIN(ABS(in_elas)*W8*R8*(0)/V8,1)))</f>
        <v/>
      </c>
      <c r="AO8" s="17">
        <f>IF(AM8&gt;=in_cap-1E-9,"rate cap","F3")</f>
        <v/>
      </c>
      <c r="AP8" s="15">
        <f>100*(1-(1-X8*(1-EXP(-((50)+(0))/Y8)))*(1-MIN(ABS(in_elas)*W8*R8*(50)/V8,1)))</f>
        <v/>
      </c>
      <c r="AQ8" s="15">
        <f>100*(1-(1-X8*(1-EXP(-((0)+(50))/Y8)))*(1-MIN(ABS(in_elas)*W8*R8*(0)/V8,1)))</f>
        <v/>
      </c>
      <c r="AR8" s="15">
        <f>IF(AP8&gt;0,AQ8/AP8,"")</f>
        <v/>
      </c>
      <c r="AS8" s="16">
        <f>50*AB8</f>
        <v/>
      </c>
      <c r="AT8" s="30">
        <f>MAX(BM8:BW8)</f>
        <v/>
      </c>
      <c r="AU8" s="31">
        <f>AI8*(MATCH(AT8,BM8:BW8,0)-1)/10</f>
        <v/>
      </c>
      <c r="AV8" s="31">
        <f>INDEX(BB8:BL8,1,(MATCH(AT8,BM8:BW8,0)-1)+1)</f>
        <v/>
      </c>
      <c r="AW8" s="31">
        <f>AB8*AU8</f>
        <v/>
      </c>
      <c r="AX8" s="30">
        <f>AC8*AU8</f>
        <v/>
      </c>
      <c r="AY8" s="31">
        <f>AD8*AU8+AE8*AV8</f>
        <v/>
      </c>
      <c r="AZ8" s="32">
        <f>TRIM(IF(AND(AU8&gt;0,ABS(AU8-AF8)&lt;1E-6),"F1 ","")&amp;IF(AND(AU8&gt;0,ABS(AU8-AG8)&lt;1E-6),"F2 ","")&amp;IF(AY8&gt;=in_f3-1E-6,"F3 ","")&amp;IF(AV8&gt;=in_cap-1E-9,"rate cap",""))</f>
        <v/>
      </c>
      <c r="BA8" s="31">
        <f>Q8*AT8/100</f>
        <v/>
      </c>
      <c r="BB8" s="16">
        <f>MAX(0,MIN(in_cap,IF(AE8&gt;0,(in_f3-AD8*AI8*0/10)/AE8,in_cap)))</f>
        <v/>
      </c>
      <c r="BC8" s="16">
        <f>MAX(0,MIN(in_cap,IF(AE8&gt;0,(in_f3-AD8*AI8*1/10)/AE8,in_cap)))</f>
        <v/>
      </c>
      <c r="BD8" s="16">
        <f>MAX(0,MIN(in_cap,IF(AE8&gt;0,(in_f3-AD8*AI8*2/10)/AE8,in_cap)))</f>
        <v/>
      </c>
      <c r="BE8" s="16">
        <f>MAX(0,MIN(in_cap,IF(AE8&gt;0,(in_f3-AD8*AI8*3/10)/AE8,in_cap)))</f>
        <v/>
      </c>
      <c r="BF8" s="16">
        <f>MAX(0,MIN(in_cap,IF(AE8&gt;0,(in_f3-AD8*AI8*4/10)/AE8,in_cap)))</f>
        <v/>
      </c>
      <c r="BG8" s="16">
        <f>MAX(0,MIN(in_cap,IF(AE8&gt;0,(in_f3-AD8*AI8*5/10)/AE8,in_cap)))</f>
        <v/>
      </c>
      <c r="BH8" s="16">
        <f>MAX(0,MIN(in_cap,IF(AE8&gt;0,(in_f3-AD8*AI8*6/10)/AE8,in_cap)))</f>
        <v/>
      </c>
      <c r="BI8" s="16">
        <f>MAX(0,MIN(in_cap,IF(AE8&gt;0,(in_f3-AD8*AI8*7/10)/AE8,in_cap)))</f>
        <v/>
      </c>
      <c r="BJ8" s="16">
        <f>MAX(0,MIN(in_cap,IF(AE8&gt;0,(in_f3-AD8*AI8*8/10)/AE8,in_cap)))</f>
        <v/>
      </c>
      <c r="BK8" s="16">
        <f>MAX(0,MIN(in_cap,IF(AE8&gt;0,(in_f3-AD8*AI8*9/10)/AE8,in_cap)))</f>
        <v/>
      </c>
      <c r="BL8" s="16">
        <f>MAX(0,MIN(in_cap,IF(AE8&gt;0,(in_f3-AD8*AI8*10/10)/AE8,in_cap)))</f>
        <v/>
      </c>
      <c r="BM8" s="15">
        <f>100*(1-(1-X8*(1-EXP(-((AI8*0/10)+(BB8))/Y8)))*(1-MIN(ABS(in_elas)*W8*R8*(AI8*0/10)/V8,1)))</f>
        <v/>
      </c>
      <c r="BN8" s="15">
        <f>100*(1-(1-X8*(1-EXP(-((AI8*1/10)+(BC8))/Y8)))*(1-MIN(ABS(in_elas)*W8*R8*(AI8*1/10)/V8,1)))</f>
        <v/>
      </c>
      <c r="BO8" s="15">
        <f>100*(1-(1-X8*(1-EXP(-((AI8*2/10)+(BD8))/Y8)))*(1-MIN(ABS(in_elas)*W8*R8*(AI8*2/10)/V8,1)))</f>
        <v/>
      </c>
      <c r="BP8" s="15">
        <f>100*(1-(1-X8*(1-EXP(-((AI8*3/10)+(BE8))/Y8)))*(1-MIN(ABS(in_elas)*W8*R8*(AI8*3/10)/V8,1)))</f>
        <v/>
      </c>
      <c r="BQ8" s="15">
        <f>100*(1-(1-X8*(1-EXP(-((AI8*4/10)+(BF8))/Y8)))*(1-MIN(ABS(in_elas)*W8*R8*(AI8*4/10)/V8,1)))</f>
        <v/>
      </c>
      <c r="BR8" s="15">
        <f>100*(1-(1-X8*(1-EXP(-((AI8*5/10)+(BG8))/Y8)))*(1-MIN(ABS(in_elas)*W8*R8*(AI8*5/10)/V8,1)))</f>
        <v/>
      </c>
      <c r="BS8" s="15">
        <f>100*(1-(1-X8*(1-EXP(-((AI8*6/10)+(BH8))/Y8)))*(1-MIN(ABS(in_elas)*W8*R8*(AI8*6/10)/V8,1)))</f>
        <v/>
      </c>
      <c r="BT8" s="15">
        <f>100*(1-(1-X8*(1-EXP(-((AI8*7/10)+(BI8))/Y8)))*(1-MIN(ABS(in_elas)*W8*R8*(AI8*7/10)/V8,1)))</f>
        <v/>
      </c>
      <c r="BU8" s="15">
        <f>100*(1-(1-X8*(1-EXP(-((AI8*8/10)+(BJ8))/Y8)))*(1-MIN(ABS(in_elas)*W8*R8*(AI8*8/10)/V8,1)))</f>
        <v/>
      </c>
      <c r="BV8" s="15">
        <f>100*(1-(1-X8*(1-EXP(-((AI8*9/10)+(BK8))/Y8)))*(1-MIN(ABS(in_elas)*W8*R8*(AI8*9/10)/V8,1)))</f>
        <v/>
      </c>
      <c r="BW8" s="15">
        <f>100*(1-(1-X8*(1-EXP(-((AI8*10/10)+(BL8))/Y8)))*(1-MIN(ABS(in_elas)*W8*R8*(AI8*10/10)/V8,1)))</f>
        <v/>
      </c>
    </row>
    <row r="9">
      <c r="A9" s="17" t="inlineStr">
        <is>
          <t>ARG</t>
        </is>
      </c>
      <c r="B9" s="17">
        <f>INDEX(Data!$B:$B,MATCH($A9,Data!$A:$A,0))</f>
        <v/>
      </c>
      <c r="C9" s="17">
        <f>INDEX(Data!$D:$D,MATCH($A9,Data!$A:$A,0))</f>
        <v/>
      </c>
      <c r="D9" s="16">
        <f>SUMIFS(Data!$G:$G,Data!$A:$A,$A9,Data!$F:$F,"gen_coal_twh")</f>
        <v/>
      </c>
      <c r="E9" s="16">
        <f>SUMIFS(Data!$G:$G,Data!$A:$A,$A9,Data!$F:$F,"gen_gas_twh")</f>
        <v/>
      </c>
      <c r="F9" s="16">
        <f>SUMIFS(Data!$G:$G,Data!$A:$A,$A9,Data!$F:$F,"gen_oil_twh")</f>
        <v/>
      </c>
      <c r="G9" s="16">
        <f>SUMIFS(Data!$G:$G,Data!$A:$A,$A9,Data!$F:$F,"gen_total_twh")</f>
        <v/>
      </c>
      <c r="H9" s="16">
        <f>SUMIFS(Data!$G:$G,Data!$A:$A,$A9,Data!$F:$F,"em_coal_mt")</f>
        <v/>
      </c>
      <c r="I9" s="16">
        <f>SUMIFS(Data!$G:$G,Data!$A:$A,$A9,Data!$F:$F,"em_gas_mt")</f>
        <v/>
      </c>
      <c r="J9" s="16">
        <f>SUMIFS(Data!$G:$G,Data!$A:$A,$A9,Data!$F:$F,"em_oil_mt")</f>
        <v/>
      </c>
      <c r="K9" s="28">
        <f>IF(COUNTIFS(Data!$A:$A,$A9,Data!$F:$F,"price_electricity_residential_usd_kwh")=0,"",SUMIFS(Data!$G:$G,Data!$A:$A,$A9,Data!$F:$F,"price_electricity_residential_usd_kwh"))</f>
        <v/>
      </c>
      <c r="L9" s="28">
        <f>IF(COUNTIFS(Data!$A:$A,$A9,Data!$F:$F,"price_coal_power_usd_gj")=0,"",SUMIFS(Data!$G:$G,Data!$A:$A,$A9,Data!$F:$F,"price_coal_power_usd_gj"))</f>
        <v/>
      </c>
      <c r="M9" s="28">
        <f>IF(COUNTIFS(Data!$A:$A,$A9,Data!$F:$F,"price_gas_power_usd_gj")=0,"",SUMIFS(Data!$G:$G,Data!$A:$A,$A9,Data!$F:$F,"price_gas_power_usd_gj"))</f>
        <v/>
      </c>
      <c r="N9" s="28">
        <f>IF(COUNTIFS(Data!$A:$A,$A9,Data!$F:$F,"price_gas_industry_usd_gj")=0,"",SUMIFS(Data!$G:$G,Data!$A:$A,$A9,Data!$F:$F,"price_gas_industry_usd_gj"))</f>
        <v/>
      </c>
      <c r="O9" s="28">
        <f>IF(COUNTIFS(Data!$A:$A,$A9,Data!$F:$F,"power_market_structure")=0,"",SUMIFS(Data!$G:$G,Data!$A:$A,$A9,Data!$F:$F,"power_market_structure"))</f>
        <v/>
      </c>
      <c r="P9" s="28">
        <f>IF(COUNTIFS(Data!$A:$A,$A9,Data!$F:$F,"rise_renewable_energy_score")=0,"",SUMIFS(Data!$G:$G,Data!$A:$A,$A9,Data!$F:$F,"rise_renewable_energy_score"))</f>
        <v/>
      </c>
      <c r="Q9" s="16">
        <f>H9+I9+J9</f>
        <v/>
      </c>
      <c r="R9" s="28">
        <f>Q9/G9</f>
        <v/>
      </c>
      <c r="S9" s="28">
        <f>IF(D9&gt;0,H9/D9,0.85)</f>
        <v/>
      </c>
      <c r="T9" s="28">
        <f>IF(E9&gt;0,I9/E9,0.4)</f>
        <v/>
      </c>
      <c r="U9" s="28">
        <f>IF(D9+F9&gt;0,(H9+J9)/(D9+F9),0)</f>
        <v/>
      </c>
      <c r="V9" s="16">
        <f>K9*1000</f>
        <v/>
      </c>
      <c r="W9" s="15">
        <f>IF(O9=3,in_pt3,IF(O9=2,in_pt2,IF(O9=1,in_pt1,IF(C9="High income",in_pt_hi,in_pt_oth))))</f>
        <v/>
      </c>
      <c r="X9" s="28">
        <f>IF(Q9&gt;0,in_kappa*(in_rise_lo+(in_rise_hi-in_rise_lo)*IF(P9="",in_rise_miss,P9)/100)*(D9+F9)*MAX(U9-in_gas_rep*T9,0)/Q9,0)</f>
        <v/>
      </c>
      <c r="Y9" s="16">
        <f>IF(IF(M9="",N9,M9)="",MAX(in_sw_floor,in_sw_miss),MAX(in_sw_floor,(IF(M9="",N9,M9)*in_hr_gas-L9*in_hr_coal)/MAX(S9-T9,0.1)))</f>
        <v/>
      </c>
      <c r="Z9" s="28">
        <f>IF(C9="Low income",in_b40_li,IF(C9="Lower middle income",in_b40_lmi,IF(C9="Upper middle income",in_b40_umi,IF(C9="High income",in_b40_hi,0.03))))</f>
        <v/>
      </c>
      <c r="AA9" s="15">
        <f>(D9+F9)/G9</f>
        <v/>
      </c>
      <c r="AB9" s="28">
        <f>100*W9*R9/V9/in_phase</f>
        <v/>
      </c>
      <c r="AC9" s="29">
        <f>100*Z9*W9*R9/V9*(1-IF(W9&gt;0,MIN(in_rebate/(W9*in_res_sh*in_q40),1),1))</f>
        <v/>
      </c>
      <c r="AD9" s="28">
        <f>IF(AA9&gt;0,100*U9*(1-W9)/(in_whole_sh*V9),0)</f>
        <v/>
      </c>
      <c r="AE9" s="28">
        <f>IF(AA9&gt;0,100*MAX(U9-R9,0)/(in_whole_sh*V9),0)</f>
        <v/>
      </c>
      <c r="AF9" s="16">
        <f>IF(AB9&gt;0,in_f1/AB9,in_cap)</f>
        <v/>
      </c>
      <c r="AG9" s="16">
        <f>IF(AC9&gt;0,in_f2/AC9,in_cap)</f>
        <v/>
      </c>
      <c r="AH9" s="16">
        <f>IF(AD9&gt;0,in_f3/AD9,in_cap)</f>
        <v/>
      </c>
      <c r="AI9" s="16">
        <f>MIN(in_cap,AF9,AG9,AH9)</f>
        <v/>
      </c>
      <c r="AJ9" s="30">
        <f>100*(1-(1-X9*(1-EXP(-((AI9)+(0))/Y9)))*(1-MIN(ABS(in_elas)*W9*R9*(AI9)/V9,1)))</f>
        <v/>
      </c>
      <c r="AK9" s="17">
        <f>IF(AI9&gt;=in_cap-1E-9,"rate cap",TRIM(IF(ABS(AI9-AF9)&lt;1E-9,"F1 ","")&amp;IF(ABS(AI9-AG9)&lt;1E-9,"F2 ","")&amp;IF(ABS(AI9-AH9)&lt;1E-9,"F3","")))</f>
        <v/>
      </c>
      <c r="AL9" s="15">
        <f>100*(1-(1-X9*(1-EXP(-((MIN(in_cap,IF(AB9&gt;0,(in_f1+1)/AB9,in_cap),AG9,AH9))+(0))/Y9)))*(1-MIN(ABS(in_elas)*W9*R9*(MIN(in_cap,IF(AB9&gt;0,(in_f1+1)/AB9,in_cap),AG9,AH9))/V9,1)))-AJ9</f>
        <v/>
      </c>
      <c r="AM9" s="16">
        <f>MIN(in_cap,IF(AE9&gt;0,in_f3/AE9,in_cap))</f>
        <v/>
      </c>
      <c r="AN9" s="30">
        <f>100*(1-(1-X9*(1-EXP(-((0)+(AM9))/Y9)))*(1-MIN(ABS(in_elas)*W9*R9*(0)/V9,1)))</f>
        <v/>
      </c>
      <c r="AO9" s="17">
        <f>IF(AM9&gt;=in_cap-1E-9,"rate cap","F3")</f>
        <v/>
      </c>
      <c r="AP9" s="15">
        <f>100*(1-(1-X9*(1-EXP(-((50)+(0))/Y9)))*(1-MIN(ABS(in_elas)*W9*R9*(50)/V9,1)))</f>
        <v/>
      </c>
      <c r="AQ9" s="15">
        <f>100*(1-(1-X9*(1-EXP(-((0)+(50))/Y9)))*(1-MIN(ABS(in_elas)*W9*R9*(0)/V9,1)))</f>
        <v/>
      </c>
      <c r="AR9" s="15">
        <f>IF(AP9&gt;0,AQ9/AP9,"")</f>
        <v/>
      </c>
      <c r="AS9" s="16">
        <f>50*AB9</f>
        <v/>
      </c>
      <c r="AT9" s="30">
        <f>MAX(BM9:BW9)</f>
        <v/>
      </c>
      <c r="AU9" s="31">
        <f>AI9*(MATCH(AT9,BM9:BW9,0)-1)/10</f>
        <v/>
      </c>
      <c r="AV9" s="31">
        <f>INDEX(BB9:BL9,1,(MATCH(AT9,BM9:BW9,0)-1)+1)</f>
        <v/>
      </c>
      <c r="AW9" s="31">
        <f>AB9*AU9</f>
        <v/>
      </c>
      <c r="AX9" s="30">
        <f>AC9*AU9</f>
        <v/>
      </c>
      <c r="AY9" s="31">
        <f>AD9*AU9+AE9*AV9</f>
        <v/>
      </c>
      <c r="AZ9" s="32">
        <f>TRIM(IF(AND(AU9&gt;0,ABS(AU9-AF9)&lt;1E-6),"F1 ","")&amp;IF(AND(AU9&gt;0,ABS(AU9-AG9)&lt;1E-6),"F2 ","")&amp;IF(AY9&gt;=in_f3-1E-6,"F3 ","")&amp;IF(AV9&gt;=in_cap-1E-9,"rate cap",""))</f>
        <v/>
      </c>
      <c r="BA9" s="31">
        <f>Q9*AT9/100</f>
        <v/>
      </c>
      <c r="BB9" s="16">
        <f>MAX(0,MIN(in_cap,IF(AE9&gt;0,(in_f3-AD9*AI9*0/10)/AE9,in_cap)))</f>
        <v/>
      </c>
      <c r="BC9" s="16">
        <f>MAX(0,MIN(in_cap,IF(AE9&gt;0,(in_f3-AD9*AI9*1/10)/AE9,in_cap)))</f>
        <v/>
      </c>
      <c r="BD9" s="16">
        <f>MAX(0,MIN(in_cap,IF(AE9&gt;0,(in_f3-AD9*AI9*2/10)/AE9,in_cap)))</f>
        <v/>
      </c>
      <c r="BE9" s="16">
        <f>MAX(0,MIN(in_cap,IF(AE9&gt;0,(in_f3-AD9*AI9*3/10)/AE9,in_cap)))</f>
        <v/>
      </c>
      <c r="BF9" s="16">
        <f>MAX(0,MIN(in_cap,IF(AE9&gt;0,(in_f3-AD9*AI9*4/10)/AE9,in_cap)))</f>
        <v/>
      </c>
      <c r="BG9" s="16">
        <f>MAX(0,MIN(in_cap,IF(AE9&gt;0,(in_f3-AD9*AI9*5/10)/AE9,in_cap)))</f>
        <v/>
      </c>
      <c r="BH9" s="16">
        <f>MAX(0,MIN(in_cap,IF(AE9&gt;0,(in_f3-AD9*AI9*6/10)/AE9,in_cap)))</f>
        <v/>
      </c>
      <c r="BI9" s="16">
        <f>MAX(0,MIN(in_cap,IF(AE9&gt;0,(in_f3-AD9*AI9*7/10)/AE9,in_cap)))</f>
        <v/>
      </c>
      <c r="BJ9" s="16">
        <f>MAX(0,MIN(in_cap,IF(AE9&gt;0,(in_f3-AD9*AI9*8/10)/AE9,in_cap)))</f>
        <v/>
      </c>
      <c r="BK9" s="16">
        <f>MAX(0,MIN(in_cap,IF(AE9&gt;0,(in_f3-AD9*AI9*9/10)/AE9,in_cap)))</f>
        <v/>
      </c>
      <c r="BL9" s="16">
        <f>MAX(0,MIN(in_cap,IF(AE9&gt;0,(in_f3-AD9*AI9*10/10)/AE9,in_cap)))</f>
        <v/>
      </c>
      <c r="BM9" s="15">
        <f>100*(1-(1-X9*(1-EXP(-((AI9*0/10)+(BB9))/Y9)))*(1-MIN(ABS(in_elas)*W9*R9*(AI9*0/10)/V9,1)))</f>
        <v/>
      </c>
      <c r="BN9" s="15">
        <f>100*(1-(1-X9*(1-EXP(-((AI9*1/10)+(BC9))/Y9)))*(1-MIN(ABS(in_elas)*W9*R9*(AI9*1/10)/V9,1)))</f>
        <v/>
      </c>
      <c r="BO9" s="15">
        <f>100*(1-(1-X9*(1-EXP(-((AI9*2/10)+(BD9))/Y9)))*(1-MIN(ABS(in_elas)*W9*R9*(AI9*2/10)/V9,1)))</f>
        <v/>
      </c>
      <c r="BP9" s="15">
        <f>100*(1-(1-X9*(1-EXP(-((AI9*3/10)+(BE9))/Y9)))*(1-MIN(ABS(in_elas)*W9*R9*(AI9*3/10)/V9,1)))</f>
        <v/>
      </c>
      <c r="BQ9" s="15">
        <f>100*(1-(1-X9*(1-EXP(-((AI9*4/10)+(BF9))/Y9)))*(1-MIN(ABS(in_elas)*W9*R9*(AI9*4/10)/V9,1)))</f>
        <v/>
      </c>
      <c r="BR9" s="15">
        <f>100*(1-(1-X9*(1-EXP(-((AI9*5/10)+(BG9))/Y9)))*(1-MIN(ABS(in_elas)*W9*R9*(AI9*5/10)/V9,1)))</f>
        <v/>
      </c>
      <c r="BS9" s="15">
        <f>100*(1-(1-X9*(1-EXP(-((AI9*6/10)+(BH9))/Y9)))*(1-MIN(ABS(in_elas)*W9*R9*(AI9*6/10)/V9,1)))</f>
        <v/>
      </c>
      <c r="BT9" s="15">
        <f>100*(1-(1-X9*(1-EXP(-((AI9*7/10)+(BI9))/Y9)))*(1-MIN(ABS(in_elas)*W9*R9*(AI9*7/10)/V9,1)))</f>
        <v/>
      </c>
      <c r="BU9" s="15">
        <f>100*(1-(1-X9*(1-EXP(-((AI9*8/10)+(BJ9))/Y9)))*(1-MIN(ABS(in_elas)*W9*R9*(AI9*8/10)/V9,1)))</f>
        <v/>
      </c>
      <c r="BV9" s="15">
        <f>100*(1-(1-X9*(1-EXP(-((AI9*9/10)+(BK9))/Y9)))*(1-MIN(ABS(in_elas)*W9*R9*(AI9*9/10)/V9,1)))</f>
        <v/>
      </c>
      <c r="BW9" s="15">
        <f>100*(1-(1-X9*(1-EXP(-((AI9*10/10)+(BL9))/Y9)))*(1-MIN(ABS(in_elas)*W9*R9*(AI9*10/10)/V9,1)))</f>
        <v/>
      </c>
    </row>
    <row r="10">
      <c r="A10" s="17" t="inlineStr">
        <is>
          <t>ARM</t>
        </is>
      </c>
      <c r="B10" s="17">
        <f>INDEX(Data!$B:$B,MATCH($A10,Data!$A:$A,0))</f>
        <v/>
      </c>
      <c r="C10" s="17">
        <f>INDEX(Data!$D:$D,MATCH($A10,Data!$A:$A,0))</f>
        <v/>
      </c>
      <c r="D10" s="16">
        <f>SUMIFS(Data!$G:$G,Data!$A:$A,$A10,Data!$F:$F,"gen_coal_twh")</f>
        <v/>
      </c>
      <c r="E10" s="16">
        <f>SUMIFS(Data!$G:$G,Data!$A:$A,$A10,Data!$F:$F,"gen_gas_twh")</f>
        <v/>
      </c>
      <c r="F10" s="16">
        <f>SUMIFS(Data!$G:$G,Data!$A:$A,$A10,Data!$F:$F,"gen_oil_twh")</f>
        <v/>
      </c>
      <c r="G10" s="16">
        <f>SUMIFS(Data!$G:$G,Data!$A:$A,$A10,Data!$F:$F,"gen_total_twh")</f>
        <v/>
      </c>
      <c r="H10" s="16">
        <f>SUMIFS(Data!$G:$G,Data!$A:$A,$A10,Data!$F:$F,"em_coal_mt")</f>
        <v/>
      </c>
      <c r="I10" s="16">
        <f>SUMIFS(Data!$G:$G,Data!$A:$A,$A10,Data!$F:$F,"em_gas_mt")</f>
        <v/>
      </c>
      <c r="J10" s="16">
        <f>SUMIFS(Data!$G:$G,Data!$A:$A,$A10,Data!$F:$F,"em_oil_mt")</f>
        <v/>
      </c>
      <c r="K10" s="28">
        <f>IF(COUNTIFS(Data!$A:$A,$A10,Data!$F:$F,"price_electricity_residential_usd_kwh")=0,"",SUMIFS(Data!$G:$G,Data!$A:$A,$A10,Data!$F:$F,"price_electricity_residential_usd_kwh"))</f>
        <v/>
      </c>
      <c r="L10" s="28">
        <f>IF(COUNTIFS(Data!$A:$A,$A10,Data!$F:$F,"price_coal_power_usd_gj")=0,"",SUMIFS(Data!$G:$G,Data!$A:$A,$A10,Data!$F:$F,"price_coal_power_usd_gj"))</f>
        <v/>
      </c>
      <c r="M10" s="28">
        <f>IF(COUNTIFS(Data!$A:$A,$A10,Data!$F:$F,"price_gas_power_usd_gj")=0,"",SUMIFS(Data!$G:$G,Data!$A:$A,$A10,Data!$F:$F,"price_gas_power_usd_gj"))</f>
        <v/>
      </c>
      <c r="N10" s="28">
        <f>IF(COUNTIFS(Data!$A:$A,$A10,Data!$F:$F,"price_gas_industry_usd_gj")=0,"",SUMIFS(Data!$G:$G,Data!$A:$A,$A10,Data!$F:$F,"price_gas_industry_usd_gj"))</f>
        <v/>
      </c>
      <c r="O10" s="28">
        <f>IF(COUNTIFS(Data!$A:$A,$A10,Data!$F:$F,"power_market_structure")=0,"",SUMIFS(Data!$G:$G,Data!$A:$A,$A10,Data!$F:$F,"power_market_structure"))</f>
        <v/>
      </c>
      <c r="P10" s="28">
        <f>IF(COUNTIFS(Data!$A:$A,$A10,Data!$F:$F,"rise_renewable_energy_score")=0,"",SUMIFS(Data!$G:$G,Data!$A:$A,$A10,Data!$F:$F,"rise_renewable_energy_score"))</f>
        <v/>
      </c>
      <c r="Q10" s="16">
        <f>H10+I10+J10</f>
        <v/>
      </c>
      <c r="R10" s="28">
        <f>Q10/G10</f>
        <v/>
      </c>
      <c r="S10" s="28">
        <f>IF(D10&gt;0,H10/D10,0.85)</f>
        <v/>
      </c>
      <c r="T10" s="28">
        <f>IF(E10&gt;0,I10/E10,0.4)</f>
        <v/>
      </c>
      <c r="U10" s="28">
        <f>IF(D10+F10&gt;0,(H10+J10)/(D10+F10),0)</f>
        <v/>
      </c>
      <c r="V10" s="16">
        <f>K10*1000</f>
        <v/>
      </c>
      <c r="W10" s="15">
        <f>IF(O10=3,in_pt3,IF(O10=2,in_pt2,IF(O10=1,in_pt1,IF(C10="High income",in_pt_hi,in_pt_oth))))</f>
        <v/>
      </c>
      <c r="X10" s="28">
        <f>IF(Q10&gt;0,in_kappa*(in_rise_lo+(in_rise_hi-in_rise_lo)*IF(P10="",in_rise_miss,P10)/100)*(D10+F10)*MAX(U10-in_gas_rep*T10,0)/Q10,0)</f>
        <v/>
      </c>
      <c r="Y10" s="16">
        <f>IF(IF(M10="",N10,M10)="",MAX(in_sw_floor,in_sw_miss),MAX(in_sw_floor,(IF(M10="",N10,M10)*in_hr_gas-L10*in_hr_coal)/MAX(S10-T10,0.1)))</f>
        <v/>
      </c>
      <c r="Z10" s="28">
        <f>IF(C10="Low income",in_b40_li,IF(C10="Lower middle income",in_b40_lmi,IF(C10="Upper middle income",in_b40_umi,IF(C10="High income",in_b40_hi,0.03))))</f>
        <v/>
      </c>
      <c r="AA10" s="15">
        <f>(D10+F10)/G10</f>
        <v/>
      </c>
      <c r="AB10" s="28">
        <f>100*W10*R10/V10/in_phase</f>
        <v/>
      </c>
      <c r="AC10" s="29">
        <f>100*Z10*W10*R10/V10*(1-IF(W10&gt;0,MIN(in_rebate/(W10*in_res_sh*in_q40),1),1))</f>
        <v/>
      </c>
      <c r="AD10" s="28">
        <f>IF(AA10&gt;0,100*U10*(1-W10)/(in_whole_sh*V10),0)</f>
        <v/>
      </c>
      <c r="AE10" s="28">
        <f>IF(AA10&gt;0,100*MAX(U10-R10,0)/(in_whole_sh*V10),0)</f>
        <v/>
      </c>
      <c r="AF10" s="16">
        <f>IF(AB10&gt;0,in_f1/AB10,in_cap)</f>
        <v/>
      </c>
      <c r="AG10" s="16">
        <f>IF(AC10&gt;0,in_f2/AC10,in_cap)</f>
        <v/>
      </c>
      <c r="AH10" s="16">
        <f>IF(AD10&gt;0,in_f3/AD10,in_cap)</f>
        <v/>
      </c>
      <c r="AI10" s="16">
        <f>MIN(in_cap,AF10,AG10,AH10)</f>
        <v/>
      </c>
      <c r="AJ10" s="30">
        <f>100*(1-(1-X10*(1-EXP(-((AI10)+(0))/Y10)))*(1-MIN(ABS(in_elas)*W10*R10*(AI10)/V10,1)))</f>
        <v/>
      </c>
      <c r="AK10" s="17">
        <f>IF(AI10&gt;=in_cap-1E-9,"rate cap",TRIM(IF(ABS(AI10-AF10)&lt;1E-9,"F1 ","")&amp;IF(ABS(AI10-AG10)&lt;1E-9,"F2 ","")&amp;IF(ABS(AI10-AH10)&lt;1E-9,"F3","")))</f>
        <v/>
      </c>
      <c r="AL10" s="15">
        <f>100*(1-(1-X10*(1-EXP(-((MIN(in_cap,IF(AB10&gt;0,(in_f1+1)/AB10,in_cap),AG10,AH10))+(0))/Y10)))*(1-MIN(ABS(in_elas)*W10*R10*(MIN(in_cap,IF(AB10&gt;0,(in_f1+1)/AB10,in_cap),AG10,AH10))/V10,1)))-AJ10</f>
        <v/>
      </c>
      <c r="AM10" s="16">
        <f>MIN(in_cap,IF(AE10&gt;0,in_f3/AE10,in_cap))</f>
        <v/>
      </c>
      <c r="AN10" s="30">
        <f>100*(1-(1-X10*(1-EXP(-((0)+(AM10))/Y10)))*(1-MIN(ABS(in_elas)*W10*R10*(0)/V10,1)))</f>
        <v/>
      </c>
      <c r="AO10" s="17">
        <f>IF(AM10&gt;=in_cap-1E-9,"rate cap","F3")</f>
        <v/>
      </c>
      <c r="AP10" s="15">
        <f>100*(1-(1-X10*(1-EXP(-((50)+(0))/Y10)))*(1-MIN(ABS(in_elas)*W10*R10*(50)/V10,1)))</f>
        <v/>
      </c>
      <c r="AQ10" s="15">
        <f>100*(1-(1-X10*(1-EXP(-((0)+(50))/Y10)))*(1-MIN(ABS(in_elas)*W10*R10*(0)/V10,1)))</f>
        <v/>
      </c>
      <c r="AR10" s="15">
        <f>IF(AP10&gt;0,AQ10/AP10,"")</f>
        <v/>
      </c>
      <c r="AS10" s="16">
        <f>50*AB10</f>
        <v/>
      </c>
      <c r="AT10" s="30">
        <f>MAX(BM10:BW10)</f>
        <v/>
      </c>
      <c r="AU10" s="31">
        <f>AI10*(MATCH(AT10,BM10:BW10,0)-1)/10</f>
        <v/>
      </c>
      <c r="AV10" s="31">
        <f>INDEX(BB10:BL10,1,(MATCH(AT10,BM10:BW10,0)-1)+1)</f>
        <v/>
      </c>
      <c r="AW10" s="31">
        <f>AB10*AU10</f>
        <v/>
      </c>
      <c r="AX10" s="30">
        <f>AC10*AU10</f>
        <v/>
      </c>
      <c r="AY10" s="31">
        <f>AD10*AU10+AE10*AV10</f>
        <v/>
      </c>
      <c r="AZ10" s="32">
        <f>TRIM(IF(AND(AU10&gt;0,ABS(AU10-AF10)&lt;1E-6),"F1 ","")&amp;IF(AND(AU10&gt;0,ABS(AU10-AG10)&lt;1E-6),"F2 ","")&amp;IF(AY10&gt;=in_f3-1E-6,"F3 ","")&amp;IF(AV10&gt;=in_cap-1E-9,"rate cap",""))</f>
        <v/>
      </c>
      <c r="BA10" s="31">
        <f>Q10*AT10/100</f>
        <v/>
      </c>
      <c r="BB10" s="16">
        <f>MAX(0,MIN(in_cap,IF(AE10&gt;0,(in_f3-AD10*AI10*0/10)/AE10,in_cap)))</f>
        <v/>
      </c>
      <c r="BC10" s="16">
        <f>MAX(0,MIN(in_cap,IF(AE10&gt;0,(in_f3-AD10*AI10*1/10)/AE10,in_cap)))</f>
        <v/>
      </c>
      <c r="BD10" s="16">
        <f>MAX(0,MIN(in_cap,IF(AE10&gt;0,(in_f3-AD10*AI10*2/10)/AE10,in_cap)))</f>
        <v/>
      </c>
      <c r="BE10" s="16">
        <f>MAX(0,MIN(in_cap,IF(AE10&gt;0,(in_f3-AD10*AI10*3/10)/AE10,in_cap)))</f>
        <v/>
      </c>
      <c r="BF10" s="16">
        <f>MAX(0,MIN(in_cap,IF(AE10&gt;0,(in_f3-AD10*AI10*4/10)/AE10,in_cap)))</f>
        <v/>
      </c>
      <c r="BG10" s="16">
        <f>MAX(0,MIN(in_cap,IF(AE10&gt;0,(in_f3-AD10*AI10*5/10)/AE10,in_cap)))</f>
        <v/>
      </c>
      <c r="BH10" s="16">
        <f>MAX(0,MIN(in_cap,IF(AE10&gt;0,(in_f3-AD10*AI10*6/10)/AE10,in_cap)))</f>
        <v/>
      </c>
      <c r="BI10" s="16">
        <f>MAX(0,MIN(in_cap,IF(AE10&gt;0,(in_f3-AD10*AI10*7/10)/AE10,in_cap)))</f>
        <v/>
      </c>
      <c r="BJ10" s="16">
        <f>MAX(0,MIN(in_cap,IF(AE10&gt;0,(in_f3-AD10*AI10*8/10)/AE10,in_cap)))</f>
        <v/>
      </c>
      <c r="BK10" s="16">
        <f>MAX(0,MIN(in_cap,IF(AE10&gt;0,(in_f3-AD10*AI10*9/10)/AE10,in_cap)))</f>
        <v/>
      </c>
      <c r="BL10" s="16">
        <f>MAX(0,MIN(in_cap,IF(AE10&gt;0,(in_f3-AD10*AI10*10/10)/AE10,in_cap)))</f>
        <v/>
      </c>
      <c r="BM10" s="15">
        <f>100*(1-(1-X10*(1-EXP(-((AI10*0/10)+(BB10))/Y10)))*(1-MIN(ABS(in_elas)*W10*R10*(AI10*0/10)/V10,1)))</f>
        <v/>
      </c>
      <c r="BN10" s="15">
        <f>100*(1-(1-X10*(1-EXP(-((AI10*1/10)+(BC10))/Y10)))*(1-MIN(ABS(in_elas)*W10*R10*(AI10*1/10)/V10,1)))</f>
        <v/>
      </c>
      <c r="BO10" s="15">
        <f>100*(1-(1-X10*(1-EXP(-((AI10*2/10)+(BD10))/Y10)))*(1-MIN(ABS(in_elas)*W10*R10*(AI10*2/10)/V10,1)))</f>
        <v/>
      </c>
      <c r="BP10" s="15">
        <f>100*(1-(1-X10*(1-EXP(-((AI10*3/10)+(BE10))/Y10)))*(1-MIN(ABS(in_elas)*W10*R10*(AI10*3/10)/V10,1)))</f>
        <v/>
      </c>
      <c r="BQ10" s="15">
        <f>100*(1-(1-X10*(1-EXP(-((AI10*4/10)+(BF10))/Y10)))*(1-MIN(ABS(in_elas)*W10*R10*(AI10*4/10)/V10,1)))</f>
        <v/>
      </c>
      <c r="BR10" s="15">
        <f>100*(1-(1-X10*(1-EXP(-((AI10*5/10)+(BG10))/Y10)))*(1-MIN(ABS(in_elas)*W10*R10*(AI10*5/10)/V10,1)))</f>
        <v/>
      </c>
      <c r="BS10" s="15">
        <f>100*(1-(1-X10*(1-EXP(-((AI10*6/10)+(BH10))/Y10)))*(1-MIN(ABS(in_elas)*W10*R10*(AI10*6/10)/V10,1)))</f>
        <v/>
      </c>
      <c r="BT10" s="15">
        <f>100*(1-(1-X10*(1-EXP(-((AI10*7/10)+(BI10))/Y10)))*(1-MIN(ABS(in_elas)*W10*R10*(AI10*7/10)/V10,1)))</f>
        <v/>
      </c>
      <c r="BU10" s="15">
        <f>100*(1-(1-X10*(1-EXP(-((AI10*8/10)+(BJ10))/Y10)))*(1-MIN(ABS(in_elas)*W10*R10*(AI10*8/10)/V10,1)))</f>
        <v/>
      </c>
      <c r="BV10" s="15">
        <f>100*(1-(1-X10*(1-EXP(-((AI10*9/10)+(BK10))/Y10)))*(1-MIN(ABS(in_elas)*W10*R10*(AI10*9/10)/V10,1)))</f>
        <v/>
      </c>
      <c r="BW10" s="15">
        <f>100*(1-(1-X10*(1-EXP(-((AI10*10/10)+(BL10))/Y10)))*(1-MIN(ABS(in_elas)*W10*R10*(AI10*10/10)/V10,1)))</f>
        <v/>
      </c>
    </row>
    <row r="11">
      <c r="A11" s="17" t="inlineStr">
        <is>
          <t>ATG</t>
        </is>
      </c>
      <c r="B11" s="17">
        <f>INDEX(Data!$B:$B,MATCH($A11,Data!$A:$A,0))</f>
        <v/>
      </c>
      <c r="C11" s="17">
        <f>INDEX(Data!$D:$D,MATCH($A11,Data!$A:$A,0))</f>
        <v/>
      </c>
      <c r="D11" s="16">
        <f>SUMIFS(Data!$G:$G,Data!$A:$A,$A11,Data!$F:$F,"gen_coal_twh")</f>
        <v/>
      </c>
      <c r="E11" s="16">
        <f>SUMIFS(Data!$G:$G,Data!$A:$A,$A11,Data!$F:$F,"gen_gas_twh")</f>
        <v/>
      </c>
      <c r="F11" s="16">
        <f>SUMIFS(Data!$G:$G,Data!$A:$A,$A11,Data!$F:$F,"gen_oil_twh")</f>
        <v/>
      </c>
      <c r="G11" s="16">
        <f>SUMIFS(Data!$G:$G,Data!$A:$A,$A11,Data!$F:$F,"gen_total_twh")</f>
        <v/>
      </c>
      <c r="H11" s="16">
        <f>SUMIFS(Data!$G:$G,Data!$A:$A,$A11,Data!$F:$F,"em_coal_mt")</f>
        <v/>
      </c>
      <c r="I11" s="16">
        <f>SUMIFS(Data!$G:$G,Data!$A:$A,$A11,Data!$F:$F,"em_gas_mt")</f>
        <v/>
      </c>
      <c r="J11" s="16">
        <f>SUMIFS(Data!$G:$G,Data!$A:$A,$A11,Data!$F:$F,"em_oil_mt")</f>
        <v/>
      </c>
      <c r="K11" s="28">
        <f>IF(COUNTIFS(Data!$A:$A,$A11,Data!$F:$F,"price_electricity_residential_usd_kwh")=0,"",SUMIFS(Data!$G:$G,Data!$A:$A,$A11,Data!$F:$F,"price_electricity_residential_usd_kwh"))</f>
        <v/>
      </c>
      <c r="L11" s="28">
        <f>IF(COUNTIFS(Data!$A:$A,$A11,Data!$F:$F,"price_coal_power_usd_gj")=0,"",SUMIFS(Data!$G:$G,Data!$A:$A,$A11,Data!$F:$F,"price_coal_power_usd_gj"))</f>
        <v/>
      </c>
      <c r="M11" s="28">
        <f>IF(COUNTIFS(Data!$A:$A,$A11,Data!$F:$F,"price_gas_power_usd_gj")=0,"",SUMIFS(Data!$G:$G,Data!$A:$A,$A11,Data!$F:$F,"price_gas_power_usd_gj"))</f>
        <v/>
      </c>
      <c r="N11" s="28">
        <f>IF(COUNTIFS(Data!$A:$A,$A11,Data!$F:$F,"price_gas_industry_usd_gj")=0,"",SUMIFS(Data!$G:$G,Data!$A:$A,$A11,Data!$F:$F,"price_gas_industry_usd_gj"))</f>
        <v/>
      </c>
      <c r="O11" s="28">
        <f>IF(COUNTIFS(Data!$A:$A,$A11,Data!$F:$F,"power_market_structure")=0,"",SUMIFS(Data!$G:$G,Data!$A:$A,$A11,Data!$F:$F,"power_market_structure"))</f>
        <v/>
      </c>
      <c r="P11" s="28">
        <f>IF(COUNTIFS(Data!$A:$A,$A11,Data!$F:$F,"rise_renewable_energy_score")=0,"",SUMIFS(Data!$G:$G,Data!$A:$A,$A11,Data!$F:$F,"rise_renewable_energy_score"))</f>
        <v/>
      </c>
      <c r="Q11" s="16">
        <f>H11+I11+J11</f>
        <v/>
      </c>
      <c r="R11" s="28">
        <f>Q11/G11</f>
        <v/>
      </c>
      <c r="S11" s="28">
        <f>IF(D11&gt;0,H11/D11,0.85)</f>
        <v/>
      </c>
      <c r="T11" s="28">
        <f>IF(E11&gt;0,I11/E11,0.4)</f>
        <v/>
      </c>
      <c r="U11" s="28">
        <f>IF(D11+F11&gt;0,(H11+J11)/(D11+F11),0)</f>
        <v/>
      </c>
      <c r="V11" s="16">
        <f>K11*1000</f>
        <v/>
      </c>
      <c r="W11" s="15">
        <f>IF(O11=3,in_pt3,IF(O11=2,in_pt2,IF(O11=1,in_pt1,IF(C11="High income",in_pt_hi,in_pt_oth))))</f>
        <v/>
      </c>
      <c r="X11" s="28">
        <f>IF(Q11&gt;0,in_kappa*(in_rise_lo+(in_rise_hi-in_rise_lo)*IF(P11="",in_rise_miss,P11)/100)*(D11+F11)*MAX(U11-in_gas_rep*T11,0)/Q11,0)</f>
        <v/>
      </c>
      <c r="Y11" s="16">
        <f>IF(IF(M11="",N11,M11)="",MAX(in_sw_floor,in_sw_miss),MAX(in_sw_floor,(IF(M11="",N11,M11)*in_hr_gas-L11*in_hr_coal)/MAX(S11-T11,0.1)))</f>
        <v/>
      </c>
      <c r="Z11" s="28">
        <f>IF(C11="Low income",in_b40_li,IF(C11="Lower middle income",in_b40_lmi,IF(C11="Upper middle income",in_b40_umi,IF(C11="High income",in_b40_hi,0.03))))</f>
        <v/>
      </c>
      <c r="AA11" s="15">
        <f>(D11+F11)/G11</f>
        <v/>
      </c>
      <c r="AB11" s="28">
        <f>100*W11*R11/V11/in_phase</f>
        <v/>
      </c>
      <c r="AC11" s="29">
        <f>100*Z11*W11*R11/V11*(1-IF(W11&gt;0,MIN(in_rebate/(W11*in_res_sh*in_q40),1),1))</f>
        <v/>
      </c>
      <c r="AD11" s="28">
        <f>IF(AA11&gt;0,100*U11*(1-W11)/(in_whole_sh*V11),0)</f>
        <v/>
      </c>
      <c r="AE11" s="28">
        <f>IF(AA11&gt;0,100*MAX(U11-R11,0)/(in_whole_sh*V11),0)</f>
        <v/>
      </c>
      <c r="AF11" s="16">
        <f>IF(AB11&gt;0,in_f1/AB11,in_cap)</f>
        <v/>
      </c>
      <c r="AG11" s="16">
        <f>IF(AC11&gt;0,in_f2/AC11,in_cap)</f>
        <v/>
      </c>
      <c r="AH11" s="16">
        <f>IF(AD11&gt;0,in_f3/AD11,in_cap)</f>
        <v/>
      </c>
      <c r="AI11" s="16">
        <f>MIN(in_cap,AF11,AG11,AH11)</f>
        <v/>
      </c>
      <c r="AJ11" s="30">
        <f>100*(1-(1-X11*(1-EXP(-((AI11)+(0))/Y11)))*(1-MIN(ABS(in_elas)*W11*R11*(AI11)/V11,1)))</f>
        <v/>
      </c>
      <c r="AK11" s="17">
        <f>IF(AI11&gt;=in_cap-1E-9,"rate cap",TRIM(IF(ABS(AI11-AF11)&lt;1E-9,"F1 ","")&amp;IF(ABS(AI11-AG11)&lt;1E-9,"F2 ","")&amp;IF(ABS(AI11-AH11)&lt;1E-9,"F3","")))</f>
        <v/>
      </c>
      <c r="AL11" s="15">
        <f>100*(1-(1-X11*(1-EXP(-((MIN(in_cap,IF(AB11&gt;0,(in_f1+1)/AB11,in_cap),AG11,AH11))+(0))/Y11)))*(1-MIN(ABS(in_elas)*W11*R11*(MIN(in_cap,IF(AB11&gt;0,(in_f1+1)/AB11,in_cap),AG11,AH11))/V11,1)))-AJ11</f>
        <v/>
      </c>
      <c r="AM11" s="16">
        <f>MIN(in_cap,IF(AE11&gt;0,in_f3/AE11,in_cap))</f>
        <v/>
      </c>
      <c r="AN11" s="30">
        <f>100*(1-(1-X11*(1-EXP(-((0)+(AM11))/Y11)))*(1-MIN(ABS(in_elas)*W11*R11*(0)/V11,1)))</f>
        <v/>
      </c>
      <c r="AO11" s="17">
        <f>IF(AM11&gt;=in_cap-1E-9,"rate cap","F3")</f>
        <v/>
      </c>
      <c r="AP11" s="15">
        <f>100*(1-(1-X11*(1-EXP(-((50)+(0))/Y11)))*(1-MIN(ABS(in_elas)*W11*R11*(50)/V11,1)))</f>
        <v/>
      </c>
      <c r="AQ11" s="15">
        <f>100*(1-(1-X11*(1-EXP(-((0)+(50))/Y11)))*(1-MIN(ABS(in_elas)*W11*R11*(0)/V11,1)))</f>
        <v/>
      </c>
      <c r="AR11" s="15">
        <f>IF(AP11&gt;0,AQ11/AP11,"")</f>
        <v/>
      </c>
      <c r="AS11" s="16">
        <f>50*AB11</f>
        <v/>
      </c>
      <c r="AT11" s="30">
        <f>MAX(BM11:BW11)</f>
        <v/>
      </c>
      <c r="AU11" s="31">
        <f>AI11*(MATCH(AT11,BM11:BW11,0)-1)/10</f>
        <v/>
      </c>
      <c r="AV11" s="31">
        <f>INDEX(BB11:BL11,1,(MATCH(AT11,BM11:BW11,0)-1)+1)</f>
        <v/>
      </c>
      <c r="AW11" s="31">
        <f>AB11*AU11</f>
        <v/>
      </c>
      <c r="AX11" s="30">
        <f>AC11*AU11</f>
        <v/>
      </c>
      <c r="AY11" s="31">
        <f>AD11*AU11+AE11*AV11</f>
        <v/>
      </c>
      <c r="AZ11" s="32">
        <f>TRIM(IF(AND(AU11&gt;0,ABS(AU11-AF11)&lt;1E-6),"F1 ","")&amp;IF(AND(AU11&gt;0,ABS(AU11-AG11)&lt;1E-6),"F2 ","")&amp;IF(AY11&gt;=in_f3-1E-6,"F3 ","")&amp;IF(AV11&gt;=in_cap-1E-9,"rate cap",""))</f>
        <v/>
      </c>
      <c r="BA11" s="31">
        <f>Q11*AT11/100</f>
        <v/>
      </c>
      <c r="BB11" s="16">
        <f>MAX(0,MIN(in_cap,IF(AE11&gt;0,(in_f3-AD11*AI11*0/10)/AE11,in_cap)))</f>
        <v/>
      </c>
      <c r="BC11" s="16">
        <f>MAX(0,MIN(in_cap,IF(AE11&gt;0,(in_f3-AD11*AI11*1/10)/AE11,in_cap)))</f>
        <v/>
      </c>
      <c r="BD11" s="16">
        <f>MAX(0,MIN(in_cap,IF(AE11&gt;0,(in_f3-AD11*AI11*2/10)/AE11,in_cap)))</f>
        <v/>
      </c>
      <c r="BE11" s="16">
        <f>MAX(0,MIN(in_cap,IF(AE11&gt;0,(in_f3-AD11*AI11*3/10)/AE11,in_cap)))</f>
        <v/>
      </c>
      <c r="BF11" s="16">
        <f>MAX(0,MIN(in_cap,IF(AE11&gt;0,(in_f3-AD11*AI11*4/10)/AE11,in_cap)))</f>
        <v/>
      </c>
      <c r="BG11" s="16">
        <f>MAX(0,MIN(in_cap,IF(AE11&gt;0,(in_f3-AD11*AI11*5/10)/AE11,in_cap)))</f>
        <v/>
      </c>
      <c r="BH11" s="16">
        <f>MAX(0,MIN(in_cap,IF(AE11&gt;0,(in_f3-AD11*AI11*6/10)/AE11,in_cap)))</f>
        <v/>
      </c>
      <c r="BI11" s="16">
        <f>MAX(0,MIN(in_cap,IF(AE11&gt;0,(in_f3-AD11*AI11*7/10)/AE11,in_cap)))</f>
        <v/>
      </c>
      <c r="BJ11" s="16">
        <f>MAX(0,MIN(in_cap,IF(AE11&gt;0,(in_f3-AD11*AI11*8/10)/AE11,in_cap)))</f>
        <v/>
      </c>
      <c r="BK11" s="16">
        <f>MAX(0,MIN(in_cap,IF(AE11&gt;0,(in_f3-AD11*AI11*9/10)/AE11,in_cap)))</f>
        <v/>
      </c>
      <c r="BL11" s="16">
        <f>MAX(0,MIN(in_cap,IF(AE11&gt;0,(in_f3-AD11*AI11*10/10)/AE11,in_cap)))</f>
        <v/>
      </c>
      <c r="BM11" s="15">
        <f>100*(1-(1-X11*(1-EXP(-((AI11*0/10)+(BB11))/Y11)))*(1-MIN(ABS(in_elas)*W11*R11*(AI11*0/10)/V11,1)))</f>
        <v/>
      </c>
      <c r="BN11" s="15">
        <f>100*(1-(1-X11*(1-EXP(-((AI11*1/10)+(BC11))/Y11)))*(1-MIN(ABS(in_elas)*W11*R11*(AI11*1/10)/V11,1)))</f>
        <v/>
      </c>
      <c r="BO11" s="15">
        <f>100*(1-(1-X11*(1-EXP(-((AI11*2/10)+(BD11))/Y11)))*(1-MIN(ABS(in_elas)*W11*R11*(AI11*2/10)/V11,1)))</f>
        <v/>
      </c>
      <c r="BP11" s="15">
        <f>100*(1-(1-X11*(1-EXP(-((AI11*3/10)+(BE11))/Y11)))*(1-MIN(ABS(in_elas)*W11*R11*(AI11*3/10)/V11,1)))</f>
        <v/>
      </c>
      <c r="BQ11" s="15">
        <f>100*(1-(1-X11*(1-EXP(-((AI11*4/10)+(BF11))/Y11)))*(1-MIN(ABS(in_elas)*W11*R11*(AI11*4/10)/V11,1)))</f>
        <v/>
      </c>
      <c r="BR11" s="15">
        <f>100*(1-(1-X11*(1-EXP(-((AI11*5/10)+(BG11))/Y11)))*(1-MIN(ABS(in_elas)*W11*R11*(AI11*5/10)/V11,1)))</f>
        <v/>
      </c>
      <c r="BS11" s="15">
        <f>100*(1-(1-X11*(1-EXP(-((AI11*6/10)+(BH11))/Y11)))*(1-MIN(ABS(in_elas)*W11*R11*(AI11*6/10)/V11,1)))</f>
        <v/>
      </c>
      <c r="BT11" s="15">
        <f>100*(1-(1-X11*(1-EXP(-((AI11*7/10)+(BI11))/Y11)))*(1-MIN(ABS(in_elas)*W11*R11*(AI11*7/10)/V11,1)))</f>
        <v/>
      </c>
      <c r="BU11" s="15">
        <f>100*(1-(1-X11*(1-EXP(-((AI11*8/10)+(BJ11))/Y11)))*(1-MIN(ABS(in_elas)*W11*R11*(AI11*8/10)/V11,1)))</f>
        <v/>
      </c>
      <c r="BV11" s="15">
        <f>100*(1-(1-X11*(1-EXP(-((AI11*9/10)+(BK11))/Y11)))*(1-MIN(ABS(in_elas)*W11*R11*(AI11*9/10)/V11,1)))</f>
        <v/>
      </c>
      <c r="BW11" s="15">
        <f>100*(1-(1-X11*(1-EXP(-((AI11*10/10)+(BL11))/Y11)))*(1-MIN(ABS(in_elas)*W11*R11*(AI11*10/10)/V11,1)))</f>
        <v/>
      </c>
    </row>
    <row r="12">
      <c r="A12" s="17" t="inlineStr">
        <is>
          <t>AUS</t>
        </is>
      </c>
      <c r="B12" s="17">
        <f>INDEX(Data!$B:$B,MATCH($A12,Data!$A:$A,0))</f>
        <v/>
      </c>
      <c r="C12" s="17">
        <f>INDEX(Data!$D:$D,MATCH($A12,Data!$A:$A,0))</f>
        <v/>
      </c>
      <c r="D12" s="16">
        <f>SUMIFS(Data!$G:$G,Data!$A:$A,$A12,Data!$F:$F,"gen_coal_twh")</f>
        <v/>
      </c>
      <c r="E12" s="16">
        <f>SUMIFS(Data!$G:$G,Data!$A:$A,$A12,Data!$F:$F,"gen_gas_twh")</f>
        <v/>
      </c>
      <c r="F12" s="16">
        <f>SUMIFS(Data!$G:$G,Data!$A:$A,$A12,Data!$F:$F,"gen_oil_twh")</f>
        <v/>
      </c>
      <c r="G12" s="16">
        <f>SUMIFS(Data!$G:$G,Data!$A:$A,$A12,Data!$F:$F,"gen_total_twh")</f>
        <v/>
      </c>
      <c r="H12" s="16">
        <f>SUMIFS(Data!$G:$G,Data!$A:$A,$A12,Data!$F:$F,"em_coal_mt")</f>
        <v/>
      </c>
      <c r="I12" s="16">
        <f>SUMIFS(Data!$G:$G,Data!$A:$A,$A12,Data!$F:$F,"em_gas_mt")</f>
        <v/>
      </c>
      <c r="J12" s="16">
        <f>SUMIFS(Data!$G:$G,Data!$A:$A,$A12,Data!$F:$F,"em_oil_mt")</f>
        <v/>
      </c>
      <c r="K12" s="28">
        <f>IF(COUNTIFS(Data!$A:$A,$A12,Data!$F:$F,"price_electricity_residential_usd_kwh")=0,"",SUMIFS(Data!$G:$G,Data!$A:$A,$A12,Data!$F:$F,"price_electricity_residential_usd_kwh"))</f>
        <v/>
      </c>
      <c r="L12" s="28">
        <f>IF(COUNTIFS(Data!$A:$A,$A12,Data!$F:$F,"price_coal_power_usd_gj")=0,"",SUMIFS(Data!$G:$G,Data!$A:$A,$A12,Data!$F:$F,"price_coal_power_usd_gj"))</f>
        <v/>
      </c>
      <c r="M12" s="28">
        <f>IF(COUNTIFS(Data!$A:$A,$A12,Data!$F:$F,"price_gas_power_usd_gj")=0,"",SUMIFS(Data!$G:$G,Data!$A:$A,$A12,Data!$F:$F,"price_gas_power_usd_gj"))</f>
        <v/>
      </c>
      <c r="N12" s="28">
        <f>IF(COUNTIFS(Data!$A:$A,$A12,Data!$F:$F,"price_gas_industry_usd_gj")=0,"",SUMIFS(Data!$G:$G,Data!$A:$A,$A12,Data!$F:$F,"price_gas_industry_usd_gj"))</f>
        <v/>
      </c>
      <c r="O12" s="28">
        <f>IF(COUNTIFS(Data!$A:$A,$A12,Data!$F:$F,"power_market_structure")=0,"",SUMIFS(Data!$G:$G,Data!$A:$A,$A12,Data!$F:$F,"power_market_structure"))</f>
        <v/>
      </c>
      <c r="P12" s="28">
        <f>IF(COUNTIFS(Data!$A:$A,$A12,Data!$F:$F,"rise_renewable_energy_score")=0,"",SUMIFS(Data!$G:$G,Data!$A:$A,$A12,Data!$F:$F,"rise_renewable_energy_score"))</f>
        <v/>
      </c>
      <c r="Q12" s="16">
        <f>H12+I12+J12</f>
        <v/>
      </c>
      <c r="R12" s="28">
        <f>Q12/G12</f>
        <v/>
      </c>
      <c r="S12" s="28">
        <f>IF(D12&gt;0,H12/D12,0.85)</f>
        <v/>
      </c>
      <c r="T12" s="28">
        <f>IF(E12&gt;0,I12/E12,0.4)</f>
        <v/>
      </c>
      <c r="U12" s="28">
        <f>IF(D12+F12&gt;0,(H12+J12)/(D12+F12),0)</f>
        <v/>
      </c>
      <c r="V12" s="16">
        <f>K12*1000</f>
        <v/>
      </c>
      <c r="W12" s="15">
        <f>IF(O12=3,in_pt3,IF(O12=2,in_pt2,IF(O12=1,in_pt1,IF(C12="High income",in_pt_hi,in_pt_oth))))</f>
        <v/>
      </c>
      <c r="X12" s="28">
        <f>IF(Q12&gt;0,in_kappa*(in_rise_lo+(in_rise_hi-in_rise_lo)*IF(P12="",in_rise_miss,P12)/100)*(D12+F12)*MAX(U12-in_gas_rep*T12,0)/Q12,0)</f>
        <v/>
      </c>
      <c r="Y12" s="16">
        <f>IF(IF(M12="",N12,M12)="",MAX(in_sw_floor,in_sw_miss),MAX(in_sw_floor,(IF(M12="",N12,M12)*in_hr_gas-L12*in_hr_coal)/MAX(S12-T12,0.1)))</f>
        <v/>
      </c>
      <c r="Z12" s="28">
        <f>IF(C12="Low income",in_b40_li,IF(C12="Lower middle income",in_b40_lmi,IF(C12="Upper middle income",in_b40_umi,IF(C12="High income",in_b40_hi,0.03))))</f>
        <v/>
      </c>
      <c r="AA12" s="15">
        <f>(D12+F12)/G12</f>
        <v/>
      </c>
      <c r="AB12" s="28">
        <f>100*W12*R12/V12/in_phase</f>
        <v/>
      </c>
      <c r="AC12" s="29">
        <f>100*Z12*W12*R12/V12*(1-IF(W12&gt;0,MIN(in_rebate/(W12*in_res_sh*in_q40),1),1))</f>
        <v/>
      </c>
      <c r="AD12" s="28">
        <f>IF(AA12&gt;0,100*U12*(1-W12)/(in_whole_sh*V12),0)</f>
        <v/>
      </c>
      <c r="AE12" s="28">
        <f>IF(AA12&gt;0,100*MAX(U12-R12,0)/(in_whole_sh*V12),0)</f>
        <v/>
      </c>
      <c r="AF12" s="16">
        <f>IF(AB12&gt;0,in_f1/AB12,in_cap)</f>
        <v/>
      </c>
      <c r="AG12" s="16">
        <f>IF(AC12&gt;0,in_f2/AC12,in_cap)</f>
        <v/>
      </c>
      <c r="AH12" s="16">
        <f>IF(AD12&gt;0,in_f3/AD12,in_cap)</f>
        <v/>
      </c>
      <c r="AI12" s="16">
        <f>MIN(in_cap,AF12,AG12,AH12)</f>
        <v/>
      </c>
      <c r="AJ12" s="30">
        <f>100*(1-(1-X12*(1-EXP(-((AI12)+(0))/Y12)))*(1-MIN(ABS(in_elas)*W12*R12*(AI12)/V12,1)))</f>
        <v/>
      </c>
      <c r="AK12" s="17">
        <f>IF(AI12&gt;=in_cap-1E-9,"rate cap",TRIM(IF(ABS(AI12-AF12)&lt;1E-9,"F1 ","")&amp;IF(ABS(AI12-AG12)&lt;1E-9,"F2 ","")&amp;IF(ABS(AI12-AH12)&lt;1E-9,"F3","")))</f>
        <v/>
      </c>
      <c r="AL12" s="15">
        <f>100*(1-(1-X12*(1-EXP(-((MIN(in_cap,IF(AB12&gt;0,(in_f1+1)/AB12,in_cap),AG12,AH12))+(0))/Y12)))*(1-MIN(ABS(in_elas)*W12*R12*(MIN(in_cap,IF(AB12&gt;0,(in_f1+1)/AB12,in_cap),AG12,AH12))/V12,1)))-AJ12</f>
        <v/>
      </c>
      <c r="AM12" s="16">
        <f>MIN(in_cap,IF(AE12&gt;0,in_f3/AE12,in_cap))</f>
        <v/>
      </c>
      <c r="AN12" s="30">
        <f>100*(1-(1-X12*(1-EXP(-((0)+(AM12))/Y12)))*(1-MIN(ABS(in_elas)*W12*R12*(0)/V12,1)))</f>
        <v/>
      </c>
      <c r="AO12" s="17">
        <f>IF(AM12&gt;=in_cap-1E-9,"rate cap","F3")</f>
        <v/>
      </c>
      <c r="AP12" s="15">
        <f>100*(1-(1-X12*(1-EXP(-((50)+(0))/Y12)))*(1-MIN(ABS(in_elas)*W12*R12*(50)/V12,1)))</f>
        <v/>
      </c>
      <c r="AQ12" s="15">
        <f>100*(1-(1-X12*(1-EXP(-((0)+(50))/Y12)))*(1-MIN(ABS(in_elas)*W12*R12*(0)/V12,1)))</f>
        <v/>
      </c>
      <c r="AR12" s="15">
        <f>IF(AP12&gt;0,AQ12/AP12,"")</f>
        <v/>
      </c>
      <c r="AS12" s="16">
        <f>50*AB12</f>
        <v/>
      </c>
      <c r="AT12" s="30">
        <f>MAX(BM12:BW12)</f>
        <v/>
      </c>
      <c r="AU12" s="31">
        <f>AI12*(MATCH(AT12,BM12:BW12,0)-1)/10</f>
        <v/>
      </c>
      <c r="AV12" s="31">
        <f>INDEX(BB12:BL12,1,(MATCH(AT12,BM12:BW12,0)-1)+1)</f>
        <v/>
      </c>
      <c r="AW12" s="31">
        <f>AB12*AU12</f>
        <v/>
      </c>
      <c r="AX12" s="30">
        <f>AC12*AU12</f>
        <v/>
      </c>
      <c r="AY12" s="31">
        <f>AD12*AU12+AE12*AV12</f>
        <v/>
      </c>
      <c r="AZ12" s="32">
        <f>TRIM(IF(AND(AU12&gt;0,ABS(AU12-AF12)&lt;1E-6),"F1 ","")&amp;IF(AND(AU12&gt;0,ABS(AU12-AG12)&lt;1E-6),"F2 ","")&amp;IF(AY12&gt;=in_f3-1E-6,"F3 ","")&amp;IF(AV12&gt;=in_cap-1E-9,"rate cap",""))</f>
        <v/>
      </c>
      <c r="BA12" s="31">
        <f>Q12*AT12/100</f>
        <v/>
      </c>
      <c r="BB12" s="16">
        <f>MAX(0,MIN(in_cap,IF(AE12&gt;0,(in_f3-AD12*AI12*0/10)/AE12,in_cap)))</f>
        <v/>
      </c>
      <c r="BC12" s="16">
        <f>MAX(0,MIN(in_cap,IF(AE12&gt;0,(in_f3-AD12*AI12*1/10)/AE12,in_cap)))</f>
        <v/>
      </c>
      <c r="BD12" s="16">
        <f>MAX(0,MIN(in_cap,IF(AE12&gt;0,(in_f3-AD12*AI12*2/10)/AE12,in_cap)))</f>
        <v/>
      </c>
      <c r="BE12" s="16">
        <f>MAX(0,MIN(in_cap,IF(AE12&gt;0,(in_f3-AD12*AI12*3/10)/AE12,in_cap)))</f>
        <v/>
      </c>
      <c r="BF12" s="16">
        <f>MAX(0,MIN(in_cap,IF(AE12&gt;0,(in_f3-AD12*AI12*4/10)/AE12,in_cap)))</f>
        <v/>
      </c>
      <c r="BG12" s="16">
        <f>MAX(0,MIN(in_cap,IF(AE12&gt;0,(in_f3-AD12*AI12*5/10)/AE12,in_cap)))</f>
        <v/>
      </c>
      <c r="BH12" s="16">
        <f>MAX(0,MIN(in_cap,IF(AE12&gt;0,(in_f3-AD12*AI12*6/10)/AE12,in_cap)))</f>
        <v/>
      </c>
      <c r="BI12" s="16">
        <f>MAX(0,MIN(in_cap,IF(AE12&gt;0,(in_f3-AD12*AI12*7/10)/AE12,in_cap)))</f>
        <v/>
      </c>
      <c r="BJ12" s="16">
        <f>MAX(0,MIN(in_cap,IF(AE12&gt;0,(in_f3-AD12*AI12*8/10)/AE12,in_cap)))</f>
        <v/>
      </c>
      <c r="BK12" s="16">
        <f>MAX(0,MIN(in_cap,IF(AE12&gt;0,(in_f3-AD12*AI12*9/10)/AE12,in_cap)))</f>
        <v/>
      </c>
      <c r="BL12" s="16">
        <f>MAX(0,MIN(in_cap,IF(AE12&gt;0,(in_f3-AD12*AI12*10/10)/AE12,in_cap)))</f>
        <v/>
      </c>
      <c r="BM12" s="15">
        <f>100*(1-(1-X12*(1-EXP(-((AI12*0/10)+(BB12))/Y12)))*(1-MIN(ABS(in_elas)*W12*R12*(AI12*0/10)/V12,1)))</f>
        <v/>
      </c>
      <c r="BN12" s="15">
        <f>100*(1-(1-X12*(1-EXP(-((AI12*1/10)+(BC12))/Y12)))*(1-MIN(ABS(in_elas)*W12*R12*(AI12*1/10)/V12,1)))</f>
        <v/>
      </c>
      <c r="BO12" s="15">
        <f>100*(1-(1-X12*(1-EXP(-((AI12*2/10)+(BD12))/Y12)))*(1-MIN(ABS(in_elas)*W12*R12*(AI12*2/10)/V12,1)))</f>
        <v/>
      </c>
      <c r="BP12" s="15">
        <f>100*(1-(1-X12*(1-EXP(-((AI12*3/10)+(BE12))/Y12)))*(1-MIN(ABS(in_elas)*W12*R12*(AI12*3/10)/V12,1)))</f>
        <v/>
      </c>
      <c r="BQ12" s="15">
        <f>100*(1-(1-X12*(1-EXP(-((AI12*4/10)+(BF12))/Y12)))*(1-MIN(ABS(in_elas)*W12*R12*(AI12*4/10)/V12,1)))</f>
        <v/>
      </c>
      <c r="BR12" s="15">
        <f>100*(1-(1-X12*(1-EXP(-((AI12*5/10)+(BG12))/Y12)))*(1-MIN(ABS(in_elas)*W12*R12*(AI12*5/10)/V12,1)))</f>
        <v/>
      </c>
      <c r="BS12" s="15">
        <f>100*(1-(1-X12*(1-EXP(-((AI12*6/10)+(BH12))/Y12)))*(1-MIN(ABS(in_elas)*W12*R12*(AI12*6/10)/V12,1)))</f>
        <v/>
      </c>
      <c r="BT12" s="15">
        <f>100*(1-(1-X12*(1-EXP(-((AI12*7/10)+(BI12))/Y12)))*(1-MIN(ABS(in_elas)*W12*R12*(AI12*7/10)/V12,1)))</f>
        <v/>
      </c>
      <c r="BU12" s="15">
        <f>100*(1-(1-X12*(1-EXP(-((AI12*8/10)+(BJ12))/Y12)))*(1-MIN(ABS(in_elas)*W12*R12*(AI12*8/10)/V12,1)))</f>
        <v/>
      </c>
      <c r="BV12" s="15">
        <f>100*(1-(1-X12*(1-EXP(-((AI12*9/10)+(BK12))/Y12)))*(1-MIN(ABS(in_elas)*W12*R12*(AI12*9/10)/V12,1)))</f>
        <v/>
      </c>
      <c r="BW12" s="15">
        <f>100*(1-(1-X12*(1-EXP(-((AI12*10/10)+(BL12))/Y12)))*(1-MIN(ABS(in_elas)*W12*R12*(AI12*10/10)/V12,1)))</f>
        <v/>
      </c>
    </row>
    <row r="13">
      <c r="A13" s="17" t="inlineStr">
        <is>
          <t>AUT</t>
        </is>
      </c>
      <c r="B13" s="17">
        <f>INDEX(Data!$B:$B,MATCH($A13,Data!$A:$A,0))</f>
        <v/>
      </c>
      <c r="C13" s="17">
        <f>INDEX(Data!$D:$D,MATCH($A13,Data!$A:$A,0))</f>
        <v/>
      </c>
      <c r="D13" s="16">
        <f>SUMIFS(Data!$G:$G,Data!$A:$A,$A13,Data!$F:$F,"gen_coal_twh")</f>
        <v/>
      </c>
      <c r="E13" s="16">
        <f>SUMIFS(Data!$G:$G,Data!$A:$A,$A13,Data!$F:$F,"gen_gas_twh")</f>
        <v/>
      </c>
      <c r="F13" s="16">
        <f>SUMIFS(Data!$G:$G,Data!$A:$A,$A13,Data!$F:$F,"gen_oil_twh")</f>
        <v/>
      </c>
      <c r="G13" s="16">
        <f>SUMIFS(Data!$G:$G,Data!$A:$A,$A13,Data!$F:$F,"gen_total_twh")</f>
        <v/>
      </c>
      <c r="H13" s="16">
        <f>SUMIFS(Data!$G:$G,Data!$A:$A,$A13,Data!$F:$F,"em_coal_mt")</f>
        <v/>
      </c>
      <c r="I13" s="16">
        <f>SUMIFS(Data!$G:$G,Data!$A:$A,$A13,Data!$F:$F,"em_gas_mt")</f>
        <v/>
      </c>
      <c r="J13" s="16">
        <f>SUMIFS(Data!$G:$G,Data!$A:$A,$A13,Data!$F:$F,"em_oil_mt")</f>
        <v/>
      </c>
      <c r="K13" s="28">
        <f>IF(COUNTIFS(Data!$A:$A,$A13,Data!$F:$F,"price_electricity_residential_usd_kwh")=0,"",SUMIFS(Data!$G:$G,Data!$A:$A,$A13,Data!$F:$F,"price_electricity_residential_usd_kwh"))</f>
        <v/>
      </c>
      <c r="L13" s="28">
        <f>IF(COUNTIFS(Data!$A:$A,$A13,Data!$F:$F,"price_coal_power_usd_gj")=0,"",SUMIFS(Data!$G:$G,Data!$A:$A,$A13,Data!$F:$F,"price_coal_power_usd_gj"))</f>
        <v/>
      </c>
      <c r="M13" s="28">
        <f>IF(COUNTIFS(Data!$A:$A,$A13,Data!$F:$F,"price_gas_power_usd_gj")=0,"",SUMIFS(Data!$G:$G,Data!$A:$A,$A13,Data!$F:$F,"price_gas_power_usd_gj"))</f>
        <v/>
      </c>
      <c r="N13" s="28">
        <f>IF(COUNTIFS(Data!$A:$A,$A13,Data!$F:$F,"price_gas_industry_usd_gj")=0,"",SUMIFS(Data!$G:$G,Data!$A:$A,$A13,Data!$F:$F,"price_gas_industry_usd_gj"))</f>
        <v/>
      </c>
      <c r="O13" s="28">
        <f>IF(COUNTIFS(Data!$A:$A,$A13,Data!$F:$F,"power_market_structure")=0,"",SUMIFS(Data!$G:$G,Data!$A:$A,$A13,Data!$F:$F,"power_market_structure"))</f>
        <v/>
      </c>
      <c r="P13" s="28">
        <f>IF(COUNTIFS(Data!$A:$A,$A13,Data!$F:$F,"rise_renewable_energy_score")=0,"",SUMIFS(Data!$G:$G,Data!$A:$A,$A13,Data!$F:$F,"rise_renewable_energy_score"))</f>
        <v/>
      </c>
      <c r="Q13" s="16">
        <f>H13+I13+J13</f>
        <v/>
      </c>
      <c r="R13" s="28">
        <f>Q13/G13</f>
        <v/>
      </c>
      <c r="S13" s="28">
        <f>IF(D13&gt;0,H13/D13,0.85)</f>
        <v/>
      </c>
      <c r="T13" s="28">
        <f>IF(E13&gt;0,I13/E13,0.4)</f>
        <v/>
      </c>
      <c r="U13" s="28">
        <f>IF(D13+F13&gt;0,(H13+J13)/(D13+F13),0)</f>
        <v/>
      </c>
      <c r="V13" s="16">
        <f>K13*1000</f>
        <v/>
      </c>
      <c r="W13" s="15">
        <f>IF(O13=3,in_pt3,IF(O13=2,in_pt2,IF(O13=1,in_pt1,IF(C13="High income",in_pt_hi,in_pt_oth))))</f>
        <v/>
      </c>
      <c r="X13" s="28">
        <f>IF(Q13&gt;0,in_kappa*(in_rise_lo+(in_rise_hi-in_rise_lo)*IF(P13="",in_rise_miss,P13)/100)*(D13+F13)*MAX(U13-in_gas_rep*T13,0)/Q13,0)</f>
        <v/>
      </c>
      <c r="Y13" s="16">
        <f>IF(IF(M13="",N13,M13)="",MAX(in_sw_floor,in_sw_miss),MAX(in_sw_floor,(IF(M13="",N13,M13)*in_hr_gas-L13*in_hr_coal)/MAX(S13-T13,0.1)))</f>
        <v/>
      </c>
      <c r="Z13" s="28">
        <f>IF(C13="Low income",in_b40_li,IF(C13="Lower middle income",in_b40_lmi,IF(C13="Upper middle income",in_b40_umi,IF(C13="High income",in_b40_hi,0.03))))</f>
        <v/>
      </c>
      <c r="AA13" s="15">
        <f>(D13+F13)/G13</f>
        <v/>
      </c>
      <c r="AB13" s="28">
        <f>100*W13*R13/V13/in_phase</f>
        <v/>
      </c>
      <c r="AC13" s="29">
        <f>100*Z13*W13*R13/V13*(1-IF(W13&gt;0,MIN(in_rebate/(W13*in_res_sh*in_q40),1),1))</f>
        <v/>
      </c>
      <c r="AD13" s="28">
        <f>IF(AA13&gt;0,100*U13*(1-W13)/(in_whole_sh*V13),0)</f>
        <v/>
      </c>
      <c r="AE13" s="28">
        <f>IF(AA13&gt;0,100*MAX(U13-R13,0)/(in_whole_sh*V13),0)</f>
        <v/>
      </c>
      <c r="AF13" s="16">
        <f>IF(AB13&gt;0,in_f1/AB13,in_cap)</f>
        <v/>
      </c>
      <c r="AG13" s="16">
        <f>IF(AC13&gt;0,in_f2/AC13,in_cap)</f>
        <v/>
      </c>
      <c r="AH13" s="16">
        <f>IF(AD13&gt;0,in_f3/AD13,in_cap)</f>
        <v/>
      </c>
      <c r="AI13" s="16">
        <f>MIN(in_cap,AF13,AG13,AH13)</f>
        <v/>
      </c>
      <c r="AJ13" s="30">
        <f>100*(1-(1-X13*(1-EXP(-((AI13)+(0))/Y13)))*(1-MIN(ABS(in_elas)*W13*R13*(AI13)/V13,1)))</f>
        <v/>
      </c>
      <c r="AK13" s="17">
        <f>IF(AI13&gt;=in_cap-1E-9,"rate cap",TRIM(IF(ABS(AI13-AF13)&lt;1E-9,"F1 ","")&amp;IF(ABS(AI13-AG13)&lt;1E-9,"F2 ","")&amp;IF(ABS(AI13-AH13)&lt;1E-9,"F3","")))</f>
        <v/>
      </c>
      <c r="AL13" s="15">
        <f>100*(1-(1-X13*(1-EXP(-((MIN(in_cap,IF(AB13&gt;0,(in_f1+1)/AB13,in_cap),AG13,AH13))+(0))/Y13)))*(1-MIN(ABS(in_elas)*W13*R13*(MIN(in_cap,IF(AB13&gt;0,(in_f1+1)/AB13,in_cap),AG13,AH13))/V13,1)))-AJ13</f>
        <v/>
      </c>
      <c r="AM13" s="16">
        <f>MIN(in_cap,IF(AE13&gt;0,in_f3/AE13,in_cap))</f>
        <v/>
      </c>
      <c r="AN13" s="30">
        <f>100*(1-(1-X13*(1-EXP(-((0)+(AM13))/Y13)))*(1-MIN(ABS(in_elas)*W13*R13*(0)/V13,1)))</f>
        <v/>
      </c>
      <c r="AO13" s="17">
        <f>IF(AM13&gt;=in_cap-1E-9,"rate cap","F3")</f>
        <v/>
      </c>
      <c r="AP13" s="15">
        <f>100*(1-(1-X13*(1-EXP(-((50)+(0))/Y13)))*(1-MIN(ABS(in_elas)*W13*R13*(50)/V13,1)))</f>
        <v/>
      </c>
      <c r="AQ13" s="15">
        <f>100*(1-(1-X13*(1-EXP(-((0)+(50))/Y13)))*(1-MIN(ABS(in_elas)*W13*R13*(0)/V13,1)))</f>
        <v/>
      </c>
      <c r="AR13" s="15">
        <f>IF(AP13&gt;0,AQ13/AP13,"")</f>
        <v/>
      </c>
      <c r="AS13" s="16">
        <f>50*AB13</f>
        <v/>
      </c>
      <c r="AT13" s="30">
        <f>MAX(BM13:BW13)</f>
        <v/>
      </c>
      <c r="AU13" s="31">
        <f>AI13*(MATCH(AT13,BM13:BW13,0)-1)/10</f>
        <v/>
      </c>
      <c r="AV13" s="31">
        <f>INDEX(BB13:BL13,1,(MATCH(AT13,BM13:BW13,0)-1)+1)</f>
        <v/>
      </c>
      <c r="AW13" s="31">
        <f>AB13*AU13</f>
        <v/>
      </c>
      <c r="AX13" s="30">
        <f>AC13*AU13</f>
        <v/>
      </c>
      <c r="AY13" s="31">
        <f>AD13*AU13+AE13*AV13</f>
        <v/>
      </c>
      <c r="AZ13" s="32">
        <f>TRIM(IF(AND(AU13&gt;0,ABS(AU13-AF13)&lt;1E-6),"F1 ","")&amp;IF(AND(AU13&gt;0,ABS(AU13-AG13)&lt;1E-6),"F2 ","")&amp;IF(AY13&gt;=in_f3-1E-6,"F3 ","")&amp;IF(AV13&gt;=in_cap-1E-9,"rate cap",""))</f>
        <v/>
      </c>
      <c r="BA13" s="31">
        <f>Q13*AT13/100</f>
        <v/>
      </c>
      <c r="BB13" s="16">
        <f>MAX(0,MIN(in_cap,IF(AE13&gt;0,(in_f3-AD13*AI13*0/10)/AE13,in_cap)))</f>
        <v/>
      </c>
      <c r="BC13" s="16">
        <f>MAX(0,MIN(in_cap,IF(AE13&gt;0,(in_f3-AD13*AI13*1/10)/AE13,in_cap)))</f>
        <v/>
      </c>
      <c r="BD13" s="16">
        <f>MAX(0,MIN(in_cap,IF(AE13&gt;0,(in_f3-AD13*AI13*2/10)/AE13,in_cap)))</f>
        <v/>
      </c>
      <c r="BE13" s="16">
        <f>MAX(0,MIN(in_cap,IF(AE13&gt;0,(in_f3-AD13*AI13*3/10)/AE13,in_cap)))</f>
        <v/>
      </c>
      <c r="BF13" s="16">
        <f>MAX(0,MIN(in_cap,IF(AE13&gt;0,(in_f3-AD13*AI13*4/10)/AE13,in_cap)))</f>
        <v/>
      </c>
      <c r="BG13" s="16">
        <f>MAX(0,MIN(in_cap,IF(AE13&gt;0,(in_f3-AD13*AI13*5/10)/AE13,in_cap)))</f>
        <v/>
      </c>
      <c r="BH13" s="16">
        <f>MAX(0,MIN(in_cap,IF(AE13&gt;0,(in_f3-AD13*AI13*6/10)/AE13,in_cap)))</f>
        <v/>
      </c>
      <c r="BI13" s="16">
        <f>MAX(0,MIN(in_cap,IF(AE13&gt;0,(in_f3-AD13*AI13*7/10)/AE13,in_cap)))</f>
        <v/>
      </c>
      <c r="BJ13" s="16">
        <f>MAX(0,MIN(in_cap,IF(AE13&gt;0,(in_f3-AD13*AI13*8/10)/AE13,in_cap)))</f>
        <v/>
      </c>
      <c r="BK13" s="16">
        <f>MAX(0,MIN(in_cap,IF(AE13&gt;0,(in_f3-AD13*AI13*9/10)/AE13,in_cap)))</f>
        <v/>
      </c>
      <c r="BL13" s="16">
        <f>MAX(0,MIN(in_cap,IF(AE13&gt;0,(in_f3-AD13*AI13*10/10)/AE13,in_cap)))</f>
        <v/>
      </c>
      <c r="BM13" s="15">
        <f>100*(1-(1-X13*(1-EXP(-((AI13*0/10)+(BB13))/Y13)))*(1-MIN(ABS(in_elas)*W13*R13*(AI13*0/10)/V13,1)))</f>
        <v/>
      </c>
      <c r="BN13" s="15">
        <f>100*(1-(1-X13*(1-EXP(-((AI13*1/10)+(BC13))/Y13)))*(1-MIN(ABS(in_elas)*W13*R13*(AI13*1/10)/V13,1)))</f>
        <v/>
      </c>
      <c r="BO13" s="15">
        <f>100*(1-(1-X13*(1-EXP(-((AI13*2/10)+(BD13))/Y13)))*(1-MIN(ABS(in_elas)*W13*R13*(AI13*2/10)/V13,1)))</f>
        <v/>
      </c>
      <c r="BP13" s="15">
        <f>100*(1-(1-X13*(1-EXP(-((AI13*3/10)+(BE13))/Y13)))*(1-MIN(ABS(in_elas)*W13*R13*(AI13*3/10)/V13,1)))</f>
        <v/>
      </c>
      <c r="BQ13" s="15">
        <f>100*(1-(1-X13*(1-EXP(-((AI13*4/10)+(BF13))/Y13)))*(1-MIN(ABS(in_elas)*W13*R13*(AI13*4/10)/V13,1)))</f>
        <v/>
      </c>
      <c r="BR13" s="15">
        <f>100*(1-(1-X13*(1-EXP(-((AI13*5/10)+(BG13))/Y13)))*(1-MIN(ABS(in_elas)*W13*R13*(AI13*5/10)/V13,1)))</f>
        <v/>
      </c>
      <c r="BS13" s="15">
        <f>100*(1-(1-X13*(1-EXP(-((AI13*6/10)+(BH13))/Y13)))*(1-MIN(ABS(in_elas)*W13*R13*(AI13*6/10)/V13,1)))</f>
        <v/>
      </c>
      <c r="BT13" s="15">
        <f>100*(1-(1-X13*(1-EXP(-((AI13*7/10)+(BI13))/Y13)))*(1-MIN(ABS(in_elas)*W13*R13*(AI13*7/10)/V13,1)))</f>
        <v/>
      </c>
      <c r="BU13" s="15">
        <f>100*(1-(1-X13*(1-EXP(-((AI13*8/10)+(BJ13))/Y13)))*(1-MIN(ABS(in_elas)*W13*R13*(AI13*8/10)/V13,1)))</f>
        <v/>
      </c>
      <c r="BV13" s="15">
        <f>100*(1-(1-X13*(1-EXP(-((AI13*9/10)+(BK13))/Y13)))*(1-MIN(ABS(in_elas)*W13*R13*(AI13*9/10)/V13,1)))</f>
        <v/>
      </c>
      <c r="BW13" s="15">
        <f>100*(1-(1-X13*(1-EXP(-((AI13*10/10)+(BL13))/Y13)))*(1-MIN(ABS(in_elas)*W13*R13*(AI13*10/10)/V13,1)))</f>
        <v/>
      </c>
    </row>
    <row r="14">
      <c r="A14" s="17" t="inlineStr">
        <is>
          <t>AZE</t>
        </is>
      </c>
      <c r="B14" s="17">
        <f>INDEX(Data!$B:$B,MATCH($A14,Data!$A:$A,0))</f>
        <v/>
      </c>
      <c r="C14" s="17">
        <f>INDEX(Data!$D:$D,MATCH($A14,Data!$A:$A,0))</f>
        <v/>
      </c>
      <c r="D14" s="16">
        <f>SUMIFS(Data!$G:$G,Data!$A:$A,$A14,Data!$F:$F,"gen_coal_twh")</f>
        <v/>
      </c>
      <c r="E14" s="16">
        <f>SUMIFS(Data!$G:$G,Data!$A:$A,$A14,Data!$F:$F,"gen_gas_twh")</f>
        <v/>
      </c>
      <c r="F14" s="16">
        <f>SUMIFS(Data!$G:$G,Data!$A:$A,$A14,Data!$F:$F,"gen_oil_twh")</f>
        <v/>
      </c>
      <c r="G14" s="16">
        <f>SUMIFS(Data!$G:$G,Data!$A:$A,$A14,Data!$F:$F,"gen_total_twh")</f>
        <v/>
      </c>
      <c r="H14" s="16">
        <f>SUMIFS(Data!$G:$G,Data!$A:$A,$A14,Data!$F:$F,"em_coal_mt")</f>
        <v/>
      </c>
      <c r="I14" s="16">
        <f>SUMIFS(Data!$G:$G,Data!$A:$A,$A14,Data!$F:$F,"em_gas_mt")</f>
        <v/>
      </c>
      <c r="J14" s="16">
        <f>SUMIFS(Data!$G:$G,Data!$A:$A,$A14,Data!$F:$F,"em_oil_mt")</f>
        <v/>
      </c>
      <c r="K14" s="28">
        <f>IF(COUNTIFS(Data!$A:$A,$A14,Data!$F:$F,"price_electricity_residential_usd_kwh")=0,"",SUMIFS(Data!$G:$G,Data!$A:$A,$A14,Data!$F:$F,"price_electricity_residential_usd_kwh"))</f>
        <v/>
      </c>
      <c r="L14" s="28">
        <f>IF(COUNTIFS(Data!$A:$A,$A14,Data!$F:$F,"price_coal_power_usd_gj")=0,"",SUMIFS(Data!$G:$G,Data!$A:$A,$A14,Data!$F:$F,"price_coal_power_usd_gj"))</f>
        <v/>
      </c>
      <c r="M14" s="28">
        <f>IF(COUNTIFS(Data!$A:$A,$A14,Data!$F:$F,"price_gas_power_usd_gj")=0,"",SUMIFS(Data!$G:$G,Data!$A:$A,$A14,Data!$F:$F,"price_gas_power_usd_gj"))</f>
        <v/>
      </c>
      <c r="N14" s="28">
        <f>IF(COUNTIFS(Data!$A:$A,$A14,Data!$F:$F,"price_gas_industry_usd_gj")=0,"",SUMIFS(Data!$G:$G,Data!$A:$A,$A14,Data!$F:$F,"price_gas_industry_usd_gj"))</f>
        <v/>
      </c>
      <c r="O14" s="28">
        <f>IF(COUNTIFS(Data!$A:$A,$A14,Data!$F:$F,"power_market_structure")=0,"",SUMIFS(Data!$G:$G,Data!$A:$A,$A14,Data!$F:$F,"power_market_structure"))</f>
        <v/>
      </c>
      <c r="P14" s="28">
        <f>IF(COUNTIFS(Data!$A:$A,$A14,Data!$F:$F,"rise_renewable_energy_score")=0,"",SUMIFS(Data!$G:$G,Data!$A:$A,$A14,Data!$F:$F,"rise_renewable_energy_score"))</f>
        <v/>
      </c>
      <c r="Q14" s="16">
        <f>H14+I14+J14</f>
        <v/>
      </c>
      <c r="R14" s="28">
        <f>Q14/G14</f>
        <v/>
      </c>
      <c r="S14" s="28">
        <f>IF(D14&gt;0,H14/D14,0.85)</f>
        <v/>
      </c>
      <c r="T14" s="28">
        <f>IF(E14&gt;0,I14/E14,0.4)</f>
        <v/>
      </c>
      <c r="U14" s="28">
        <f>IF(D14+F14&gt;0,(H14+J14)/(D14+F14),0)</f>
        <v/>
      </c>
      <c r="V14" s="16">
        <f>K14*1000</f>
        <v/>
      </c>
      <c r="W14" s="15">
        <f>IF(O14=3,in_pt3,IF(O14=2,in_pt2,IF(O14=1,in_pt1,IF(C14="High income",in_pt_hi,in_pt_oth))))</f>
        <v/>
      </c>
      <c r="X14" s="28">
        <f>IF(Q14&gt;0,in_kappa*(in_rise_lo+(in_rise_hi-in_rise_lo)*IF(P14="",in_rise_miss,P14)/100)*(D14+F14)*MAX(U14-in_gas_rep*T14,0)/Q14,0)</f>
        <v/>
      </c>
      <c r="Y14" s="16">
        <f>IF(IF(M14="",N14,M14)="",MAX(in_sw_floor,in_sw_miss),MAX(in_sw_floor,(IF(M14="",N14,M14)*in_hr_gas-L14*in_hr_coal)/MAX(S14-T14,0.1)))</f>
        <v/>
      </c>
      <c r="Z14" s="28">
        <f>IF(C14="Low income",in_b40_li,IF(C14="Lower middle income",in_b40_lmi,IF(C14="Upper middle income",in_b40_umi,IF(C14="High income",in_b40_hi,0.03))))</f>
        <v/>
      </c>
      <c r="AA14" s="15">
        <f>(D14+F14)/G14</f>
        <v/>
      </c>
      <c r="AB14" s="28">
        <f>100*W14*R14/V14/in_phase</f>
        <v/>
      </c>
      <c r="AC14" s="29">
        <f>100*Z14*W14*R14/V14*(1-IF(W14&gt;0,MIN(in_rebate/(W14*in_res_sh*in_q40),1),1))</f>
        <v/>
      </c>
      <c r="AD14" s="28">
        <f>IF(AA14&gt;0,100*U14*(1-W14)/(in_whole_sh*V14),0)</f>
        <v/>
      </c>
      <c r="AE14" s="28">
        <f>IF(AA14&gt;0,100*MAX(U14-R14,0)/(in_whole_sh*V14),0)</f>
        <v/>
      </c>
      <c r="AF14" s="16">
        <f>IF(AB14&gt;0,in_f1/AB14,in_cap)</f>
        <v/>
      </c>
      <c r="AG14" s="16">
        <f>IF(AC14&gt;0,in_f2/AC14,in_cap)</f>
        <v/>
      </c>
      <c r="AH14" s="16">
        <f>IF(AD14&gt;0,in_f3/AD14,in_cap)</f>
        <v/>
      </c>
      <c r="AI14" s="16">
        <f>MIN(in_cap,AF14,AG14,AH14)</f>
        <v/>
      </c>
      <c r="AJ14" s="30">
        <f>100*(1-(1-X14*(1-EXP(-((AI14)+(0))/Y14)))*(1-MIN(ABS(in_elas)*W14*R14*(AI14)/V14,1)))</f>
        <v/>
      </c>
      <c r="AK14" s="17">
        <f>IF(AI14&gt;=in_cap-1E-9,"rate cap",TRIM(IF(ABS(AI14-AF14)&lt;1E-9,"F1 ","")&amp;IF(ABS(AI14-AG14)&lt;1E-9,"F2 ","")&amp;IF(ABS(AI14-AH14)&lt;1E-9,"F3","")))</f>
        <v/>
      </c>
      <c r="AL14" s="15">
        <f>100*(1-(1-X14*(1-EXP(-((MIN(in_cap,IF(AB14&gt;0,(in_f1+1)/AB14,in_cap),AG14,AH14))+(0))/Y14)))*(1-MIN(ABS(in_elas)*W14*R14*(MIN(in_cap,IF(AB14&gt;0,(in_f1+1)/AB14,in_cap),AG14,AH14))/V14,1)))-AJ14</f>
        <v/>
      </c>
      <c r="AM14" s="16">
        <f>MIN(in_cap,IF(AE14&gt;0,in_f3/AE14,in_cap))</f>
        <v/>
      </c>
      <c r="AN14" s="30">
        <f>100*(1-(1-X14*(1-EXP(-((0)+(AM14))/Y14)))*(1-MIN(ABS(in_elas)*W14*R14*(0)/V14,1)))</f>
        <v/>
      </c>
      <c r="AO14" s="17">
        <f>IF(AM14&gt;=in_cap-1E-9,"rate cap","F3")</f>
        <v/>
      </c>
      <c r="AP14" s="15">
        <f>100*(1-(1-X14*(1-EXP(-((50)+(0))/Y14)))*(1-MIN(ABS(in_elas)*W14*R14*(50)/V14,1)))</f>
        <v/>
      </c>
      <c r="AQ14" s="15">
        <f>100*(1-(1-X14*(1-EXP(-((0)+(50))/Y14)))*(1-MIN(ABS(in_elas)*W14*R14*(0)/V14,1)))</f>
        <v/>
      </c>
      <c r="AR14" s="15">
        <f>IF(AP14&gt;0,AQ14/AP14,"")</f>
        <v/>
      </c>
      <c r="AS14" s="16">
        <f>50*AB14</f>
        <v/>
      </c>
      <c r="AT14" s="30">
        <f>MAX(BM14:BW14)</f>
        <v/>
      </c>
      <c r="AU14" s="31">
        <f>AI14*(MATCH(AT14,BM14:BW14,0)-1)/10</f>
        <v/>
      </c>
      <c r="AV14" s="31">
        <f>INDEX(BB14:BL14,1,(MATCH(AT14,BM14:BW14,0)-1)+1)</f>
        <v/>
      </c>
      <c r="AW14" s="31">
        <f>AB14*AU14</f>
        <v/>
      </c>
      <c r="AX14" s="30">
        <f>AC14*AU14</f>
        <v/>
      </c>
      <c r="AY14" s="31">
        <f>AD14*AU14+AE14*AV14</f>
        <v/>
      </c>
      <c r="AZ14" s="32">
        <f>TRIM(IF(AND(AU14&gt;0,ABS(AU14-AF14)&lt;1E-6),"F1 ","")&amp;IF(AND(AU14&gt;0,ABS(AU14-AG14)&lt;1E-6),"F2 ","")&amp;IF(AY14&gt;=in_f3-1E-6,"F3 ","")&amp;IF(AV14&gt;=in_cap-1E-9,"rate cap",""))</f>
        <v/>
      </c>
      <c r="BA14" s="31">
        <f>Q14*AT14/100</f>
        <v/>
      </c>
      <c r="BB14" s="16">
        <f>MAX(0,MIN(in_cap,IF(AE14&gt;0,(in_f3-AD14*AI14*0/10)/AE14,in_cap)))</f>
        <v/>
      </c>
      <c r="BC14" s="16">
        <f>MAX(0,MIN(in_cap,IF(AE14&gt;0,(in_f3-AD14*AI14*1/10)/AE14,in_cap)))</f>
        <v/>
      </c>
      <c r="BD14" s="16">
        <f>MAX(0,MIN(in_cap,IF(AE14&gt;0,(in_f3-AD14*AI14*2/10)/AE14,in_cap)))</f>
        <v/>
      </c>
      <c r="BE14" s="16">
        <f>MAX(0,MIN(in_cap,IF(AE14&gt;0,(in_f3-AD14*AI14*3/10)/AE14,in_cap)))</f>
        <v/>
      </c>
      <c r="BF14" s="16">
        <f>MAX(0,MIN(in_cap,IF(AE14&gt;0,(in_f3-AD14*AI14*4/10)/AE14,in_cap)))</f>
        <v/>
      </c>
      <c r="BG14" s="16">
        <f>MAX(0,MIN(in_cap,IF(AE14&gt;0,(in_f3-AD14*AI14*5/10)/AE14,in_cap)))</f>
        <v/>
      </c>
      <c r="BH14" s="16">
        <f>MAX(0,MIN(in_cap,IF(AE14&gt;0,(in_f3-AD14*AI14*6/10)/AE14,in_cap)))</f>
        <v/>
      </c>
      <c r="BI14" s="16">
        <f>MAX(0,MIN(in_cap,IF(AE14&gt;0,(in_f3-AD14*AI14*7/10)/AE14,in_cap)))</f>
        <v/>
      </c>
      <c r="BJ14" s="16">
        <f>MAX(0,MIN(in_cap,IF(AE14&gt;0,(in_f3-AD14*AI14*8/10)/AE14,in_cap)))</f>
        <v/>
      </c>
      <c r="BK14" s="16">
        <f>MAX(0,MIN(in_cap,IF(AE14&gt;0,(in_f3-AD14*AI14*9/10)/AE14,in_cap)))</f>
        <v/>
      </c>
      <c r="BL14" s="16">
        <f>MAX(0,MIN(in_cap,IF(AE14&gt;0,(in_f3-AD14*AI14*10/10)/AE14,in_cap)))</f>
        <v/>
      </c>
      <c r="BM14" s="15">
        <f>100*(1-(1-X14*(1-EXP(-((AI14*0/10)+(BB14))/Y14)))*(1-MIN(ABS(in_elas)*W14*R14*(AI14*0/10)/V14,1)))</f>
        <v/>
      </c>
      <c r="BN14" s="15">
        <f>100*(1-(1-X14*(1-EXP(-((AI14*1/10)+(BC14))/Y14)))*(1-MIN(ABS(in_elas)*W14*R14*(AI14*1/10)/V14,1)))</f>
        <v/>
      </c>
      <c r="BO14" s="15">
        <f>100*(1-(1-X14*(1-EXP(-((AI14*2/10)+(BD14))/Y14)))*(1-MIN(ABS(in_elas)*W14*R14*(AI14*2/10)/V14,1)))</f>
        <v/>
      </c>
      <c r="BP14" s="15">
        <f>100*(1-(1-X14*(1-EXP(-((AI14*3/10)+(BE14))/Y14)))*(1-MIN(ABS(in_elas)*W14*R14*(AI14*3/10)/V14,1)))</f>
        <v/>
      </c>
      <c r="BQ14" s="15">
        <f>100*(1-(1-X14*(1-EXP(-((AI14*4/10)+(BF14))/Y14)))*(1-MIN(ABS(in_elas)*W14*R14*(AI14*4/10)/V14,1)))</f>
        <v/>
      </c>
      <c r="BR14" s="15">
        <f>100*(1-(1-X14*(1-EXP(-((AI14*5/10)+(BG14))/Y14)))*(1-MIN(ABS(in_elas)*W14*R14*(AI14*5/10)/V14,1)))</f>
        <v/>
      </c>
      <c r="BS14" s="15">
        <f>100*(1-(1-X14*(1-EXP(-((AI14*6/10)+(BH14))/Y14)))*(1-MIN(ABS(in_elas)*W14*R14*(AI14*6/10)/V14,1)))</f>
        <v/>
      </c>
      <c r="BT14" s="15">
        <f>100*(1-(1-X14*(1-EXP(-((AI14*7/10)+(BI14))/Y14)))*(1-MIN(ABS(in_elas)*W14*R14*(AI14*7/10)/V14,1)))</f>
        <v/>
      </c>
      <c r="BU14" s="15">
        <f>100*(1-(1-X14*(1-EXP(-((AI14*8/10)+(BJ14))/Y14)))*(1-MIN(ABS(in_elas)*W14*R14*(AI14*8/10)/V14,1)))</f>
        <v/>
      </c>
      <c r="BV14" s="15">
        <f>100*(1-(1-X14*(1-EXP(-((AI14*9/10)+(BK14))/Y14)))*(1-MIN(ABS(in_elas)*W14*R14*(AI14*9/10)/V14,1)))</f>
        <v/>
      </c>
      <c r="BW14" s="15">
        <f>100*(1-(1-X14*(1-EXP(-((AI14*10/10)+(BL14))/Y14)))*(1-MIN(ABS(in_elas)*W14*R14*(AI14*10/10)/V14,1)))</f>
        <v/>
      </c>
    </row>
    <row r="15">
      <c r="A15" s="17" t="inlineStr">
        <is>
          <t>BDI</t>
        </is>
      </c>
      <c r="B15" s="17">
        <f>INDEX(Data!$B:$B,MATCH($A15,Data!$A:$A,0))</f>
        <v/>
      </c>
      <c r="C15" s="17">
        <f>INDEX(Data!$D:$D,MATCH($A15,Data!$A:$A,0))</f>
        <v/>
      </c>
      <c r="D15" s="16">
        <f>SUMIFS(Data!$G:$G,Data!$A:$A,$A15,Data!$F:$F,"gen_coal_twh")</f>
        <v/>
      </c>
      <c r="E15" s="16">
        <f>SUMIFS(Data!$G:$G,Data!$A:$A,$A15,Data!$F:$F,"gen_gas_twh")</f>
        <v/>
      </c>
      <c r="F15" s="16">
        <f>SUMIFS(Data!$G:$G,Data!$A:$A,$A15,Data!$F:$F,"gen_oil_twh")</f>
        <v/>
      </c>
      <c r="G15" s="16">
        <f>SUMIFS(Data!$G:$G,Data!$A:$A,$A15,Data!$F:$F,"gen_total_twh")</f>
        <v/>
      </c>
      <c r="H15" s="16">
        <f>SUMIFS(Data!$G:$G,Data!$A:$A,$A15,Data!$F:$F,"em_coal_mt")</f>
        <v/>
      </c>
      <c r="I15" s="16">
        <f>SUMIFS(Data!$G:$G,Data!$A:$A,$A15,Data!$F:$F,"em_gas_mt")</f>
        <v/>
      </c>
      <c r="J15" s="16">
        <f>SUMIFS(Data!$G:$G,Data!$A:$A,$A15,Data!$F:$F,"em_oil_mt")</f>
        <v/>
      </c>
      <c r="K15" s="28">
        <f>IF(COUNTIFS(Data!$A:$A,$A15,Data!$F:$F,"price_electricity_residential_usd_kwh")=0,"",SUMIFS(Data!$G:$G,Data!$A:$A,$A15,Data!$F:$F,"price_electricity_residential_usd_kwh"))</f>
        <v/>
      </c>
      <c r="L15" s="28">
        <f>IF(COUNTIFS(Data!$A:$A,$A15,Data!$F:$F,"price_coal_power_usd_gj")=0,"",SUMIFS(Data!$G:$G,Data!$A:$A,$A15,Data!$F:$F,"price_coal_power_usd_gj"))</f>
        <v/>
      </c>
      <c r="M15" s="28">
        <f>IF(COUNTIFS(Data!$A:$A,$A15,Data!$F:$F,"price_gas_power_usd_gj")=0,"",SUMIFS(Data!$G:$G,Data!$A:$A,$A15,Data!$F:$F,"price_gas_power_usd_gj"))</f>
        <v/>
      </c>
      <c r="N15" s="28">
        <f>IF(COUNTIFS(Data!$A:$A,$A15,Data!$F:$F,"price_gas_industry_usd_gj")=0,"",SUMIFS(Data!$G:$G,Data!$A:$A,$A15,Data!$F:$F,"price_gas_industry_usd_gj"))</f>
        <v/>
      </c>
      <c r="O15" s="28">
        <f>IF(COUNTIFS(Data!$A:$A,$A15,Data!$F:$F,"power_market_structure")=0,"",SUMIFS(Data!$G:$G,Data!$A:$A,$A15,Data!$F:$F,"power_market_structure"))</f>
        <v/>
      </c>
      <c r="P15" s="28">
        <f>IF(COUNTIFS(Data!$A:$A,$A15,Data!$F:$F,"rise_renewable_energy_score")=0,"",SUMIFS(Data!$G:$G,Data!$A:$A,$A15,Data!$F:$F,"rise_renewable_energy_score"))</f>
        <v/>
      </c>
      <c r="Q15" s="16">
        <f>H15+I15+J15</f>
        <v/>
      </c>
      <c r="R15" s="28">
        <f>Q15/G15</f>
        <v/>
      </c>
      <c r="S15" s="28">
        <f>IF(D15&gt;0,H15/D15,0.85)</f>
        <v/>
      </c>
      <c r="T15" s="28">
        <f>IF(E15&gt;0,I15/E15,0.4)</f>
        <v/>
      </c>
      <c r="U15" s="28">
        <f>IF(D15+F15&gt;0,(H15+J15)/(D15+F15),0)</f>
        <v/>
      </c>
      <c r="V15" s="16">
        <f>K15*1000</f>
        <v/>
      </c>
      <c r="W15" s="15">
        <f>IF(O15=3,in_pt3,IF(O15=2,in_pt2,IF(O15=1,in_pt1,IF(C15="High income",in_pt_hi,in_pt_oth))))</f>
        <v/>
      </c>
      <c r="X15" s="28">
        <f>IF(Q15&gt;0,in_kappa*(in_rise_lo+(in_rise_hi-in_rise_lo)*IF(P15="",in_rise_miss,P15)/100)*(D15+F15)*MAX(U15-in_gas_rep*T15,0)/Q15,0)</f>
        <v/>
      </c>
      <c r="Y15" s="16">
        <f>IF(IF(M15="",N15,M15)="",MAX(in_sw_floor,in_sw_miss),MAX(in_sw_floor,(IF(M15="",N15,M15)*in_hr_gas-L15*in_hr_coal)/MAX(S15-T15,0.1)))</f>
        <v/>
      </c>
      <c r="Z15" s="28">
        <f>IF(C15="Low income",in_b40_li,IF(C15="Lower middle income",in_b40_lmi,IF(C15="Upper middle income",in_b40_umi,IF(C15="High income",in_b40_hi,0.03))))</f>
        <v/>
      </c>
      <c r="AA15" s="15">
        <f>(D15+F15)/G15</f>
        <v/>
      </c>
      <c r="AB15" s="28">
        <f>100*W15*R15/V15/in_phase</f>
        <v/>
      </c>
      <c r="AC15" s="29">
        <f>100*Z15*W15*R15/V15*(1-IF(W15&gt;0,MIN(in_rebate/(W15*in_res_sh*in_q40),1),1))</f>
        <v/>
      </c>
      <c r="AD15" s="28">
        <f>IF(AA15&gt;0,100*U15*(1-W15)/(in_whole_sh*V15),0)</f>
        <v/>
      </c>
      <c r="AE15" s="28">
        <f>IF(AA15&gt;0,100*MAX(U15-R15,0)/(in_whole_sh*V15),0)</f>
        <v/>
      </c>
      <c r="AF15" s="16">
        <f>IF(AB15&gt;0,in_f1/AB15,in_cap)</f>
        <v/>
      </c>
      <c r="AG15" s="16">
        <f>IF(AC15&gt;0,in_f2/AC15,in_cap)</f>
        <v/>
      </c>
      <c r="AH15" s="16">
        <f>IF(AD15&gt;0,in_f3/AD15,in_cap)</f>
        <v/>
      </c>
      <c r="AI15" s="16">
        <f>MIN(in_cap,AF15,AG15,AH15)</f>
        <v/>
      </c>
      <c r="AJ15" s="30">
        <f>100*(1-(1-X15*(1-EXP(-((AI15)+(0))/Y15)))*(1-MIN(ABS(in_elas)*W15*R15*(AI15)/V15,1)))</f>
        <v/>
      </c>
      <c r="AK15" s="17">
        <f>IF(AI15&gt;=in_cap-1E-9,"rate cap",TRIM(IF(ABS(AI15-AF15)&lt;1E-9,"F1 ","")&amp;IF(ABS(AI15-AG15)&lt;1E-9,"F2 ","")&amp;IF(ABS(AI15-AH15)&lt;1E-9,"F3","")))</f>
        <v/>
      </c>
      <c r="AL15" s="15">
        <f>100*(1-(1-X15*(1-EXP(-((MIN(in_cap,IF(AB15&gt;0,(in_f1+1)/AB15,in_cap),AG15,AH15))+(0))/Y15)))*(1-MIN(ABS(in_elas)*W15*R15*(MIN(in_cap,IF(AB15&gt;0,(in_f1+1)/AB15,in_cap),AG15,AH15))/V15,1)))-AJ15</f>
        <v/>
      </c>
      <c r="AM15" s="16">
        <f>MIN(in_cap,IF(AE15&gt;0,in_f3/AE15,in_cap))</f>
        <v/>
      </c>
      <c r="AN15" s="30">
        <f>100*(1-(1-X15*(1-EXP(-((0)+(AM15))/Y15)))*(1-MIN(ABS(in_elas)*W15*R15*(0)/V15,1)))</f>
        <v/>
      </c>
      <c r="AO15" s="17">
        <f>IF(AM15&gt;=in_cap-1E-9,"rate cap","F3")</f>
        <v/>
      </c>
      <c r="AP15" s="15">
        <f>100*(1-(1-X15*(1-EXP(-((50)+(0))/Y15)))*(1-MIN(ABS(in_elas)*W15*R15*(50)/V15,1)))</f>
        <v/>
      </c>
      <c r="AQ15" s="15">
        <f>100*(1-(1-X15*(1-EXP(-((0)+(50))/Y15)))*(1-MIN(ABS(in_elas)*W15*R15*(0)/V15,1)))</f>
        <v/>
      </c>
      <c r="AR15" s="15">
        <f>IF(AP15&gt;0,AQ15/AP15,"")</f>
        <v/>
      </c>
      <c r="AS15" s="16">
        <f>50*AB15</f>
        <v/>
      </c>
      <c r="AT15" s="30">
        <f>MAX(BM15:BW15)</f>
        <v/>
      </c>
      <c r="AU15" s="31">
        <f>AI15*(MATCH(AT15,BM15:BW15,0)-1)/10</f>
        <v/>
      </c>
      <c r="AV15" s="31">
        <f>INDEX(BB15:BL15,1,(MATCH(AT15,BM15:BW15,0)-1)+1)</f>
        <v/>
      </c>
      <c r="AW15" s="31">
        <f>AB15*AU15</f>
        <v/>
      </c>
      <c r="AX15" s="30">
        <f>AC15*AU15</f>
        <v/>
      </c>
      <c r="AY15" s="31">
        <f>AD15*AU15+AE15*AV15</f>
        <v/>
      </c>
      <c r="AZ15" s="32">
        <f>TRIM(IF(AND(AU15&gt;0,ABS(AU15-AF15)&lt;1E-6),"F1 ","")&amp;IF(AND(AU15&gt;0,ABS(AU15-AG15)&lt;1E-6),"F2 ","")&amp;IF(AY15&gt;=in_f3-1E-6,"F3 ","")&amp;IF(AV15&gt;=in_cap-1E-9,"rate cap",""))</f>
        <v/>
      </c>
      <c r="BA15" s="31">
        <f>Q15*AT15/100</f>
        <v/>
      </c>
      <c r="BB15" s="16">
        <f>MAX(0,MIN(in_cap,IF(AE15&gt;0,(in_f3-AD15*AI15*0/10)/AE15,in_cap)))</f>
        <v/>
      </c>
      <c r="BC15" s="16">
        <f>MAX(0,MIN(in_cap,IF(AE15&gt;0,(in_f3-AD15*AI15*1/10)/AE15,in_cap)))</f>
        <v/>
      </c>
      <c r="BD15" s="16">
        <f>MAX(0,MIN(in_cap,IF(AE15&gt;0,(in_f3-AD15*AI15*2/10)/AE15,in_cap)))</f>
        <v/>
      </c>
      <c r="BE15" s="16">
        <f>MAX(0,MIN(in_cap,IF(AE15&gt;0,(in_f3-AD15*AI15*3/10)/AE15,in_cap)))</f>
        <v/>
      </c>
      <c r="BF15" s="16">
        <f>MAX(0,MIN(in_cap,IF(AE15&gt;0,(in_f3-AD15*AI15*4/10)/AE15,in_cap)))</f>
        <v/>
      </c>
      <c r="BG15" s="16">
        <f>MAX(0,MIN(in_cap,IF(AE15&gt;0,(in_f3-AD15*AI15*5/10)/AE15,in_cap)))</f>
        <v/>
      </c>
      <c r="BH15" s="16">
        <f>MAX(0,MIN(in_cap,IF(AE15&gt;0,(in_f3-AD15*AI15*6/10)/AE15,in_cap)))</f>
        <v/>
      </c>
      <c r="BI15" s="16">
        <f>MAX(0,MIN(in_cap,IF(AE15&gt;0,(in_f3-AD15*AI15*7/10)/AE15,in_cap)))</f>
        <v/>
      </c>
      <c r="BJ15" s="16">
        <f>MAX(0,MIN(in_cap,IF(AE15&gt;0,(in_f3-AD15*AI15*8/10)/AE15,in_cap)))</f>
        <v/>
      </c>
      <c r="BK15" s="16">
        <f>MAX(0,MIN(in_cap,IF(AE15&gt;0,(in_f3-AD15*AI15*9/10)/AE15,in_cap)))</f>
        <v/>
      </c>
      <c r="BL15" s="16">
        <f>MAX(0,MIN(in_cap,IF(AE15&gt;0,(in_f3-AD15*AI15*10/10)/AE15,in_cap)))</f>
        <v/>
      </c>
      <c r="BM15" s="15">
        <f>100*(1-(1-X15*(1-EXP(-((AI15*0/10)+(BB15))/Y15)))*(1-MIN(ABS(in_elas)*W15*R15*(AI15*0/10)/V15,1)))</f>
        <v/>
      </c>
      <c r="BN15" s="15">
        <f>100*(1-(1-X15*(1-EXP(-((AI15*1/10)+(BC15))/Y15)))*(1-MIN(ABS(in_elas)*W15*R15*(AI15*1/10)/V15,1)))</f>
        <v/>
      </c>
      <c r="BO15" s="15">
        <f>100*(1-(1-X15*(1-EXP(-((AI15*2/10)+(BD15))/Y15)))*(1-MIN(ABS(in_elas)*W15*R15*(AI15*2/10)/V15,1)))</f>
        <v/>
      </c>
      <c r="BP15" s="15">
        <f>100*(1-(1-X15*(1-EXP(-((AI15*3/10)+(BE15))/Y15)))*(1-MIN(ABS(in_elas)*W15*R15*(AI15*3/10)/V15,1)))</f>
        <v/>
      </c>
      <c r="BQ15" s="15">
        <f>100*(1-(1-X15*(1-EXP(-((AI15*4/10)+(BF15))/Y15)))*(1-MIN(ABS(in_elas)*W15*R15*(AI15*4/10)/V15,1)))</f>
        <v/>
      </c>
      <c r="BR15" s="15">
        <f>100*(1-(1-X15*(1-EXP(-((AI15*5/10)+(BG15))/Y15)))*(1-MIN(ABS(in_elas)*W15*R15*(AI15*5/10)/V15,1)))</f>
        <v/>
      </c>
      <c r="BS15" s="15">
        <f>100*(1-(1-X15*(1-EXP(-((AI15*6/10)+(BH15))/Y15)))*(1-MIN(ABS(in_elas)*W15*R15*(AI15*6/10)/V15,1)))</f>
        <v/>
      </c>
      <c r="BT15" s="15">
        <f>100*(1-(1-X15*(1-EXP(-((AI15*7/10)+(BI15))/Y15)))*(1-MIN(ABS(in_elas)*W15*R15*(AI15*7/10)/V15,1)))</f>
        <v/>
      </c>
      <c r="BU15" s="15">
        <f>100*(1-(1-X15*(1-EXP(-((AI15*8/10)+(BJ15))/Y15)))*(1-MIN(ABS(in_elas)*W15*R15*(AI15*8/10)/V15,1)))</f>
        <v/>
      </c>
      <c r="BV15" s="15">
        <f>100*(1-(1-X15*(1-EXP(-((AI15*9/10)+(BK15))/Y15)))*(1-MIN(ABS(in_elas)*W15*R15*(AI15*9/10)/V15,1)))</f>
        <v/>
      </c>
      <c r="BW15" s="15">
        <f>100*(1-(1-X15*(1-EXP(-((AI15*10/10)+(BL15))/Y15)))*(1-MIN(ABS(in_elas)*W15*R15*(AI15*10/10)/V15,1)))</f>
        <v/>
      </c>
    </row>
    <row r="16">
      <c r="A16" s="17" t="inlineStr">
        <is>
          <t>BEL</t>
        </is>
      </c>
      <c r="B16" s="17">
        <f>INDEX(Data!$B:$B,MATCH($A16,Data!$A:$A,0))</f>
        <v/>
      </c>
      <c r="C16" s="17">
        <f>INDEX(Data!$D:$D,MATCH($A16,Data!$A:$A,0))</f>
        <v/>
      </c>
      <c r="D16" s="16">
        <f>SUMIFS(Data!$G:$G,Data!$A:$A,$A16,Data!$F:$F,"gen_coal_twh")</f>
        <v/>
      </c>
      <c r="E16" s="16">
        <f>SUMIFS(Data!$G:$G,Data!$A:$A,$A16,Data!$F:$F,"gen_gas_twh")</f>
        <v/>
      </c>
      <c r="F16" s="16">
        <f>SUMIFS(Data!$G:$G,Data!$A:$A,$A16,Data!$F:$F,"gen_oil_twh")</f>
        <v/>
      </c>
      <c r="G16" s="16">
        <f>SUMIFS(Data!$G:$G,Data!$A:$A,$A16,Data!$F:$F,"gen_total_twh")</f>
        <v/>
      </c>
      <c r="H16" s="16">
        <f>SUMIFS(Data!$G:$G,Data!$A:$A,$A16,Data!$F:$F,"em_coal_mt")</f>
        <v/>
      </c>
      <c r="I16" s="16">
        <f>SUMIFS(Data!$G:$G,Data!$A:$A,$A16,Data!$F:$F,"em_gas_mt")</f>
        <v/>
      </c>
      <c r="J16" s="16">
        <f>SUMIFS(Data!$G:$G,Data!$A:$A,$A16,Data!$F:$F,"em_oil_mt")</f>
        <v/>
      </c>
      <c r="K16" s="28">
        <f>IF(COUNTIFS(Data!$A:$A,$A16,Data!$F:$F,"price_electricity_residential_usd_kwh")=0,"",SUMIFS(Data!$G:$G,Data!$A:$A,$A16,Data!$F:$F,"price_electricity_residential_usd_kwh"))</f>
        <v/>
      </c>
      <c r="L16" s="28">
        <f>IF(COUNTIFS(Data!$A:$A,$A16,Data!$F:$F,"price_coal_power_usd_gj")=0,"",SUMIFS(Data!$G:$G,Data!$A:$A,$A16,Data!$F:$F,"price_coal_power_usd_gj"))</f>
        <v/>
      </c>
      <c r="M16" s="28">
        <f>IF(COUNTIFS(Data!$A:$A,$A16,Data!$F:$F,"price_gas_power_usd_gj")=0,"",SUMIFS(Data!$G:$G,Data!$A:$A,$A16,Data!$F:$F,"price_gas_power_usd_gj"))</f>
        <v/>
      </c>
      <c r="N16" s="28">
        <f>IF(COUNTIFS(Data!$A:$A,$A16,Data!$F:$F,"price_gas_industry_usd_gj")=0,"",SUMIFS(Data!$G:$G,Data!$A:$A,$A16,Data!$F:$F,"price_gas_industry_usd_gj"))</f>
        <v/>
      </c>
      <c r="O16" s="28">
        <f>IF(COUNTIFS(Data!$A:$A,$A16,Data!$F:$F,"power_market_structure")=0,"",SUMIFS(Data!$G:$G,Data!$A:$A,$A16,Data!$F:$F,"power_market_structure"))</f>
        <v/>
      </c>
      <c r="P16" s="28">
        <f>IF(COUNTIFS(Data!$A:$A,$A16,Data!$F:$F,"rise_renewable_energy_score")=0,"",SUMIFS(Data!$G:$G,Data!$A:$A,$A16,Data!$F:$F,"rise_renewable_energy_score"))</f>
        <v/>
      </c>
      <c r="Q16" s="16">
        <f>H16+I16+J16</f>
        <v/>
      </c>
      <c r="R16" s="28">
        <f>Q16/G16</f>
        <v/>
      </c>
      <c r="S16" s="28">
        <f>IF(D16&gt;0,H16/D16,0.85)</f>
        <v/>
      </c>
      <c r="T16" s="28">
        <f>IF(E16&gt;0,I16/E16,0.4)</f>
        <v/>
      </c>
      <c r="U16" s="28">
        <f>IF(D16+F16&gt;0,(H16+J16)/(D16+F16),0)</f>
        <v/>
      </c>
      <c r="V16" s="16">
        <f>K16*1000</f>
        <v/>
      </c>
      <c r="W16" s="15">
        <f>IF(O16=3,in_pt3,IF(O16=2,in_pt2,IF(O16=1,in_pt1,IF(C16="High income",in_pt_hi,in_pt_oth))))</f>
        <v/>
      </c>
      <c r="X16" s="28">
        <f>IF(Q16&gt;0,in_kappa*(in_rise_lo+(in_rise_hi-in_rise_lo)*IF(P16="",in_rise_miss,P16)/100)*(D16+F16)*MAX(U16-in_gas_rep*T16,0)/Q16,0)</f>
        <v/>
      </c>
      <c r="Y16" s="16">
        <f>IF(IF(M16="",N16,M16)="",MAX(in_sw_floor,in_sw_miss),MAX(in_sw_floor,(IF(M16="",N16,M16)*in_hr_gas-L16*in_hr_coal)/MAX(S16-T16,0.1)))</f>
        <v/>
      </c>
      <c r="Z16" s="28">
        <f>IF(C16="Low income",in_b40_li,IF(C16="Lower middle income",in_b40_lmi,IF(C16="Upper middle income",in_b40_umi,IF(C16="High income",in_b40_hi,0.03))))</f>
        <v/>
      </c>
      <c r="AA16" s="15">
        <f>(D16+F16)/G16</f>
        <v/>
      </c>
      <c r="AB16" s="28">
        <f>100*W16*R16/V16/in_phase</f>
        <v/>
      </c>
      <c r="AC16" s="29">
        <f>100*Z16*W16*R16/V16*(1-IF(W16&gt;0,MIN(in_rebate/(W16*in_res_sh*in_q40),1),1))</f>
        <v/>
      </c>
      <c r="AD16" s="28">
        <f>IF(AA16&gt;0,100*U16*(1-W16)/(in_whole_sh*V16),0)</f>
        <v/>
      </c>
      <c r="AE16" s="28">
        <f>IF(AA16&gt;0,100*MAX(U16-R16,0)/(in_whole_sh*V16),0)</f>
        <v/>
      </c>
      <c r="AF16" s="16">
        <f>IF(AB16&gt;0,in_f1/AB16,in_cap)</f>
        <v/>
      </c>
      <c r="AG16" s="16">
        <f>IF(AC16&gt;0,in_f2/AC16,in_cap)</f>
        <v/>
      </c>
      <c r="AH16" s="16">
        <f>IF(AD16&gt;0,in_f3/AD16,in_cap)</f>
        <v/>
      </c>
      <c r="AI16" s="16">
        <f>MIN(in_cap,AF16,AG16,AH16)</f>
        <v/>
      </c>
      <c r="AJ16" s="30">
        <f>100*(1-(1-X16*(1-EXP(-((AI16)+(0))/Y16)))*(1-MIN(ABS(in_elas)*W16*R16*(AI16)/V16,1)))</f>
        <v/>
      </c>
      <c r="AK16" s="17">
        <f>IF(AI16&gt;=in_cap-1E-9,"rate cap",TRIM(IF(ABS(AI16-AF16)&lt;1E-9,"F1 ","")&amp;IF(ABS(AI16-AG16)&lt;1E-9,"F2 ","")&amp;IF(ABS(AI16-AH16)&lt;1E-9,"F3","")))</f>
        <v/>
      </c>
      <c r="AL16" s="15">
        <f>100*(1-(1-X16*(1-EXP(-((MIN(in_cap,IF(AB16&gt;0,(in_f1+1)/AB16,in_cap),AG16,AH16))+(0))/Y16)))*(1-MIN(ABS(in_elas)*W16*R16*(MIN(in_cap,IF(AB16&gt;0,(in_f1+1)/AB16,in_cap),AG16,AH16))/V16,1)))-AJ16</f>
        <v/>
      </c>
      <c r="AM16" s="16">
        <f>MIN(in_cap,IF(AE16&gt;0,in_f3/AE16,in_cap))</f>
        <v/>
      </c>
      <c r="AN16" s="30">
        <f>100*(1-(1-X16*(1-EXP(-((0)+(AM16))/Y16)))*(1-MIN(ABS(in_elas)*W16*R16*(0)/V16,1)))</f>
        <v/>
      </c>
      <c r="AO16" s="17">
        <f>IF(AM16&gt;=in_cap-1E-9,"rate cap","F3")</f>
        <v/>
      </c>
      <c r="AP16" s="15">
        <f>100*(1-(1-X16*(1-EXP(-((50)+(0))/Y16)))*(1-MIN(ABS(in_elas)*W16*R16*(50)/V16,1)))</f>
        <v/>
      </c>
      <c r="AQ16" s="15">
        <f>100*(1-(1-X16*(1-EXP(-((0)+(50))/Y16)))*(1-MIN(ABS(in_elas)*W16*R16*(0)/V16,1)))</f>
        <v/>
      </c>
      <c r="AR16" s="15">
        <f>IF(AP16&gt;0,AQ16/AP16,"")</f>
        <v/>
      </c>
      <c r="AS16" s="16">
        <f>50*AB16</f>
        <v/>
      </c>
      <c r="AT16" s="30">
        <f>MAX(BM16:BW16)</f>
        <v/>
      </c>
      <c r="AU16" s="31">
        <f>AI16*(MATCH(AT16,BM16:BW16,0)-1)/10</f>
        <v/>
      </c>
      <c r="AV16" s="31">
        <f>INDEX(BB16:BL16,1,(MATCH(AT16,BM16:BW16,0)-1)+1)</f>
        <v/>
      </c>
      <c r="AW16" s="31">
        <f>AB16*AU16</f>
        <v/>
      </c>
      <c r="AX16" s="30">
        <f>AC16*AU16</f>
        <v/>
      </c>
      <c r="AY16" s="31">
        <f>AD16*AU16+AE16*AV16</f>
        <v/>
      </c>
      <c r="AZ16" s="32">
        <f>TRIM(IF(AND(AU16&gt;0,ABS(AU16-AF16)&lt;1E-6),"F1 ","")&amp;IF(AND(AU16&gt;0,ABS(AU16-AG16)&lt;1E-6),"F2 ","")&amp;IF(AY16&gt;=in_f3-1E-6,"F3 ","")&amp;IF(AV16&gt;=in_cap-1E-9,"rate cap",""))</f>
        <v/>
      </c>
      <c r="BA16" s="31">
        <f>Q16*AT16/100</f>
        <v/>
      </c>
      <c r="BB16" s="16">
        <f>MAX(0,MIN(in_cap,IF(AE16&gt;0,(in_f3-AD16*AI16*0/10)/AE16,in_cap)))</f>
        <v/>
      </c>
      <c r="BC16" s="16">
        <f>MAX(0,MIN(in_cap,IF(AE16&gt;0,(in_f3-AD16*AI16*1/10)/AE16,in_cap)))</f>
        <v/>
      </c>
      <c r="BD16" s="16">
        <f>MAX(0,MIN(in_cap,IF(AE16&gt;0,(in_f3-AD16*AI16*2/10)/AE16,in_cap)))</f>
        <v/>
      </c>
      <c r="BE16" s="16">
        <f>MAX(0,MIN(in_cap,IF(AE16&gt;0,(in_f3-AD16*AI16*3/10)/AE16,in_cap)))</f>
        <v/>
      </c>
      <c r="BF16" s="16">
        <f>MAX(0,MIN(in_cap,IF(AE16&gt;0,(in_f3-AD16*AI16*4/10)/AE16,in_cap)))</f>
        <v/>
      </c>
      <c r="BG16" s="16">
        <f>MAX(0,MIN(in_cap,IF(AE16&gt;0,(in_f3-AD16*AI16*5/10)/AE16,in_cap)))</f>
        <v/>
      </c>
      <c r="BH16" s="16">
        <f>MAX(0,MIN(in_cap,IF(AE16&gt;0,(in_f3-AD16*AI16*6/10)/AE16,in_cap)))</f>
        <v/>
      </c>
      <c r="BI16" s="16">
        <f>MAX(0,MIN(in_cap,IF(AE16&gt;0,(in_f3-AD16*AI16*7/10)/AE16,in_cap)))</f>
        <v/>
      </c>
      <c r="BJ16" s="16">
        <f>MAX(0,MIN(in_cap,IF(AE16&gt;0,(in_f3-AD16*AI16*8/10)/AE16,in_cap)))</f>
        <v/>
      </c>
      <c r="BK16" s="16">
        <f>MAX(0,MIN(in_cap,IF(AE16&gt;0,(in_f3-AD16*AI16*9/10)/AE16,in_cap)))</f>
        <v/>
      </c>
      <c r="BL16" s="16">
        <f>MAX(0,MIN(in_cap,IF(AE16&gt;0,(in_f3-AD16*AI16*10/10)/AE16,in_cap)))</f>
        <v/>
      </c>
      <c r="BM16" s="15">
        <f>100*(1-(1-X16*(1-EXP(-((AI16*0/10)+(BB16))/Y16)))*(1-MIN(ABS(in_elas)*W16*R16*(AI16*0/10)/V16,1)))</f>
        <v/>
      </c>
      <c r="BN16" s="15">
        <f>100*(1-(1-X16*(1-EXP(-((AI16*1/10)+(BC16))/Y16)))*(1-MIN(ABS(in_elas)*W16*R16*(AI16*1/10)/V16,1)))</f>
        <v/>
      </c>
      <c r="BO16" s="15">
        <f>100*(1-(1-X16*(1-EXP(-((AI16*2/10)+(BD16))/Y16)))*(1-MIN(ABS(in_elas)*W16*R16*(AI16*2/10)/V16,1)))</f>
        <v/>
      </c>
      <c r="BP16" s="15">
        <f>100*(1-(1-X16*(1-EXP(-((AI16*3/10)+(BE16))/Y16)))*(1-MIN(ABS(in_elas)*W16*R16*(AI16*3/10)/V16,1)))</f>
        <v/>
      </c>
      <c r="BQ16" s="15">
        <f>100*(1-(1-X16*(1-EXP(-((AI16*4/10)+(BF16))/Y16)))*(1-MIN(ABS(in_elas)*W16*R16*(AI16*4/10)/V16,1)))</f>
        <v/>
      </c>
      <c r="BR16" s="15">
        <f>100*(1-(1-X16*(1-EXP(-((AI16*5/10)+(BG16))/Y16)))*(1-MIN(ABS(in_elas)*W16*R16*(AI16*5/10)/V16,1)))</f>
        <v/>
      </c>
      <c r="BS16" s="15">
        <f>100*(1-(1-X16*(1-EXP(-((AI16*6/10)+(BH16))/Y16)))*(1-MIN(ABS(in_elas)*W16*R16*(AI16*6/10)/V16,1)))</f>
        <v/>
      </c>
      <c r="BT16" s="15">
        <f>100*(1-(1-X16*(1-EXP(-((AI16*7/10)+(BI16))/Y16)))*(1-MIN(ABS(in_elas)*W16*R16*(AI16*7/10)/V16,1)))</f>
        <v/>
      </c>
      <c r="BU16" s="15">
        <f>100*(1-(1-X16*(1-EXP(-((AI16*8/10)+(BJ16))/Y16)))*(1-MIN(ABS(in_elas)*W16*R16*(AI16*8/10)/V16,1)))</f>
        <v/>
      </c>
      <c r="BV16" s="15">
        <f>100*(1-(1-X16*(1-EXP(-((AI16*9/10)+(BK16))/Y16)))*(1-MIN(ABS(in_elas)*W16*R16*(AI16*9/10)/V16,1)))</f>
        <v/>
      </c>
      <c r="BW16" s="15">
        <f>100*(1-(1-X16*(1-EXP(-((AI16*10/10)+(BL16))/Y16)))*(1-MIN(ABS(in_elas)*W16*R16*(AI16*10/10)/V16,1)))</f>
        <v/>
      </c>
    </row>
    <row r="17">
      <c r="A17" s="17" t="inlineStr">
        <is>
          <t>BEN</t>
        </is>
      </c>
      <c r="B17" s="17">
        <f>INDEX(Data!$B:$B,MATCH($A17,Data!$A:$A,0))</f>
        <v/>
      </c>
      <c r="C17" s="17">
        <f>INDEX(Data!$D:$D,MATCH($A17,Data!$A:$A,0))</f>
        <v/>
      </c>
      <c r="D17" s="16">
        <f>SUMIFS(Data!$G:$G,Data!$A:$A,$A17,Data!$F:$F,"gen_coal_twh")</f>
        <v/>
      </c>
      <c r="E17" s="16">
        <f>SUMIFS(Data!$G:$G,Data!$A:$A,$A17,Data!$F:$F,"gen_gas_twh")</f>
        <v/>
      </c>
      <c r="F17" s="16">
        <f>SUMIFS(Data!$G:$G,Data!$A:$A,$A17,Data!$F:$F,"gen_oil_twh")</f>
        <v/>
      </c>
      <c r="G17" s="16">
        <f>SUMIFS(Data!$G:$G,Data!$A:$A,$A17,Data!$F:$F,"gen_total_twh")</f>
        <v/>
      </c>
      <c r="H17" s="16">
        <f>SUMIFS(Data!$G:$G,Data!$A:$A,$A17,Data!$F:$F,"em_coal_mt")</f>
        <v/>
      </c>
      <c r="I17" s="16">
        <f>SUMIFS(Data!$G:$G,Data!$A:$A,$A17,Data!$F:$F,"em_gas_mt")</f>
        <v/>
      </c>
      <c r="J17" s="16">
        <f>SUMIFS(Data!$G:$G,Data!$A:$A,$A17,Data!$F:$F,"em_oil_mt")</f>
        <v/>
      </c>
      <c r="K17" s="28">
        <f>IF(COUNTIFS(Data!$A:$A,$A17,Data!$F:$F,"price_electricity_residential_usd_kwh")=0,"",SUMIFS(Data!$G:$G,Data!$A:$A,$A17,Data!$F:$F,"price_electricity_residential_usd_kwh"))</f>
        <v/>
      </c>
      <c r="L17" s="28">
        <f>IF(COUNTIFS(Data!$A:$A,$A17,Data!$F:$F,"price_coal_power_usd_gj")=0,"",SUMIFS(Data!$G:$G,Data!$A:$A,$A17,Data!$F:$F,"price_coal_power_usd_gj"))</f>
        <v/>
      </c>
      <c r="M17" s="28">
        <f>IF(COUNTIFS(Data!$A:$A,$A17,Data!$F:$F,"price_gas_power_usd_gj")=0,"",SUMIFS(Data!$G:$G,Data!$A:$A,$A17,Data!$F:$F,"price_gas_power_usd_gj"))</f>
        <v/>
      </c>
      <c r="N17" s="28">
        <f>IF(COUNTIFS(Data!$A:$A,$A17,Data!$F:$F,"price_gas_industry_usd_gj")=0,"",SUMIFS(Data!$G:$G,Data!$A:$A,$A17,Data!$F:$F,"price_gas_industry_usd_gj"))</f>
        <v/>
      </c>
      <c r="O17" s="28">
        <f>IF(COUNTIFS(Data!$A:$A,$A17,Data!$F:$F,"power_market_structure")=0,"",SUMIFS(Data!$G:$G,Data!$A:$A,$A17,Data!$F:$F,"power_market_structure"))</f>
        <v/>
      </c>
      <c r="P17" s="28">
        <f>IF(COUNTIFS(Data!$A:$A,$A17,Data!$F:$F,"rise_renewable_energy_score")=0,"",SUMIFS(Data!$G:$G,Data!$A:$A,$A17,Data!$F:$F,"rise_renewable_energy_score"))</f>
        <v/>
      </c>
      <c r="Q17" s="16">
        <f>H17+I17+J17</f>
        <v/>
      </c>
      <c r="R17" s="28">
        <f>Q17/G17</f>
        <v/>
      </c>
      <c r="S17" s="28">
        <f>IF(D17&gt;0,H17/D17,0.85)</f>
        <v/>
      </c>
      <c r="T17" s="28">
        <f>IF(E17&gt;0,I17/E17,0.4)</f>
        <v/>
      </c>
      <c r="U17" s="28">
        <f>IF(D17+F17&gt;0,(H17+J17)/(D17+F17),0)</f>
        <v/>
      </c>
      <c r="V17" s="16">
        <f>K17*1000</f>
        <v/>
      </c>
      <c r="W17" s="15">
        <f>IF(O17=3,in_pt3,IF(O17=2,in_pt2,IF(O17=1,in_pt1,IF(C17="High income",in_pt_hi,in_pt_oth))))</f>
        <v/>
      </c>
      <c r="X17" s="28">
        <f>IF(Q17&gt;0,in_kappa*(in_rise_lo+(in_rise_hi-in_rise_lo)*IF(P17="",in_rise_miss,P17)/100)*(D17+F17)*MAX(U17-in_gas_rep*T17,0)/Q17,0)</f>
        <v/>
      </c>
      <c r="Y17" s="16">
        <f>IF(IF(M17="",N17,M17)="",MAX(in_sw_floor,in_sw_miss),MAX(in_sw_floor,(IF(M17="",N17,M17)*in_hr_gas-L17*in_hr_coal)/MAX(S17-T17,0.1)))</f>
        <v/>
      </c>
      <c r="Z17" s="28">
        <f>IF(C17="Low income",in_b40_li,IF(C17="Lower middle income",in_b40_lmi,IF(C17="Upper middle income",in_b40_umi,IF(C17="High income",in_b40_hi,0.03))))</f>
        <v/>
      </c>
      <c r="AA17" s="15">
        <f>(D17+F17)/G17</f>
        <v/>
      </c>
      <c r="AB17" s="28">
        <f>100*W17*R17/V17/in_phase</f>
        <v/>
      </c>
      <c r="AC17" s="29">
        <f>100*Z17*W17*R17/V17*(1-IF(W17&gt;0,MIN(in_rebate/(W17*in_res_sh*in_q40),1),1))</f>
        <v/>
      </c>
      <c r="AD17" s="28">
        <f>IF(AA17&gt;0,100*U17*(1-W17)/(in_whole_sh*V17),0)</f>
        <v/>
      </c>
      <c r="AE17" s="28">
        <f>IF(AA17&gt;0,100*MAX(U17-R17,0)/(in_whole_sh*V17),0)</f>
        <v/>
      </c>
      <c r="AF17" s="16">
        <f>IF(AB17&gt;0,in_f1/AB17,in_cap)</f>
        <v/>
      </c>
      <c r="AG17" s="16">
        <f>IF(AC17&gt;0,in_f2/AC17,in_cap)</f>
        <v/>
      </c>
      <c r="AH17" s="16">
        <f>IF(AD17&gt;0,in_f3/AD17,in_cap)</f>
        <v/>
      </c>
      <c r="AI17" s="16">
        <f>MIN(in_cap,AF17,AG17,AH17)</f>
        <v/>
      </c>
      <c r="AJ17" s="30">
        <f>100*(1-(1-X17*(1-EXP(-((AI17)+(0))/Y17)))*(1-MIN(ABS(in_elas)*W17*R17*(AI17)/V17,1)))</f>
        <v/>
      </c>
      <c r="AK17" s="17">
        <f>IF(AI17&gt;=in_cap-1E-9,"rate cap",TRIM(IF(ABS(AI17-AF17)&lt;1E-9,"F1 ","")&amp;IF(ABS(AI17-AG17)&lt;1E-9,"F2 ","")&amp;IF(ABS(AI17-AH17)&lt;1E-9,"F3","")))</f>
        <v/>
      </c>
      <c r="AL17" s="15">
        <f>100*(1-(1-X17*(1-EXP(-((MIN(in_cap,IF(AB17&gt;0,(in_f1+1)/AB17,in_cap),AG17,AH17))+(0))/Y17)))*(1-MIN(ABS(in_elas)*W17*R17*(MIN(in_cap,IF(AB17&gt;0,(in_f1+1)/AB17,in_cap),AG17,AH17))/V17,1)))-AJ17</f>
        <v/>
      </c>
      <c r="AM17" s="16">
        <f>MIN(in_cap,IF(AE17&gt;0,in_f3/AE17,in_cap))</f>
        <v/>
      </c>
      <c r="AN17" s="30">
        <f>100*(1-(1-X17*(1-EXP(-((0)+(AM17))/Y17)))*(1-MIN(ABS(in_elas)*W17*R17*(0)/V17,1)))</f>
        <v/>
      </c>
      <c r="AO17" s="17">
        <f>IF(AM17&gt;=in_cap-1E-9,"rate cap","F3")</f>
        <v/>
      </c>
      <c r="AP17" s="15">
        <f>100*(1-(1-X17*(1-EXP(-((50)+(0))/Y17)))*(1-MIN(ABS(in_elas)*W17*R17*(50)/V17,1)))</f>
        <v/>
      </c>
      <c r="AQ17" s="15">
        <f>100*(1-(1-X17*(1-EXP(-((0)+(50))/Y17)))*(1-MIN(ABS(in_elas)*W17*R17*(0)/V17,1)))</f>
        <v/>
      </c>
      <c r="AR17" s="15">
        <f>IF(AP17&gt;0,AQ17/AP17,"")</f>
        <v/>
      </c>
      <c r="AS17" s="16">
        <f>50*AB17</f>
        <v/>
      </c>
      <c r="AT17" s="30">
        <f>MAX(BM17:BW17)</f>
        <v/>
      </c>
      <c r="AU17" s="31">
        <f>AI17*(MATCH(AT17,BM17:BW17,0)-1)/10</f>
        <v/>
      </c>
      <c r="AV17" s="31">
        <f>INDEX(BB17:BL17,1,(MATCH(AT17,BM17:BW17,0)-1)+1)</f>
        <v/>
      </c>
      <c r="AW17" s="31">
        <f>AB17*AU17</f>
        <v/>
      </c>
      <c r="AX17" s="30">
        <f>AC17*AU17</f>
        <v/>
      </c>
      <c r="AY17" s="31">
        <f>AD17*AU17+AE17*AV17</f>
        <v/>
      </c>
      <c r="AZ17" s="32">
        <f>TRIM(IF(AND(AU17&gt;0,ABS(AU17-AF17)&lt;1E-6),"F1 ","")&amp;IF(AND(AU17&gt;0,ABS(AU17-AG17)&lt;1E-6),"F2 ","")&amp;IF(AY17&gt;=in_f3-1E-6,"F3 ","")&amp;IF(AV17&gt;=in_cap-1E-9,"rate cap",""))</f>
        <v/>
      </c>
      <c r="BA17" s="31">
        <f>Q17*AT17/100</f>
        <v/>
      </c>
      <c r="BB17" s="16">
        <f>MAX(0,MIN(in_cap,IF(AE17&gt;0,(in_f3-AD17*AI17*0/10)/AE17,in_cap)))</f>
        <v/>
      </c>
      <c r="BC17" s="16">
        <f>MAX(0,MIN(in_cap,IF(AE17&gt;0,(in_f3-AD17*AI17*1/10)/AE17,in_cap)))</f>
        <v/>
      </c>
      <c r="BD17" s="16">
        <f>MAX(0,MIN(in_cap,IF(AE17&gt;0,(in_f3-AD17*AI17*2/10)/AE17,in_cap)))</f>
        <v/>
      </c>
      <c r="BE17" s="16">
        <f>MAX(0,MIN(in_cap,IF(AE17&gt;0,(in_f3-AD17*AI17*3/10)/AE17,in_cap)))</f>
        <v/>
      </c>
      <c r="BF17" s="16">
        <f>MAX(0,MIN(in_cap,IF(AE17&gt;0,(in_f3-AD17*AI17*4/10)/AE17,in_cap)))</f>
        <v/>
      </c>
      <c r="BG17" s="16">
        <f>MAX(0,MIN(in_cap,IF(AE17&gt;0,(in_f3-AD17*AI17*5/10)/AE17,in_cap)))</f>
        <v/>
      </c>
      <c r="BH17" s="16">
        <f>MAX(0,MIN(in_cap,IF(AE17&gt;0,(in_f3-AD17*AI17*6/10)/AE17,in_cap)))</f>
        <v/>
      </c>
      <c r="BI17" s="16">
        <f>MAX(0,MIN(in_cap,IF(AE17&gt;0,(in_f3-AD17*AI17*7/10)/AE17,in_cap)))</f>
        <v/>
      </c>
      <c r="BJ17" s="16">
        <f>MAX(0,MIN(in_cap,IF(AE17&gt;0,(in_f3-AD17*AI17*8/10)/AE17,in_cap)))</f>
        <v/>
      </c>
      <c r="BK17" s="16">
        <f>MAX(0,MIN(in_cap,IF(AE17&gt;0,(in_f3-AD17*AI17*9/10)/AE17,in_cap)))</f>
        <v/>
      </c>
      <c r="BL17" s="16">
        <f>MAX(0,MIN(in_cap,IF(AE17&gt;0,(in_f3-AD17*AI17*10/10)/AE17,in_cap)))</f>
        <v/>
      </c>
      <c r="BM17" s="15">
        <f>100*(1-(1-X17*(1-EXP(-((AI17*0/10)+(BB17))/Y17)))*(1-MIN(ABS(in_elas)*W17*R17*(AI17*0/10)/V17,1)))</f>
        <v/>
      </c>
      <c r="BN17" s="15">
        <f>100*(1-(1-X17*(1-EXP(-((AI17*1/10)+(BC17))/Y17)))*(1-MIN(ABS(in_elas)*W17*R17*(AI17*1/10)/V17,1)))</f>
        <v/>
      </c>
      <c r="BO17" s="15">
        <f>100*(1-(1-X17*(1-EXP(-((AI17*2/10)+(BD17))/Y17)))*(1-MIN(ABS(in_elas)*W17*R17*(AI17*2/10)/V17,1)))</f>
        <v/>
      </c>
      <c r="BP17" s="15">
        <f>100*(1-(1-X17*(1-EXP(-((AI17*3/10)+(BE17))/Y17)))*(1-MIN(ABS(in_elas)*W17*R17*(AI17*3/10)/V17,1)))</f>
        <v/>
      </c>
      <c r="BQ17" s="15">
        <f>100*(1-(1-X17*(1-EXP(-((AI17*4/10)+(BF17))/Y17)))*(1-MIN(ABS(in_elas)*W17*R17*(AI17*4/10)/V17,1)))</f>
        <v/>
      </c>
      <c r="BR17" s="15">
        <f>100*(1-(1-X17*(1-EXP(-((AI17*5/10)+(BG17))/Y17)))*(1-MIN(ABS(in_elas)*W17*R17*(AI17*5/10)/V17,1)))</f>
        <v/>
      </c>
      <c r="BS17" s="15">
        <f>100*(1-(1-X17*(1-EXP(-((AI17*6/10)+(BH17))/Y17)))*(1-MIN(ABS(in_elas)*W17*R17*(AI17*6/10)/V17,1)))</f>
        <v/>
      </c>
      <c r="BT17" s="15">
        <f>100*(1-(1-X17*(1-EXP(-((AI17*7/10)+(BI17))/Y17)))*(1-MIN(ABS(in_elas)*W17*R17*(AI17*7/10)/V17,1)))</f>
        <v/>
      </c>
      <c r="BU17" s="15">
        <f>100*(1-(1-X17*(1-EXP(-((AI17*8/10)+(BJ17))/Y17)))*(1-MIN(ABS(in_elas)*W17*R17*(AI17*8/10)/V17,1)))</f>
        <v/>
      </c>
      <c r="BV17" s="15">
        <f>100*(1-(1-X17*(1-EXP(-((AI17*9/10)+(BK17))/Y17)))*(1-MIN(ABS(in_elas)*W17*R17*(AI17*9/10)/V17,1)))</f>
        <v/>
      </c>
      <c r="BW17" s="15">
        <f>100*(1-(1-X17*(1-EXP(-((AI17*10/10)+(BL17))/Y17)))*(1-MIN(ABS(in_elas)*W17*R17*(AI17*10/10)/V17,1)))</f>
        <v/>
      </c>
    </row>
    <row r="18">
      <c r="A18" s="17" t="inlineStr">
        <is>
          <t>BFA</t>
        </is>
      </c>
      <c r="B18" s="17">
        <f>INDEX(Data!$B:$B,MATCH($A18,Data!$A:$A,0))</f>
        <v/>
      </c>
      <c r="C18" s="17">
        <f>INDEX(Data!$D:$D,MATCH($A18,Data!$A:$A,0))</f>
        <v/>
      </c>
      <c r="D18" s="16">
        <f>SUMIFS(Data!$G:$G,Data!$A:$A,$A18,Data!$F:$F,"gen_coal_twh")</f>
        <v/>
      </c>
      <c r="E18" s="16">
        <f>SUMIFS(Data!$G:$G,Data!$A:$A,$A18,Data!$F:$F,"gen_gas_twh")</f>
        <v/>
      </c>
      <c r="F18" s="16">
        <f>SUMIFS(Data!$G:$G,Data!$A:$A,$A18,Data!$F:$F,"gen_oil_twh")</f>
        <v/>
      </c>
      <c r="G18" s="16">
        <f>SUMIFS(Data!$G:$G,Data!$A:$A,$A18,Data!$F:$F,"gen_total_twh")</f>
        <v/>
      </c>
      <c r="H18" s="16">
        <f>SUMIFS(Data!$G:$G,Data!$A:$A,$A18,Data!$F:$F,"em_coal_mt")</f>
        <v/>
      </c>
      <c r="I18" s="16">
        <f>SUMIFS(Data!$G:$G,Data!$A:$A,$A18,Data!$F:$F,"em_gas_mt")</f>
        <v/>
      </c>
      <c r="J18" s="16">
        <f>SUMIFS(Data!$G:$G,Data!$A:$A,$A18,Data!$F:$F,"em_oil_mt")</f>
        <v/>
      </c>
      <c r="K18" s="28">
        <f>IF(COUNTIFS(Data!$A:$A,$A18,Data!$F:$F,"price_electricity_residential_usd_kwh")=0,"",SUMIFS(Data!$G:$G,Data!$A:$A,$A18,Data!$F:$F,"price_electricity_residential_usd_kwh"))</f>
        <v/>
      </c>
      <c r="L18" s="28">
        <f>IF(COUNTIFS(Data!$A:$A,$A18,Data!$F:$F,"price_coal_power_usd_gj")=0,"",SUMIFS(Data!$G:$G,Data!$A:$A,$A18,Data!$F:$F,"price_coal_power_usd_gj"))</f>
        <v/>
      </c>
      <c r="M18" s="28">
        <f>IF(COUNTIFS(Data!$A:$A,$A18,Data!$F:$F,"price_gas_power_usd_gj")=0,"",SUMIFS(Data!$G:$G,Data!$A:$A,$A18,Data!$F:$F,"price_gas_power_usd_gj"))</f>
        <v/>
      </c>
      <c r="N18" s="28">
        <f>IF(COUNTIFS(Data!$A:$A,$A18,Data!$F:$F,"price_gas_industry_usd_gj")=0,"",SUMIFS(Data!$G:$G,Data!$A:$A,$A18,Data!$F:$F,"price_gas_industry_usd_gj"))</f>
        <v/>
      </c>
      <c r="O18" s="28">
        <f>IF(COUNTIFS(Data!$A:$A,$A18,Data!$F:$F,"power_market_structure")=0,"",SUMIFS(Data!$G:$G,Data!$A:$A,$A18,Data!$F:$F,"power_market_structure"))</f>
        <v/>
      </c>
      <c r="P18" s="28">
        <f>IF(COUNTIFS(Data!$A:$A,$A18,Data!$F:$F,"rise_renewable_energy_score")=0,"",SUMIFS(Data!$G:$G,Data!$A:$A,$A18,Data!$F:$F,"rise_renewable_energy_score"))</f>
        <v/>
      </c>
      <c r="Q18" s="16">
        <f>H18+I18+J18</f>
        <v/>
      </c>
      <c r="R18" s="28">
        <f>Q18/G18</f>
        <v/>
      </c>
      <c r="S18" s="28">
        <f>IF(D18&gt;0,H18/D18,0.85)</f>
        <v/>
      </c>
      <c r="T18" s="28">
        <f>IF(E18&gt;0,I18/E18,0.4)</f>
        <v/>
      </c>
      <c r="U18" s="28">
        <f>IF(D18+F18&gt;0,(H18+J18)/(D18+F18),0)</f>
        <v/>
      </c>
      <c r="V18" s="16">
        <f>K18*1000</f>
        <v/>
      </c>
      <c r="W18" s="15">
        <f>IF(O18=3,in_pt3,IF(O18=2,in_pt2,IF(O18=1,in_pt1,IF(C18="High income",in_pt_hi,in_pt_oth))))</f>
        <v/>
      </c>
      <c r="X18" s="28">
        <f>IF(Q18&gt;0,in_kappa*(in_rise_lo+(in_rise_hi-in_rise_lo)*IF(P18="",in_rise_miss,P18)/100)*(D18+F18)*MAX(U18-in_gas_rep*T18,0)/Q18,0)</f>
        <v/>
      </c>
      <c r="Y18" s="16">
        <f>IF(IF(M18="",N18,M18)="",MAX(in_sw_floor,in_sw_miss),MAX(in_sw_floor,(IF(M18="",N18,M18)*in_hr_gas-L18*in_hr_coal)/MAX(S18-T18,0.1)))</f>
        <v/>
      </c>
      <c r="Z18" s="28">
        <f>IF(C18="Low income",in_b40_li,IF(C18="Lower middle income",in_b40_lmi,IF(C18="Upper middle income",in_b40_umi,IF(C18="High income",in_b40_hi,0.03))))</f>
        <v/>
      </c>
      <c r="AA18" s="15">
        <f>(D18+F18)/G18</f>
        <v/>
      </c>
      <c r="AB18" s="28">
        <f>100*W18*R18/V18/in_phase</f>
        <v/>
      </c>
      <c r="AC18" s="29">
        <f>100*Z18*W18*R18/V18*(1-IF(W18&gt;0,MIN(in_rebate/(W18*in_res_sh*in_q40),1),1))</f>
        <v/>
      </c>
      <c r="AD18" s="28">
        <f>IF(AA18&gt;0,100*U18*(1-W18)/(in_whole_sh*V18),0)</f>
        <v/>
      </c>
      <c r="AE18" s="28">
        <f>IF(AA18&gt;0,100*MAX(U18-R18,0)/(in_whole_sh*V18),0)</f>
        <v/>
      </c>
      <c r="AF18" s="16">
        <f>IF(AB18&gt;0,in_f1/AB18,in_cap)</f>
        <v/>
      </c>
      <c r="AG18" s="16">
        <f>IF(AC18&gt;0,in_f2/AC18,in_cap)</f>
        <v/>
      </c>
      <c r="AH18" s="16">
        <f>IF(AD18&gt;0,in_f3/AD18,in_cap)</f>
        <v/>
      </c>
      <c r="AI18" s="16">
        <f>MIN(in_cap,AF18,AG18,AH18)</f>
        <v/>
      </c>
      <c r="AJ18" s="30">
        <f>100*(1-(1-X18*(1-EXP(-((AI18)+(0))/Y18)))*(1-MIN(ABS(in_elas)*W18*R18*(AI18)/V18,1)))</f>
        <v/>
      </c>
      <c r="AK18" s="17">
        <f>IF(AI18&gt;=in_cap-1E-9,"rate cap",TRIM(IF(ABS(AI18-AF18)&lt;1E-9,"F1 ","")&amp;IF(ABS(AI18-AG18)&lt;1E-9,"F2 ","")&amp;IF(ABS(AI18-AH18)&lt;1E-9,"F3","")))</f>
        <v/>
      </c>
      <c r="AL18" s="15">
        <f>100*(1-(1-X18*(1-EXP(-((MIN(in_cap,IF(AB18&gt;0,(in_f1+1)/AB18,in_cap),AG18,AH18))+(0))/Y18)))*(1-MIN(ABS(in_elas)*W18*R18*(MIN(in_cap,IF(AB18&gt;0,(in_f1+1)/AB18,in_cap),AG18,AH18))/V18,1)))-AJ18</f>
        <v/>
      </c>
      <c r="AM18" s="16">
        <f>MIN(in_cap,IF(AE18&gt;0,in_f3/AE18,in_cap))</f>
        <v/>
      </c>
      <c r="AN18" s="30">
        <f>100*(1-(1-X18*(1-EXP(-((0)+(AM18))/Y18)))*(1-MIN(ABS(in_elas)*W18*R18*(0)/V18,1)))</f>
        <v/>
      </c>
      <c r="AO18" s="17">
        <f>IF(AM18&gt;=in_cap-1E-9,"rate cap","F3")</f>
        <v/>
      </c>
      <c r="AP18" s="15">
        <f>100*(1-(1-X18*(1-EXP(-((50)+(0))/Y18)))*(1-MIN(ABS(in_elas)*W18*R18*(50)/V18,1)))</f>
        <v/>
      </c>
      <c r="AQ18" s="15">
        <f>100*(1-(1-X18*(1-EXP(-((0)+(50))/Y18)))*(1-MIN(ABS(in_elas)*W18*R18*(0)/V18,1)))</f>
        <v/>
      </c>
      <c r="AR18" s="15">
        <f>IF(AP18&gt;0,AQ18/AP18,"")</f>
        <v/>
      </c>
      <c r="AS18" s="16">
        <f>50*AB18</f>
        <v/>
      </c>
      <c r="AT18" s="30">
        <f>MAX(BM18:BW18)</f>
        <v/>
      </c>
      <c r="AU18" s="31">
        <f>AI18*(MATCH(AT18,BM18:BW18,0)-1)/10</f>
        <v/>
      </c>
      <c r="AV18" s="31">
        <f>INDEX(BB18:BL18,1,(MATCH(AT18,BM18:BW18,0)-1)+1)</f>
        <v/>
      </c>
      <c r="AW18" s="31">
        <f>AB18*AU18</f>
        <v/>
      </c>
      <c r="AX18" s="30">
        <f>AC18*AU18</f>
        <v/>
      </c>
      <c r="AY18" s="31">
        <f>AD18*AU18+AE18*AV18</f>
        <v/>
      </c>
      <c r="AZ18" s="32">
        <f>TRIM(IF(AND(AU18&gt;0,ABS(AU18-AF18)&lt;1E-6),"F1 ","")&amp;IF(AND(AU18&gt;0,ABS(AU18-AG18)&lt;1E-6),"F2 ","")&amp;IF(AY18&gt;=in_f3-1E-6,"F3 ","")&amp;IF(AV18&gt;=in_cap-1E-9,"rate cap",""))</f>
        <v/>
      </c>
      <c r="BA18" s="31">
        <f>Q18*AT18/100</f>
        <v/>
      </c>
      <c r="BB18" s="16">
        <f>MAX(0,MIN(in_cap,IF(AE18&gt;0,(in_f3-AD18*AI18*0/10)/AE18,in_cap)))</f>
        <v/>
      </c>
      <c r="BC18" s="16">
        <f>MAX(0,MIN(in_cap,IF(AE18&gt;0,(in_f3-AD18*AI18*1/10)/AE18,in_cap)))</f>
        <v/>
      </c>
      <c r="BD18" s="16">
        <f>MAX(0,MIN(in_cap,IF(AE18&gt;0,(in_f3-AD18*AI18*2/10)/AE18,in_cap)))</f>
        <v/>
      </c>
      <c r="BE18" s="16">
        <f>MAX(0,MIN(in_cap,IF(AE18&gt;0,(in_f3-AD18*AI18*3/10)/AE18,in_cap)))</f>
        <v/>
      </c>
      <c r="BF18" s="16">
        <f>MAX(0,MIN(in_cap,IF(AE18&gt;0,(in_f3-AD18*AI18*4/10)/AE18,in_cap)))</f>
        <v/>
      </c>
      <c r="BG18" s="16">
        <f>MAX(0,MIN(in_cap,IF(AE18&gt;0,(in_f3-AD18*AI18*5/10)/AE18,in_cap)))</f>
        <v/>
      </c>
      <c r="BH18" s="16">
        <f>MAX(0,MIN(in_cap,IF(AE18&gt;0,(in_f3-AD18*AI18*6/10)/AE18,in_cap)))</f>
        <v/>
      </c>
      <c r="BI18" s="16">
        <f>MAX(0,MIN(in_cap,IF(AE18&gt;0,(in_f3-AD18*AI18*7/10)/AE18,in_cap)))</f>
        <v/>
      </c>
      <c r="BJ18" s="16">
        <f>MAX(0,MIN(in_cap,IF(AE18&gt;0,(in_f3-AD18*AI18*8/10)/AE18,in_cap)))</f>
        <v/>
      </c>
      <c r="BK18" s="16">
        <f>MAX(0,MIN(in_cap,IF(AE18&gt;0,(in_f3-AD18*AI18*9/10)/AE18,in_cap)))</f>
        <v/>
      </c>
      <c r="BL18" s="16">
        <f>MAX(0,MIN(in_cap,IF(AE18&gt;0,(in_f3-AD18*AI18*10/10)/AE18,in_cap)))</f>
        <v/>
      </c>
      <c r="BM18" s="15">
        <f>100*(1-(1-X18*(1-EXP(-((AI18*0/10)+(BB18))/Y18)))*(1-MIN(ABS(in_elas)*W18*R18*(AI18*0/10)/V18,1)))</f>
        <v/>
      </c>
      <c r="BN18" s="15">
        <f>100*(1-(1-X18*(1-EXP(-((AI18*1/10)+(BC18))/Y18)))*(1-MIN(ABS(in_elas)*W18*R18*(AI18*1/10)/V18,1)))</f>
        <v/>
      </c>
      <c r="BO18" s="15">
        <f>100*(1-(1-X18*(1-EXP(-((AI18*2/10)+(BD18))/Y18)))*(1-MIN(ABS(in_elas)*W18*R18*(AI18*2/10)/V18,1)))</f>
        <v/>
      </c>
      <c r="BP18" s="15">
        <f>100*(1-(1-X18*(1-EXP(-((AI18*3/10)+(BE18))/Y18)))*(1-MIN(ABS(in_elas)*W18*R18*(AI18*3/10)/V18,1)))</f>
        <v/>
      </c>
      <c r="BQ18" s="15">
        <f>100*(1-(1-X18*(1-EXP(-((AI18*4/10)+(BF18))/Y18)))*(1-MIN(ABS(in_elas)*W18*R18*(AI18*4/10)/V18,1)))</f>
        <v/>
      </c>
      <c r="BR18" s="15">
        <f>100*(1-(1-X18*(1-EXP(-((AI18*5/10)+(BG18))/Y18)))*(1-MIN(ABS(in_elas)*W18*R18*(AI18*5/10)/V18,1)))</f>
        <v/>
      </c>
      <c r="BS18" s="15">
        <f>100*(1-(1-X18*(1-EXP(-((AI18*6/10)+(BH18))/Y18)))*(1-MIN(ABS(in_elas)*W18*R18*(AI18*6/10)/V18,1)))</f>
        <v/>
      </c>
      <c r="BT18" s="15">
        <f>100*(1-(1-X18*(1-EXP(-((AI18*7/10)+(BI18))/Y18)))*(1-MIN(ABS(in_elas)*W18*R18*(AI18*7/10)/V18,1)))</f>
        <v/>
      </c>
      <c r="BU18" s="15">
        <f>100*(1-(1-X18*(1-EXP(-((AI18*8/10)+(BJ18))/Y18)))*(1-MIN(ABS(in_elas)*W18*R18*(AI18*8/10)/V18,1)))</f>
        <v/>
      </c>
      <c r="BV18" s="15">
        <f>100*(1-(1-X18*(1-EXP(-((AI18*9/10)+(BK18))/Y18)))*(1-MIN(ABS(in_elas)*W18*R18*(AI18*9/10)/V18,1)))</f>
        <v/>
      </c>
      <c r="BW18" s="15">
        <f>100*(1-(1-X18*(1-EXP(-((AI18*10/10)+(BL18))/Y18)))*(1-MIN(ABS(in_elas)*W18*R18*(AI18*10/10)/V18,1)))</f>
        <v/>
      </c>
    </row>
    <row r="19">
      <c r="A19" s="17" t="inlineStr">
        <is>
          <t>BGD</t>
        </is>
      </c>
      <c r="B19" s="17">
        <f>INDEX(Data!$B:$B,MATCH($A19,Data!$A:$A,0))</f>
        <v/>
      </c>
      <c r="C19" s="17">
        <f>INDEX(Data!$D:$D,MATCH($A19,Data!$A:$A,0))</f>
        <v/>
      </c>
      <c r="D19" s="16">
        <f>SUMIFS(Data!$G:$G,Data!$A:$A,$A19,Data!$F:$F,"gen_coal_twh")</f>
        <v/>
      </c>
      <c r="E19" s="16">
        <f>SUMIFS(Data!$G:$G,Data!$A:$A,$A19,Data!$F:$F,"gen_gas_twh")</f>
        <v/>
      </c>
      <c r="F19" s="16">
        <f>SUMIFS(Data!$G:$G,Data!$A:$A,$A19,Data!$F:$F,"gen_oil_twh")</f>
        <v/>
      </c>
      <c r="G19" s="16">
        <f>SUMIFS(Data!$G:$G,Data!$A:$A,$A19,Data!$F:$F,"gen_total_twh")</f>
        <v/>
      </c>
      <c r="H19" s="16">
        <f>SUMIFS(Data!$G:$G,Data!$A:$A,$A19,Data!$F:$F,"em_coal_mt")</f>
        <v/>
      </c>
      <c r="I19" s="16">
        <f>SUMIFS(Data!$G:$G,Data!$A:$A,$A19,Data!$F:$F,"em_gas_mt")</f>
        <v/>
      </c>
      <c r="J19" s="16">
        <f>SUMIFS(Data!$G:$G,Data!$A:$A,$A19,Data!$F:$F,"em_oil_mt")</f>
        <v/>
      </c>
      <c r="K19" s="28">
        <f>IF(COUNTIFS(Data!$A:$A,$A19,Data!$F:$F,"price_electricity_residential_usd_kwh")=0,"",SUMIFS(Data!$G:$G,Data!$A:$A,$A19,Data!$F:$F,"price_electricity_residential_usd_kwh"))</f>
        <v/>
      </c>
      <c r="L19" s="28">
        <f>IF(COUNTIFS(Data!$A:$A,$A19,Data!$F:$F,"price_coal_power_usd_gj")=0,"",SUMIFS(Data!$G:$G,Data!$A:$A,$A19,Data!$F:$F,"price_coal_power_usd_gj"))</f>
        <v/>
      </c>
      <c r="M19" s="28">
        <f>IF(COUNTIFS(Data!$A:$A,$A19,Data!$F:$F,"price_gas_power_usd_gj")=0,"",SUMIFS(Data!$G:$G,Data!$A:$A,$A19,Data!$F:$F,"price_gas_power_usd_gj"))</f>
        <v/>
      </c>
      <c r="N19" s="28">
        <f>IF(COUNTIFS(Data!$A:$A,$A19,Data!$F:$F,"price_gas_industry_usd_gj")=0,"",SUMIFS(Data!$G:$G,Data!$A:$A,$A19,Data!$F:$F,"price_gas_industry_usd_gj"))</f>
        <v/>
      </c>
      <c r="O19" s="28">
        <f>IF(COUNTIFS(Data!$A:$A,$A19,Data!$F:$F,"power_market_structure")=0,"",SUMIFS(Data!$G:$G,Data!$A:$A,$A19,Data!$F:$F,"power_market_structure"))</f>
        <v/>
      </c>
      <c r="P19" s="28">
        <f>IF(COUNTIFS(Data!$A:$A,$A19,Data!$F:$F,"rise_renewable_energy_score")=0,"",SUMIFS(Data!$G:$G,Data!$A:$A,$A19,Data!$F:$F,"rise_renewable_energy_score"))</f>
        <v/>
      </c>
      <c r="Q19" s="16">
        <f>H19+I19+J19</f>
        <v/>
      </c>
      <c r="R19" s="28">
        <f>Q19/G19</f>
        <v/>
      </c>
      <c r="S19" s="28">
        <f>IF(D19&gt;0,H19/D19,0.85)</f>
        <v/>
      </c>
      <c r="T19" s="28">
        <f>IF(E19&gt;0,I19/E19,0.4)</f>
        <v/>
      </c>
      <c r="U19" s="28">
        <f>IF(D19+F19&gt;0,(H19+J19)/(D19+F19),0)</f>
        <v/>
      </c>
      <c r="V19" s="16">
        <f>K19*1000</f>
        <v/>
      </c>
      <c r="W19" s="15">
        <f>IF(O19=3,in_pt3,IF(O19=2,in_pt2,IF(O19=1,in_pt1,IF(C19="High income",in_pt_hi,in_pt_oth))))</f>
        <v/>
      </c>
      <c r="X19" s="28">
        <f>IF(Q19&gt;0,in_kappa*(in_rise_lo+(in_rise_hi-in_rise_lo)*IF(P19="",in_rise_miss,P19)/100)*(D19+F19)*MAX(U19-in_gas_rep*T19,0)/Q19,0)</f>
        <v/>
      </c>
      <c r="Y19" s="16">
        <f>IF(IF(M19="",N19,M19)="",MAX(in_sw_floor,in_sw_miss),MAX(in_sw_floor,(IF(M19="",N19,M19)*in_hr_gas-L19*in_hr_coal)/MAX(S19-T19,0.1)))</f>
        <v/>
      </c>
      <c r="Z19" s="28">
        <f>IF(C19="Low income",in_b40_li,IF(C19="Lower middle income",in_b40_lmi,IF(C19="Upper middle income",in_b40_umi,IF(C19="High income",in_b40_hi,0.03))))</f>
        <v/>
      </c>
      <c r="AA19" s="15">
        <f>(D19+F19)/G19</f>
        <v/>
      </c>
      <c r="AB19" s="28">
        <f>100*W19*R19/V19/in_phase</f>
        <v/>
      </c>
      <c r="AC19" s="29">
        <f>100*Z19*W19*R19/V19*(1-IF(W19&gt;0,MIN(in_rebate/(W19*in_res_sh*in_q40),1),1))</f>
        <v/>
      </c>
      <c r="AD19" s="28">
        <f>IF(AA19&gt;0,100*U19*(1-W19)/(in_whole_sh*V19),0)</f>
        <v/>
      </c>
      <c r="AE19" s="28">
        <f>IF(AA19&gt;0,100*MAX(U19-R19,0)/(in_whole_sh*V19),0)</f>
        <v/>
      </c>
      <c r="AF19" s="16">
        <f>IF(AB19&gt;0,in_f1/AB19,in_cap)</f>
        <v/>
      </c>
      <c r="AG19" s="16">
        <f>IF(AC19&gt;0,in_f2/AC19,in_cap)</f>
        <v/>
      </c>
      <c r="AH19" s="16">
        <f>IF(AD19&gt;0,in_f3/AD19,in_cap)</f>
        <v/>
      </c>
      <c r="AI19" s="16">
        <f>MIN(in_cap,AF19,AG19,AH19)</f>
        <v/>
      </c>
      <c r="AJ19" s="30">
        <f>100*(1-(1-X19*(1-EXP(-((AI19)+(0))/Y19)))*(1-MIN(ABS(in_elas)*W19*R19*(AI19)/V19,1)))</f>
        <v/>
      </c>
      <c r="AK19" s="17">
        <f>IF(AI19&gt;=in_cap-1E-9,"rate cap",TRIM(IF(ABS(AI19-AF19)&lt;1E-9,"F1 ","")&amp;IF(ABS(AI19-AG19)&lt;1E-9,"F2 ","")&amp;IF(ABS(AI19-AH19)&lt;1E-9,"F3","")))</f>
        <v/>
      </c>
      <c r="AL19" s="15">
        <f>100*(1-(1-X19*(1-EXP(-((MIN(in_cap,IF(AB19&gt;0,(in_f1+1)/AB19,in_cap),AG19,AH19))+(0))/Y19)))*(1-MIN(ABS(in_elas)*W19*R19*(MIN(in_cap,IF(AB19&gt;0,(in_f1+1)/AB19,in_cap),AG19,AH19))/V19,1)))-AJ19</f>
        <v/>
      </c>
      <c r="AM19" s="16">
        <f>MIN(in_cap,IF(AE19&gt;0,in_f3/AE19,in_cap))</f>
        <v/>
      </c>
      <c r="AN19" s="30">
        <f>100*(1-(1-X19*(1-EXP(-((0)+(AM19))/Y19)))*(1-MIN(ABS(in_elas)*W19*R19*(0)/V19,1)))</f>
        <v/>
      </c>
      <c r="AO19" s="17">
        <f>IF(AM19&gt;=in_cap-1E-9,"rate cap","F3")</f>
        <v/>
      </c>
      <c r="AP19" s="15">
        <f>100*(1-(1-X19*(1-EXP(-((50)+(0))/Y19)))*(1-MIN(ABS(in_elas)*W19*R19*(50)/V19,1)))</f>
        <v/>
      </c>
      <c r="AQ19" s="15">
        <f>100*(1-(1-X19*(1-EXP(-((0)+(50))/Y19)))*(1-MIN(ABS(in_elas)*W19*R19*(0)/V19,1)))</f>
        <v/>
      </c>
      <c r="AR19" s="15">
        <f>IF(AP19&gt;0,AQ19/AP19,"")</f>
        <v/>
      </c>
      <c r="AS19" s="16">
        <f>50*AB19</f>
        <v/>
      </c>
      <c r="AT19" s="30">
        <f>MAX(BM19:BW19)</f>
        <v/>
      </c>
      <c r="AU19" s="31">
        <f>AI19*(MATCH(AT19,BM19:BW19,0)-1)/10</f>
        <v/>
      </c>
      <c r="AV19" s="31">
        <f>INDEX(BB19:BL19,1,(MATCH(AT19,BM19:BW19,0)-1)+1)</f>
        <v/>
      </c>
      <c r="AW19" s="31">
        <f>AB19*AU19</f>
        <v/>
      </c>
      <c r="AX19" s="30">
        <f>AC19*AU19</f>
        <v/>
      </c>
      <c r="AY19" s="31">
        <f>AD19*AU19+AE19*AV19</f>
        <v/>
      </c>
      <c r="AZ19" s="32">
        <f>TRIM(IF(AND(AU19&gt;0,ABS(AU19-AF19)&lt;1E-6),"F1 ","")&amp;IF(AND(AU19&gt;0,ABS(AU19-AG19)&lt;1E-6),"F2 ","")&amp;IF(AY19&gt;=in_f3-1E-6,"F3 ","")&amp;IF(AV19&gt;=in_cap-1E-9,"rate cap",""))</f>
        <v/>
      </c>
      <c r="BA19" s="31">
        <f>Q19*AT19/100</f>
        <v/>
      </c>
      <c r="BB19" s="16">
        <f>MAX(0,MIN(in_cap,IF(AE19&gt;0,(in_f3-AD19*AI19*0/10)/AE19,in_cap)))</f>
        <v/>
      </c>
      <c r="BC19" s="16">
        <f>MAX(0,MIN(in_cap,IF(AE19&gt;0,(in_f3-AD19*AI19*1/10)/AE19,in_cap)))</f>
        <v/>
      </c>
      <c r="BD19" s="16">
        <f>MAX(0,MIN(in_cap,IF(AE19&gt;0,(in_f3-AD19*AI19*2/10)/AE19,in_cap)))</f>
        <v/>
      </c>
      <c r="BE19" s="16">
        <f>MAX(0,MIN(in_cap,IF(AE19&gt;0,(in_f3-AD19*AI19*3/10)/AE19,in_cap)))</f>
        <v/>
      </c>
      <c r="BF19" s="16">
        <f>MAX(0,MIN(in_cap,IF(AE19&gt;0,(in_f3-AD19*AI19*4/10)/AE19,in_cap)))</f>
        <v/>
      </c>
      <c r="BG19" s="16">
        <f>MAX(0,MIN(in_cap,IF(AE19&gt;0,(in_f3-AD19*AI19*5/10)/AE19,in_cap)))</f>
        <v/>
      </c>
      <c r="BH19" s="16">
        <f>MAX(0,MIN(in_cap,IF(AE19&gt;0,(in_f3-AD19*AI19*6/10)/AE19,in_cap)))</f>
        <v/>
      </c>
      <c r="BI19" s="16">
        <f>MAX(0,MIN(in_cap,IF(AE19&gt;0,(in_f3-AD19*AI19*7/10)/AE19,in_cap)))</f>
        <v/>
      </c>
      <c r="BJ19" s="16">
        <f>MAX(0,MIN(in_cap,IF(AE19&gt;0,(in_f3-AD19*AI19*8/10)/AE19,in_cap)))</f>
        <v/>
      </c>
      <c r="BK19" s="16">
        <f>MAX(0,MIN(in_cap,IF(AE19&gt;0,(in_f3-AD19*AI19*9/10)/AE19,in_cap)))</f>
        <v/>
      </c>
      <c r="BL19" s="16">
        <f>MAX(0,MIN(in_cap,IF(AE19&gt;0,(in_f3-AD19*AI19*10/10)/AE19,in_cap)))</f>
        <v/>
      </c>
      <c r="BM19" s="15">
        <f>100*(1-(1-X19*(1-EXP(-((AI19*0/10)+(BB19))/Y19)))*(1-MIN(ABS(in_elas)*W19*R19*(AI19*0/10)/V19,1)))</f>
        <v/>
      </c>
      <c r="BN19" s="15">
        <f>100*(1-(1-X19*(1-EXP(-((AI19*1/10)+(BC19))/Y19)))*(1-MIN(ABS(in_elas)*W19*R19*(AI19*1/10)/V19,1)))</f>
        <v/>
      </c>
      <c r="BO19" s="15">
        <f>100*(1-(1-X19*(1-EXP(-((AI19*2/10)+(BD19))/Y19)))*(1-MIN(ABS(in_elas)*W19*R19*(AI19*2/10)/V19,1)))</f>
        <v/>
      </c>
      <c r="BP19" s="15">
        <f>100*(1-(1-X19*(1-EXP(-((AI19*3/10)+(BE19))/Y19)))*(1-MIN(ABS(in_elas)*W19*R19*(AI19*3/10)/V19,1)))</f>
        <v/>
      </c>
      <c r="BQ19" s="15">
        <f>100*(1-(1-X19*(1-EXP(-((AI19*4/10)+(BF19))/Y19)))*(1-MIN(ABS(in_elas)*W19*R19*(AI19*4/10)/V19,1)))</f>
        <v/>
      </c>
      <c r="BR19" s="15">
        <f>100*(1-(1-X19*(1-EXP(-((AI19*5/10)+(BG19))/Y19)))*(1-MIN(ABS(in_elas)*W19*R19*(AI19*5/10)/V19,1)))</f>
        <v/>
      </c>
      <c r="BS19" s="15">
        <f>100*(1-(1-X19*(1-EXP(-((AI19*6/10)+(BH19))/Y19)))*(1-MIN(ABS(in_elas)*W19*R19*(AI19*6/10)/V19,1)))</f>
        <v/>
      </c>
      <c r="BT19" s="15">
        <f>100*(1-(1-X19*(1-EXP(-((AI19*7/10)+(BI19))/Y19)))*(1-MIN(ABS(in_elas)*W19*R19*(AI19*7/10)/V19,1)))</f>
        <v/>
      </c>
      <c r="BU19" s="15">
        <f>100*(1-(1-X19*(1-EXP(-((AI19*8/10)+(BJ19))/Y19)))*(1-MIN(ABS(in_elas)*W19*R19*(AI19*8/10)/V19,1)))</f>
        <v/>
      </c>
      <c r="BV19" s="15">
        <f>100*(1-(1-X19*(1-EXP(-((AI19*9/10)+(BK19))/Y19)))*(1-MIN(ABS(in_elas)*W19*R19*(AI19*9/10)/V19,1)))</f>
        <v/>
      </c>
      <c r="BW19" s="15">
        <f>100*(1-(1-X19*(1-EXP(-((AI19*10/10)+(BL19))/Y19)))*(1-MIN(ABS(in_elas)*W19*R19*(AI19*10/10)/V19,1)))</f>
        <v/>
      </c>
    </row>
    <row r="20">
      <c r="A20" s="17" t="inlineStr">
        <is>
          <t>BGR</t>
        </is>
      </c>
      <c r="B20" s="17">
        <f>INDEX(Data!$B:$B,MATCH($A20,Data!$A:$A,0))</f>
        <v/>
      </c>
      <c r="C20" s="17">
        <f>INDEX(Data!$D:$D,MATCH($A20,Data!$A:$A,0))</f>
        <v/>
      </c>
      <c r="D20" s="16">
        <f>SUMIFS(Data!$G:$G,Data!$A:$A,$A20,Data!$F:$F,"gen_coal_twh")</f>
        <v/>
      </c>
      <c r="E20" s="16">
        <f>SUMIFS(Data!$G:$G,Data!$A:$A,$A20,Data!$F:$F,"gen_gas_twh")</f>
        <v/>
      </c>
      <c r="F20" s="16">
        <f>SUMIFS(Data!$G:$G,Data!$A:$A,$A20,Data!$F:$F,"gen_oil_twh")</f>
        <v/>
      </c>
      <c r="G20" s="16">
        <f>SUMIFS(Data!$G:$G,Data!$A:$A,$A20,Data!$F:$F,"gen_total_twh")</f>
        <v/>
      </c>
      <c r="H20" s="16">
        <f>SUMIFS(Data!$G:$G,Data!$A:$A,$A20,Data!$F:$F,"em_coal_mt")</f>
        <v/>
      </c>
      <c r="I20" s="16">
        <f>SUMIFS(Data!$G:$G,Data!$A:$A,$A20,Data!$F:$F,"em_gas_mt")</f>
        <v/>
      </c>
      <c r="J20" s="16">
        <f>SUMIFS(Data!$G:$G,Data!$A:$A,$A20,Data!$F:$F,"em_oil_mt")</f>
        <v/>
      </c>
      <c r="K20" s="28">
        <f>IF(COUNTIFS(Data!$A:$A,$A20,Data!$F:$F,"price_electricity_residential_usd_kwh")=0,"",SUMIFS(Data!$G:$G,Data!$A:$A,$A20,Data!$F:$F,"price_electricity_residential_usd_kwh"))</f>
        <v/>
      </c>
      <c r="L20" s="28">
        <f>IF(COUNTIFS(Data!$A:$A,$A20,Data!$F:$F,"price_coal_power_usd_gj")=0,"",SUMIFS(Data!$G:$G,Data!$A:$A,$A20,Data!$F:$F,"price_coal_power_usd_gj"))</f>
        <v/>
      </c>
      <c r="M20" s="28">
        <f>IF(COUNTIFS(Data!$A:$A,$A20,Data!$F:$F,"price_gas_power_usd_gj")=0,"",SUMIFS(Data!$G:$G,Data!$A:$A,$A20,Data!$F:$F,"price_gas_power_usd_gj"))</f>
        <v/>
      </c>
      <c r="N20" s="28">
        <f>IF(COUNTIFS(Data!$A:$A,$A20,Data!$F:$F,"price_gas_industry_usd_gj")=0,"",SUMIFS(Data!$G:$G,Data!$A:$A,$A20,Data!$F:$F,"price_gas_industry_usd_gj"))</f>
        <v/>
      </c>
      <c r="O20" s="28">
        <f>IF(COUNTIFS(Data!$A:$A,$A20,Data!$F:$F,"power_market_structure")=0,"",SUMIFS(Data!$G:$G,Data!$A:$A,$A20,Data!$F:$F,"power_market_structure"))</f>
        <v/>
      </c>
      <c r="P20" s="28">
        <f>IF(COUNTIFS(Data!$A:$A,$A20,Data!$F:$F,"rise_renewable_energy_score")=0,"",SUMIFS(Data!$G:$G,Data!$A:$A,$A20,Data!$F:$F,"rise_renewable_energy_score"))</f>
        <v/>
      </c>
      <c r="Q20" s="16">
        <f>H20+I20+J20</f>
        <v/>
      </c>
      <c r="R20" s="28">
        <f>Q20/G20</f>
        <v/>
      </c>
      <c r="S20" s="28">
        <f>IF(D20&gt;0,H20/D20,0.85)</f>
        <v/>
      </c>
      <c r="T20" s="28">
        <f>IF(E20&gt;0,I20/E20,0.4)</f>
        <v/>
      </c>
      <c r="U20" s="28">
        <f>IF(D20+F20&gt;0,(H20+J20)/(D20+F20),0)</f>
        <v/>
      </c>
      <c r="V20" s="16">
        <f>K20*1000</f>
        <v/>
      </c>
      <c r="W20" s="15">
        <f>IF(O20=3,in_pt3,IF(O20=2,in_pt2,IF(O20=1,in_pt1,IF(C20="High income",in_pt_hi,in_pt_oth))))</f>
        <v/>
      </c>
      <c r="X20" s="28">
        <f>IF(Q20&gt;0,in_kappa*(in_rise_lo+(in_rise_hi-in_rise_lo)*IF(P20="",in_rise_miss,P20)/100)*(D20+F20)*MAX(U20-in_gas_rep*T20,0)/Q20,0)</f>
        <v/>
      </c>
      <c r="Y20" s="16">
        <f>IF(IF(M20="",N20,M20)="",MAX(in_sw_floor,in_sw_miss),MAX(in_sw_floor,(IF(M20="",N20,M20)*in_hr_gas-L20*in_hr_coal)/MAX(S20-T20,0.1)))</f>
        <v/>
      </c>
      <c r="Z20" s="28">
        <f>IF(C20="Low income",in_b40_li,IF(C20="Lower middle income",in_b40_lmi,IF(C20="Upper middle income",in_b40_umi,IF(C20="High income",in_b40_hi,0.03))))</f>
        <v/>
      </c>
      <c r="AA20" s="15">
        <f>(D20+F20)/G20</f>
        <v/>
      </c>
      <c r="AB20" s="28">
        <f>100*W20*R20/V20/in_phase</f>
        <v/>
      </c>
      <c r="AC20" s="29">
        <f>100*Z20*W20*R20/V20*(1-IF(W20&gt;0,MIN(in_rebate/(W20*in_res_sh*in_q40),1),1))</f>
        <v/>
      </c>
      <c r="AD20" s="28">
        <f>IF(AA20&gt;0,100*U20*(1-W20)/(in_whole_sh*V20),0)</f>
        <v/>
      </c>
      <c r="AE20" s="28">
        <f>IF(AA20&gt;0,100*MAX(U20-R20,0)/(in_whole_sh*V20),0)</f>
        <v/>
      </c>
      <c r="AF20" s="16">
        <f>IF(AB20&gt;0,in_f1/AB20,in_cap)</f>
        <v/>
      </c>
      <c r="AG20" s="16">
        <f>IF(AC20&gt;0,in_f2/AC20,in_cap)</f>
        <v/>
      </c>
      <c r="AH20" s="16">
        <f>IF(AD20&gt;0,in_f3/AD20,in_cap)</f>
        <v/>
      </c>
      <c r="AI20" s="16">
        <f>MIN(in_cap,AF20,AG20,AH20)</f>
        <v/>
      </c>
      <c r="AJ20" s="30">
        <f>100*(1-(1-X20*(1-EXP(-((AI20)+(0))/Y20)))*(1-MIN(ABS(in_elas)*W20*R20*(AI20)/V20,1)))</f>
        <v/>
      </c>
      <c r="AK20" s="17">
        <f>IF(AI20&gt;=in_cap-1E-9,"rate cap",TRIM(IF(ABS(AI20-AF20)&lt;1E-9,"F1 ","")&amp;IF(ABS(AI20-AG20)&lt;1E-9,"F2 ","")&amp;IF(ABS(AI20-AH20)&lt;1E-9,"F3","")))</f>
        <v/>
      </c>
      <c r="AL20" s="15">
        <f>100*(1-(1-X20*(1-EXP(-((MIN(in_cap,IF(AB20&gt;0,(in_f1+1)/AB20,in_cap),AG20,AH20))+(0))/Y20)))*(1-MIN(ABS(in_elas)*W20*R20*(MIN(in_cap,IF(AB20&gt;0,(in_f1+1)/AB20,in_cap),AG20,AH20))/V20,1)))-AJ20</f>
        <v/>
      </c>
      <c r="AM20" s="16">
        <f>MIN(in_cap,IF(AE20&gt;0,in_f3/AE20,in_cap))</f>
        <v/>
      </c>
      <c r="AN20" s="30">
        <f>100*(1-(1-X20*(1-EXP(-((0)+(AM20))/Y20)))*(1-MIN(ABS(in_elas)*W20*R20*(0)/V20,1)))</f>
        <v/>
      </c>
      <c r="AO20" s="17">
        <f>IF(AM20&gt;=in_cap-1E-9,"rate cap","F3")</f>
        <v/>
      </c>
      <c r="AP20" s="15">
        <f>100*(1-(1-X20*(1-EXP(-((50)+(0))/Y20)))*(1-MIN(ABS(in_elas)*W20*R20*(50)/V20,1)))</f>
        <v/>
      </c>
      <c r="AQ20" s="15">
        <f>100*(1-(1-X20*(1-EXP(-((0)+(50))/Y20)))*(1-MIN(ABS(in_elas)*W20*R20*(0)/V20,1)))</f>
        <v/>
      </c>
      <c r="AR20" s="15">
        <f>IF(AP20&gt;0,AQ20/AP20,"")</f>
        <v/>
      </c>
      <c r="AS20" s="16">
        <f>50*AB20</f>
        <v/>
      </c>
      <c r="AT20" s="30">
        <f>MAX(BM20:BW20)</f>
        <v/>
      </c>
      <c r="AU20" s="31">
        <f>AI20*(MATCH(AT20,BM20:BW20,0)-1)/10</f>
        <v/>
      </c>
      <c r="AV20" s="31">
        <f>INDEX(BB20:BL20,1,(MATCH(AT20,BM20:BW20,0)-1)+1)</f>
        <v/>
      </c>
      <c r="AW20" s="31">
        <f>AB20*AU20</f>
        <v/>
      </c>
      <c r="AX20" s="30">
        <f>AC20*AU20</f>
        <v/>
      </c>
      <c r="AY20" s="31">
        <f>AD20*AU20+AE20*AV20</f>
        <v/>
      </c>
      <c r="AZ20" s="32">
        <f>TRIM(IF(AND(AU20&gt;0,ABS(AU20-AF20)&lt;1E-6),"F1 ","")&amp;IF(AND(AU20&gt;0,ABS(AU20-AG20)&lt;1E-6),"F2 ","")&amp;IF(AY20&gt;=in_f3-1E-6,"F3 ","")&amp;IF(AV20&gt;=in_cap-1E-9,"rate cap",""))</f>
        <v/>
      </c>
      <c r="BA20" s="31">
        <f>Q20*AT20/100</f>
        <v/>
      </c>
      <c r="BB20" s="16">
        <f>MAX(0,MIN(in_cap,IF(AE20&gt;0,(in_f3-AD20*AI20*0/10)/AE20,in_cap)))</f>
        <v/>
      </c>
      <c r="BC20" s="16">
        <f>MAX(0,MIN(in_cap,IF(AE20&gt;0,(in_f3-AD20*AI20*1/10)/AE20,in_cap)))</f>
        <v/>
      </c>
      <c r="BD20" s="16">
        <f>MAX(0,MIN(in_cap,IF(AE20&gt;0,(in_f3-AD20*AI20*2/10)/AE20,in_cap)))</f>
        <v/>
      </c>
      <c r="BE20" s="16">
        <f>MAX(0,MIN(in_cap,IF(AE20&gt;0,(in_f3-AD20*AI20*3/10)/AE20,in_cap)))</f>
        <v/>
      </c>
      <c r="BF20" s="16">
        <f>MAX(0,MIN(in_cap,IF(AE20&gt;0,(in_f3-AD20*AI20*4/10)/AE20,in_cap)))</f>
        <v/>
      </c>
      <c r="BG20" s="16">
        <f>MAX(0,MIN(in_cap,IF(AE20&gt;0,(in_f3-AD20*AI20*5/10)/AE20,in_cap)))</f>
        <v/>
      </c>
      <c r="BH20" s="16">
        <f>MAX(0,MIN(in_cap,IF(AE20&gt;0,(in_f3-AD20*AI20*6/10)/AE20,in_cap)))</f>
        <v/>
      </c>
      <c r="BI20" s="16">
        <f>MAX(0,MIN(in_cap,IF(AE20&gt;0,(in_f3-AD20*AI20*7/10)/AE20,in_cap)))</f>
        <v/>
      </c>
      <c r="BJ20" s="16">
        <f>MAX(0,MIN(in_cap,IF(AE20&gt;0,(in_f3-AD20*AI20*8/10)/AE20,in_cap)))</f>
        <v/>
      </c>
      <c r="BK20" s="16">
        <f>MAX(0,MIN(in_cap,IF(AE20&gt;0,(in_f3-AD20*AI20*9/10)/AE20,in_cap)))</f>
        <v/>
      </c>
      <c r="BL20" s="16">
        <f>MAX(0,MIN(in_cap,IF(AE20&gt;0,(in_f3-AD20*AI20*10/10)/AE20,in_cap)))</f>
        <v/>
      </c>
      <c r="BM20" s="15">
        <f>100*(1-(1-X20*(1-EXP(-((AI20*0/10)+(BB20))/Y20)))*(1-MIN(ABS(in_elas)*W20*R20*(AI20*0/10)/V20,1)))</f>
        <v/>
      </c>
      <c r="BN20" s="15">
        <f>100*(1-(1-X20*(1-EXP(-((AI20*1/10)+(BC20))/Y20)))*(1-MIN(ABS(in_elas)*W20*R20*(AI20*1/10)/V20,1)))</f>
        <v/>
      </c>
      <c r="BO20" s="15">
        <f>100*(1-(1-X20*(1-EXP(-((AI20*2/10)+(BD20))/Y20)))*(1-MIN(ABS(in_elas)*W20*R20*(AI20*2/10)/V20,1)))</f>
        <v/>
      </c>
      <c r="BP20" s="15">
        <f>100*(1-(1-X20*(1-EXP(-((AI20*3/10)+(BE20))/Y20)))*(1-MIN(ABS(in_elas)*W20*R20*(AI20*3/10)/V20,1)))</f>
        <v/>
      </c>
      <c r="BQ20" s="15">
        <f>100*(1-(1-X20*(1-EXP(-((AI20*4/10)+(BF20))/Y20)))*(1-MIN(ABS(in_elas)*W20*R20*(AI20*4/10)/V20,1)))</f>
        <v/>
      </c>
      <c r="BR20" s="15">
        <f>100*(1-(1-X20*(1-EXP(-((AI20*5/10)+(BG20))/Y20)))*(1-MIN(ABS(in_elas)*W20*R20*(AI20*5/10)/V20,1)))</f>
        <v/>
      </c>
      <c r="BS20" s="15">
        <f>100*(1-(1-X20*(1-EXP(-((AI20*6/10)+(BH20))/Y20)))*(1-MIN(ABS(in_elas)*W20*R20*(AI20*6/10)/V20,1)))</f>
        <v/>
      </c>
      <c r="BT20" s="15">
        <f>100*(1-(1-X20*(1-EXP(-((AI20*7/10)+(BI20))/Y20)))*(1-MIN(ABS(in_elas)*W20*R20*(AI20*7/10)/V20,1)))</f>
        <v/>
      </c>
      <c r="BU20" s="15">
        <f>100*(1-(1-X20*(1-EXP(-((AI20*8/10)+(BJ20))/Y20)))*(1-MIN(ABS(in_elas)*W20*R20*(AI20*8/10)/V20,1)))</f>
        <v/>
      </c>
      <c r="BV20" s="15">
        <f>100*(1-(1-X20*(1-EXP(-((AI20*9/10)+(BK20))/Y20)))*(1-MIN(ABS(in_elas)*W20*R20*(AI20*9/10)/V20,1)))</f>
        <v/>
      </c>
      <c r="BW20" s="15">
        <f>100*(1-(1-X20*(1-EXP(-((AI20*10/10)+(BL20))/Y20)))*(1-MIN(ABS(in_elas)*W20*R20*(AI20*10/10)/V20,1)))</f>
        <v/>
      </c>
    </row>
    <row r="21">
      <c r="A21" s="17" t="inlineStr">
        <is>
          <t>BHR</t>
        </is>
      </c>
      <c r="B21" s="17">
        <f>INDEX(Data!$B:$B,MATCH($A21,Data!$A:$A,0))</f>
        <v/>
      </c>
      <c r="C21" s="17">
        <f>INDEX(Data!$D:$D,MATCH($A21,Data!$A:$A,0))</f>
        <v/>
      </c>
      <c r="D21" s="16">
        <f>SUMIFS(Data!$G:$G,Data!$A:$A,$A21,Data!$F:$F,"gen_coal_twh")</f>
        <v/>
      </c>
      <c r="E21" s="16">
        <f>SUMIFS(Data!$G:$G,Data!$A:$A,$A21,Data!$F:$F,"gen_gas_twh")</f>
        <v/>
      </c>
      <c r="F21" s="16">
        <f>SUMIFS(Data!$G:$G,Data!$A:$A,$A21,Data!$F:$F,"gen_oil_twh")</f>
        <v/>
      </c>
      <c r="G21" s="16">
        <f>SUMIFS(Data!$G:$G,Data!$A:$A,$A21,Data!$F:$F,"gen_total_twh")</f>
        <v/>
      </c>
      <c r="H21" s="16">
        <f>SUMIFS(Data!$G:$G,Data!$A:$A,$A21,Data!$F:$F,"em_coal_mt")</f>
        <v/>
      </c>
      <c r="I21" s="16">
        <f>SUMIFS(Data!$G:$G,Data!$A:$A,$A21,Data!$F:$F,"em_gas_mt")</f>
        <v/>
      </c>
      <c r="J21" s="16">
        <f>SUMIFS(Data!$G:$G,Data!$A:$A,$A21,Data!$F:$F,"em_oil_mt")</f>
        <v/>
      </c>
      <c r="K21" s="28">
        <f>IF(COUNTIFS(Data!$A:$A,$A21,Data!$F:$F,"price_electricity_residential_usd_kwh")=0,"",SUMIFS(Data!$G:$G,Data!$A:$A,$A21,Data!$F:$F,"price_electricity_residential_usd_kwh"))</f>
        <v/>
      </c>
      <c r="L21" s="28">
        <f>IF(COUNTIFS(Data!$A:$A,$A21,Data!$F:$F,"price_coal_power_usd_gj")=0,"",SUMIFS(Data!$G:$G,Data!$A:$A,$A21,Data!$F:$F,"price_coal_power_usd_gj"))</f>
        <v/>
      </c>
      <c r="M21" s="28">
        <f>IF(COUNTIFS(Data!$A:$A,$A21,Data!$F:$F,"price_gas_power_usd_gj")=0,"",SUMIFS(Data!$G:$G,Data!$A:$A,$A21,Data!$F:$F,"price_gas_power_usd_gj"))</f>
        <v/>
      </c>
      <c r="N21" s="28">
        <f>IF(COUNTIFS(Data!$A:$A,$A21,Data!$F:$F,"price_gas_industry_usd_gj")=0,"",SUMIFS(Data!$G:$G,Data!$A:$A,$A21,Data!$F:$F,"price_gas_industry_usd_gj"))</f>
        <v/>
      </c>
      <c r="O21" s="28">
        <f>IF(COUNTIFS(Data!$A:$A,$A21,Data!$F:$F,"power_market_structure")=0,"",SUMIFS(Data!$G:$G,Data!$A:$A,$A21,Data!$F:$F,"power_market_structure"))</f>
        <v/>
      </c>
      <c r="P21" s="28">
        <f>IF(COUNTIFS(Data!$A:$A,$A21,Data!$F:$F,"rise_renewable_energy_score")=0,"",SUMIFS(Data!$G:$G,Data!$A:$A,$A21,Data!$F:$F,"rise_renewable_energy_score"))</f>
        <v/>
      </c>
      <c r="Q21" s="16">
        <f>H21+I21+J21</f>
        <v/>
      </c>
      <c r="R21" s="28">
        <f>Q21/G21</f>
        <v/>
      </c>
      <c r="S21" s="28">
        <f>IF(D21&gt;0,H21/D21,0.85)</f>
        <v/>
      </c>
      <c r="T21" s="28">
        <f>IF(E21&gt;0,I21/E21,0.4)</f>
        <v/>
      </c>
      <c r="U21" s="28">
        <f>IF(D21+F21&gt;0,(H21+J21)/(D21+F21),0)</f>
        <v/>
      </c>
      <c r="V21" s="16">
        <f>K21*1000</f>
        <v/>
      </c>
      <c r="W21" s="15">
        <f>IF(O21=3,in_pt3,IF(O21=2,in_pt2,IF(O21=1,in_pt1,IF(C21="High income",in_pt_hi,in_pt_oth))))</f>
        <v/>
      </c>
      <c r="X21" s="28">
        <f>IF(Q21&gt;0,in_kappa*(in_rise_lo+(in_rise_hi-in_rise_lo)*IF(P21="",in_rise_miss,P21)/100)*(D21+F21)*MAX(U21-in_gas_rep*T21,0)/Q21,0)</f>
        <v/>
      </c>
      <c r="Y21" s="16">
        <f>IF(IF(M21="",N21,M21)="",MAX(in_sw_floor,in_sw_miss),MAX(in_sw_floor,(IF(M21="",N21,M21)*in_hr_gas-L21*in_hr_coal)/MAX(S21-T21,0.1)))</f>
        <v/>
      </c>
      <c r="Z21" s="28">
        <f>IF(C21="Low income",in_b40_li,IF(C21="Lower middle income",in_b40_lmi,IF(C21="Upper middle income",in_b40_umi,IF(C21="High income",in_b40_hi,0.03))))</f>
        <v/>
      </c>
      <c r="AA21" s="15">
        <f>(D21+F21)/G21</f>
        <v/>
      </c>
      <c r="AB21" s="28">
        <f>100*W21*R21/V21/in_phase</f>
        <v/>
      </c>
      <c r="AC21" s="29">
        <f>100*Z21*W21*R21/V21*(1-IF(W21&gt;0,MIN(in_rebate/(W21*in_res_sh*in_q40),1),1))</f>
        <v/>
      </c>
      <c r="AD21" s="28">
        <f>IF(AA21&gt;0,100*U21*(1-W21)/(in_whole_sh*V21),0)</f>
        <v/>
      </c>
      <c r="AE21" s="28">
        <f>IF(AA21&gt;0,100*MAX(U21-R21,0)/(in_whole_sh*V21),0)</f>
        <v/>
      </c>
      <c r="AF21" s="16">
        <f>IF(AB21&gt;0,in_f1/AB21,in_cap)</f>
        <v/>
      </c>
      <c r="AG21" s="16">
        <f>IF(AC21&gt;0,in_f2/AC21,in_cap)</f>
        <v/>
      </c>
      <c r="AH21" s="16">
        <f>IF(AD21&gt;0,in_f3/AD21,in_cap)</f>
        <v/>
      </c>
      <c r="AI21" s="16">
        <f>MIN(in_cap,AF21,AG21,AH21)</f>
        <v/>
      </c>
      <c r="AJ21" s="30">
        <f>100*(1-(1-X21*(1-EXP(-((AI21)+(0))/Y21)))*(1-MIN(ABS(in_elas)*W21*R21*(AI21)/V21,1)))</f>
        <v/>
      </c>
      <c r="AK21" s="17">
        <f>IF(AI21&gt;=in_cap-1E-9,"rate cap",TRIM(IF(ABS(AI21-AF21)&lt;1E-9,"F1 ","")&amp;IF(ABS(AI21-AG21)&lt;1E-9,"F2 ","")&amp;IF(ABS(AI21-AH21)&lt;1E-9,"F3","")))</f>
        <v/>
      </c>
      <c r="AL21" s="15">
        <f>100*(1-(1-X21*(1-EXP(-((MIN(in_cap,IF(AB21&gt;0,(in_f1+1)/AB21,in_cap),AG21,AH21))+(0))/Y21)))*(1-MIN(ABS(in_elas)*W21*R21*(MIN(in_cap,IF(AB21&gt;0,(in_f1+1)/AB21,in_cap),AG21,AH21))/V21,1)))-AJ21</f>
        <v/>
      </c>
      <c r="AM21" s="16">
        <f>MIN(in_cap,IF(AE21&gt;0,in_f3/AE21,in_cap))</f>
        <v/>
      </c>
      <c r="AN21" s="30">
        <f>100*(1-(1-X21*(1-EXP(-((0)+(AM21))/Y21)))*(1-MIN(ABS(in_elas)*W21*R21*(0)/V21,1)))</f>
        <v/>
      </c>
      <c r="AO21" s="17">
        <f>IF(AM21&gt;=in_cap-1E-9,"rate cap","F3")</f>
        <v/>
      </c>
      <c r="AP21" s="15">
        <f>100*(1-(1-X21*(1-EXP(-((50)+(0))/Y21)))*(1-MIN(ABS(in_elas)*W21*R21*(50)/V21,1)))</f>
        <v/>
      </c>
      <c r="AQ21" s="15">
        <f>100*(1-(1-X21*(1-EXP(-((0)+(50))/Y21)))*(1-MIN(ABS(in_elas)*W21*R21*(0)/V21,1)))</f>
        <v/>
      </c>
      <c r="AR21" s="15">
        <f>IF(AP21&gt;0,AQ21/AP21,"")</f>
        <v/>
      </c>
      <c r="AS21" s="16">
        <f>50*AB21</f>
        <v/>
      </c>
      <c r="AT21" s="30">
        <f>MAX(BM21:BW21)</f>
        <v/>
      </c>
      <c r="AU21" s="31">
        <f>AI21*(MATCH(AT21,BM21:BW21,0)-1)/10</f>
        <v/>
      </c>
      <c r="AV21" s="31">
        <f>INDEX(BB21:BL21,1,(MATCH(AT21,BM21:BW21,0)-1)+1)</f>
        <v/>
      </c>
      <c r="AW21" s="31">
        <f>AB21*AU21</f>
        <v/>
      </c>
      <c r="AX21" s="30">
        <f>AC21*AU21</f>
        <v/>
      </c>
      <c r="AY21" s="31">
        <f>AD21*AU21+AE21*AV21</f>
        <v/>
      </c>
      <c r="AZ21" s="32">
        <f>TRIM(IF(AND(AU21&gt;0,ABS(AU21-AF21)&lt;1E-6),"F1 ","")&amp;IF(AND(AU21&gt;0,ABS(AU21-AG21)&lt;1E-6),"F2 ","")&amp;IF(AY21&gt;=in_f3-1E-6,"F3 ","")&amp;IF(AV21&gt;=in_cap-1E-9,"rate cap",""))</f>
        <v/>
      </c>
      <c r="BA21" s="31">
        <f>Q21*AT21/100</f>
        <v/>
      </c>
      <c r="BB21" s="16">
        <f>MAX(0,MIN(in_cap,IF(AE21&gt;0,(in_f3-AD21*AI21*0/10)/AE21,in_cap)))</f>
        <v/>
      </c>
      <c r="BC21" s="16">
        <f>MAX(0,MIN(in_cap,IF(AE21&gt;0,(in_f3-AD21*AI21*1/10)/AE21,in_cap)))</f>
        <v/>
      </c>
      <c r="BD21" s="16">
        <f>MAX(0,MIN(in_cap,IF(AE21&gt;0,(in_f3-AD21*AI21*2/10)/AE21,in_cap)))</f>
        <v/>
      </c>
      <c r="BE21" s="16">
        <f>MAX(0,MIN(in_cap,IF(AE21&gt;0,(in_f3-AD21*AI21*3/10)/AE21,in_cap)))</f>
        <v/>
      </c>
      <c r="BF21" s="16">
        <f>MAX(0,MIN(in_cap,IF(AE21&gt;0,(in_f3-AD21*AI21*4/10)/AE21,in_cap)))</f>
        <v/>
      </c>
      <c r="BG21" s="16">
        <f>MAX(0,MIN(in_cap,IF(AE21&gt;0,(in_f3-AD21*AI21*5/10)/AE21,in_cap)))</f>
        <v/>
      </c>
      <c r="BH21" s="16">
        <f>MAX(0,MIN(in_cap,IF(AE21&gt;0,(in_f3-AD21*AI21*6/10)/AE21,in_cap)))</f>
        <v/>
      </c>
      <c r="BI21" s="16">
        <f>MAX(0,MIN(in_cap,IF(AE21&gt;0,(in_f3-AD21*AI21*7/10)/AE21,in_cap)))</f>
        <v/>
      </c>
      <c r="BJ21" s="16">
        <f>MAX(0,MIN(in_cap,IF(AE21&gt;0,(in_f3-AD21*AI21*8/10)/AE21,in_cap)))</f>
        <v/>
      </c>
      <c r="BK21" s="16">
        <f>MAX(0,MIN(in_cap,IF(AE21&gt;0,(in_f3-AD21*AI21*9/10)/AE21,in_cap)))</f>
        <v/>
      </c>
      <c r="BL21" s="16">
        <f>MAX(0,MIN(in_cap,IF(AE21&gt;0,(in_f3-AD21*AI21*10/10)/AE21,in_cap)))</f>
        <v/>
      </c>
      <c r="BM21" s="15">
        <f>100*(1-(1-X21*(1-EXP(-((AI21*0/10)+(BB21))/Y21)))*(1-MIN(ABS(in_elas)*W21*R21*(AI21*0/10)/V21,1)))</f>
        <v/>
      </c>
      <c r="BN21" s="15">
        <f>100*(1-(1-X21*(1-EXP(-((AI21*1/10)+(BC21))/Y21)))*(1-MIN(ABS(in_elas)*W21*R21*(AI21*1/10)/V21,1)))</f>
        <v/>
      </c>
      <c r="BO21" s="15">
        <f>100*(1-(1-X21*(1-EXP(-((AI21*2/10)+(BD21))/Y21)))*(1-MIN(ABS(in_elas)*W21*R21*(AI21*2/10)/V21,1)))</f>
        <v/>
      </c>
      <c r="BP21" s="15">
        <f>100*(1-(1-X21*(1-EXP(-((AI21*3/10)+(BE21))/Y21)))*(1-MIN(ABS(in_elas)*W21*R21*(AI21*3/10)/V21,1)))</f>
        <v/>
      </c>
      <c r="BQ21" s="15">
        <f>100*(1-(1-X21*(1-EXP(-((AI21*4/10)+(BF21))/Y21)))*(1-MIN(ABS(in_elas)*W21*R21*(AI21*4/10)/V21,1)))</f>
        <v/>
      </c>
      <c r="BR21" s="15">
        <f>100*(1-(1-X21*(1-EXP(-((AI21*5/10)+(BG21))/Y21)))*(1-MIN(ABS(in_elas)*W21*R21*(AI21*5/10)/V21,1)))</f>
        <v/>
      </c>
      <c r="BS21" s="15">
        <f>100*(1-(1-X21*(1-EXP(-((AI21*6/10)+(BH21))/Y21)))*(1-MIN(ABS(in_elas)*W21*R21*(AI21*6/10)/V21,1)))</f>
        <v/>
      </c>
      <c r="BT21" s="15">
        <f>100*(1-(1-X21*(1-EXP(-((AI21*7/10)+(BI21))/Y21)))*(1-MIN(ABS(in_elas)*W21*R21*(AI21*7/10)/V21,1)))</f>
        <v/>
      </c>
      <c r="BU21" s="15">
        <f>100*(1-(1-X21*(1-EXP(-((AI21*8/10)+(BJ21))/Y21)))*(1-MIN(ABS(in_elas)*W21*R21*(AI21*8/10)/V21,1)))</f>
        <v/>
      </c>
      <c r="BV21" s="15">
        <f>100*(1-(1-X21*(1-EXP(-((AI21*9/10)+(BK21))/Y21)))*(1-MIN(ABS(in_elas)*W21*R21*(AI21*9/10)/V21,1)))</f>
        <v/>
      </c>
      <c r="BW21" s="15">
        <f>100*(1-(1-X21*(1-EXP(-((AI21*10/10)+(BL21))/Y21)))*(1-MIN(ABS(in_elas)*W21*R21*(AI21*10/10)/V21,1)))</f>
        <v/>
      </c>
    </row>
    <row r="22">
      <c r="A22" s="17" t="inlineStr">
        <is>
          <t>BHS</t>
        </is>
      </c>
      <c r="B22" s="17">
        <f>INDEX(Data!$B:$B,MATCH($A22,Data!$A:$A,0))</f>
        <v/>
      </c>
      <c r="C22" s="17">
        <f>INDEX(Data!$D:$D,MATCH($A22,Data!$A:$A,0))</f>
        <v/>
      </c>
      <c r="D22" s="16">
        <f>SUMIFS(Data!$G:$G,Data!$A:$A,$A22,Data!$F:$F,"gen_coal_twh")</f>
        <v/>
      </c>
      <c r="E22" s="16">
        <f>SUMIFS(Data!$G:$G,Data!$A:$A,$A22,Data!$F:$F,"gen_gas_twh")</f>
        <v/>
      </c>
      <c r="F22" s="16">
        <f>SUMIFS(Data!$G:$G,Data!$A:$A,$A22,Data!$F:$F,"gen_oil_twh")</f>
        <v/>
      </c>
      <c r="G22" s="16">
        <f>SUMIFS(Data!$G:$G,Data!$A:$A,$A22,Data!$F:$F,"gen_total_twh")</f>
        <v/>
      </c>
      <c r="H22" s="16">
        <f>SUMIFS(Data!$G:$G,Data!$A:$A,$A22,Data!$F:$F,"em_coal_mt")</f>
        <v/>
      </c>
      <c r="I22" s="16">
        <f>SUMIFS(Data!$G:$G,Data!$A:$A,$A22,Data!$F:$F,"em_gas_mt")</f>
        <v/>
      </c>
      <c r="J22" s="16">
        <f>SUMIFS(Data!$G:$G,Data!$A:$A,$A22,Data!$F:$F,"em_oil_mt")</f>
        <v/>
      </c>
      <c r="K22" s="28">
        <f>IF(COUNTIFS(Data!$A:$A,$A22,Data!$F:$F,"price_electricity_residential_usd_kwh")=0,"",SUMIFS(Data!$G:$G,Data!$A:$A,$A22,Data!$F:$F,"price_electricity_residential_usd_kwh"))</f>
        <v/>
      </c>
      <c r="L22" s="28">
        <f>IF(COUNTIFS(Data!$A:$A,$A22,Data!$F:$F,"price_coal_power_usd_gj")=0,"",SUMIFS(Data!$G:$G,Data!$A:$A,$A22,Data!$F:$F,"price_coal_power_usd_gj"))</f>
        <v/>
      </c>
      <c r="M22" s="28">
        <f>IF(COUNTIFS(Data!$A:$A,$A22,Data!$F:$F,"price_gas_power_usd_gj")=0,"",SUMIFS(Data!$G:$G,Data!$A:$A,$A22,Data!$F:$F,"price_gas_power_usd_gj"))</f>
        <v/>
      </c>
      <c r="N22" s="28">
        <f>IF(COUNTIFS(Data!$A:$A,$A22,Data!$F:$F,"price_gas_industry_usd_gj")=0,"",SUMIFS(Data!$G:$G,Data!$A:$A,$A22,Data!$F:$F,"price_gas_industry_usd_gj"))</f>
        <v/>
      </c>
      <c r="O22" s="28">
        <f>IF(COUNTIFS(Data!$A:$A,$A22,Data!$F:$F,"power_market_structure")=0,"",SUMIFS(Data!$G:$G,Data!$A:$A,$A22,Data!$F:$F,"power_market_structure"))</f>
        <v/>
      </c>
      <c r="P22" s="28">
        <f>IF(COUNTIFS(Data!$A:$A,$A22,Data!$F:$F,"rise_renewable_energy_score")=0,"",SUMIFS(Data!$G:$G,Data!$A:$A,$A22,Data!$F:$F,"rise_renewable_energy_score"))</f>
        <v/>
      </c>
      <c r="Q22" s="16">
        <f>H22+I22+J22</f>
        <v/>
      </c>
      <c r="R22" s="28">
        <f>Q22/G22</f>
        <v/>
      </c>
      <c r="S22" s="28">
        <f>IF(D22&gt;0,H22/D22,0.85)</f>
        <v/>
      </c>
      <c r="T22" s="28">
        <f>IF(E22&gt;0,I22/E22,0.4)</f>
        <v/>
      </c>
      <c r="U22" s="28">
        <f>IF(D22+F22&gt;0,(H22+J22)/(D22+F22),0)</f>
        <v/>
      </c>
      <c r="V22" s="16">
        <f>K22*1000</f>
        <v/>
      </c>
      <c r="W22" s="15">
        <f>IF(O22=3,in_pt3,IF(O22=2,in_pt2,IF(O22=1,in_pt1,IF(C22="High income",in_pt_hi,in_pt_oth))))</f>
        <v/>
      </c>
      <c r="X22" s="28">
        <f>IF(Q22&gt;0,in_kappa*(in_rise_lo+(in_rise_hi-in_rise_lo)*IF(P22="",in_rise_miss,P22)/100)*(D22+F22)*MAX(U22-in_gas_rep*T22,0)/Q22,0)</f>
        <v/>
      </c>
      <c r="Y22" s="16">
        <f>IF(IF(M22="",N22,M22)="",MAX(in_sw_floor,in_sw_miss),MAX(in_sw_floor,(IF(M22="",N22,M22)*in_hr_gas-L22*in_hr_coal)/MAX(S22-T22,0.1)))</f>
        <v/>
      </c>
      <c r="Z22" s="28">
        <f>IF(C22="Low income",in_b40_li,IF(C22="Lower middle income",in_b40_lmi,IF(C22="Upper middle income",in_b40_umi,IF(C22="High income",in_b40_hi,0.03))))</f>
        <v/>
      </c>
      <c r="AA22" s="15">
        <f>(D22+F22)/G22</f>
        <v/>
      </c>
      <c r="AB22" s="28">
        <f>100*W22*R22/V22/in_phase</f>
        <v/>
      </c>
      <c r="AC22" s="29">
        <f>100*Z22*W22*R22/V22*(1-IF(W22&gt;0,MIN(in_rebate/(W22*in_res_sh*in_q40),1),1))</f>
        <v/>
      </c>
      <c r="AD22" s="28">
        <f>IF(AA22&gt;0,100*U22*(1-W22)/(in_whole_sh*V22),0)</f>
        <v/>
      </c>
      <c r="AE22" s="28">
        <f>IF(AA22&gt;0,100*MAX(U22-R22,0)/(in_whole_sh*V22),0)</f>
        <v/>
      </c>
      <c r="AF22" s="16">
        <f>IF(AB22&gt;0,in_f1/AB22,in_cap)</f>
        <v/>
      </c>
      <c r="AG22" s="16">
        <f>IF(AC22&gt;0,in_f2/AC22,in_cap)</f>
        <v/>
      </c>
      <c r="AH22" s="16">
        <f>IF(AD22&gt;0,in_f3/AD22,in_cap)</f>
        <v/>
      </c>
      <c r="AI22" s="16">
        <f>MIN(in_cap,AF22,AG22,AH22)</f>
        <v/>
      </c>
      <c r="AJ22" s="30">
        <f>100*(1-(1-X22*(1-EXP(-((AI22)+(0))/Y22)))*(1-MIN(ABS(in_elas)*W22*R22*(AI22)/V22,1)))</f>
        <v/>
      </c>
      <c r="AK22" s="17">
        <f>IF(AI22&gt;=in_cap-1E-9,"rate cap",TRIM(IF(ABS(AI22-AF22)&lt;1E-9,"F1 ","")&amp;IF(ABS(AI22-AG22)&lt;1E-9,"F2 ","")&amp;IF(ABS(AI22-AH22)&lt;1E-9,"F3","")))</f>
        <v/>
      </c>
      <c r="AL22" s="15">
        <f>100*(1-(1-X22*(1-EXP(-((MIN(in_cap,IF(AB22&gt;0,(in_f1+1)/AB22,in_cap),AG22,AH22))+(0))/Y22)))*(1-MIN(ABS(in_elas)*W22*R22*(MIN(in_cap,IF(AB22&gt;0,(in_f1+1)/AB22,in_cap),AG22,AH22))/V22,1)))-AJ22</f>
        <v/>
      </c>
      <c r="AM22" s="16">
        <f>MIN(in_cap,IF(AE22&gt;0,in_f3/AE22,in_cap))</f>
        <v/>
      </c>
      <c r="AN22" s="30">
        <f>100*(1-(1-X22*(1-EXP(-((0)+(AM22))/Y22)))*(1-MIN(ABS(in_elas)*W22*R22*(0)/V22,1)))</f>
        <v/>
      </c>
      <c r="AO22" s="17">
        <f>IF(AM22&gt;=in_cap-1E-9,"rate cap","F3")</f>
        <v/>
      </c>
      <c r="AP22" s="15">
        <f>100*(1-(1-X22*(1-EXP(-((50)+(0))/Y22)))*(1-MIN(ABS(in_elas)*W22*R22*(50)/V22,1)))</f>
        <v/>
      </c>
      <c r="AQ22" s="15">
        <f>100*(1-(1-X22*(1-EXP(-((0)+(50))/Y22)))*(1-MIN(ABS(in_elas)*W22*R22*(0)/V22,1)))</f>
        <v/>
      </c>
      <c r="AR22" s="15">
        <f>IF(AP22&gt;0,AQ22/AP22,"")</f>
        <v/>
      </c>
      <c r="AS22" s="16">
        <f>50*AB22</f>
        <v/>
      </c>
      <c r="AT22" s="30">
        <f>MAX(BM22:BW22)</f>
        <v/>
      </c>
      <c r="AU22" s="31">
        <f>AI22*(MATCH(AT22,BM22:BW22,0)-1)/10</f>
        <v/>
      </c>
      <c r="AV22" s="31">
        <f>INDEX(BB22:BL22,1,(MATCH(AT22,BM22:BW22,0)-1)+1)</f>
        <v/>
      </c>
      <c r="AW22" s="31">
        <f>AB22*AU22</f>
        <v/>
      </c>
      <c r="AX22" s="30">
        <f>AC22*AU22</f>
        <v/>
      </c>
      <c r="AY22" s="31">
        <f>AD22*AU22+AE22*AV22</f>
        <v/>
      </c>
      <c r="AZ22" s="32">
        <f>TRIM(IF(AND(AU22&gt;0,ABS(AU22-AF22)&lt;1E-6),"F1 ","")&amp;IF(AND(AU22&gt;0,ABS(AU22-AG22)&lt;1E-6),"F2 ","")&amp;IF(AY22&gt;=in_f3-1E-6,"F3 ","")&amp;IF(AV22&gt;=in_cap-1E-9,"rate cap",""))</f>
        <v/>
      </c>
      <c r="BA22" s="31">
        <f>Q22*AT22/100</f>
        <v/>
      </c>
      <c r="BB22" s="16">
        <f>MAX(0,MIN(in_cap,IF(AE22&gt;0,(in_f3-AD22*AI22*0/10)/AE22,in_cap)))</f>
        <v/>
      </c>
      <c r="BC22" s="16">
        <f>MAX(0,MIN(in_cap,IF(AE22&gt;0,(in_f3-AD22*AI22*1/10)/AE22,in_cap)))</f>
        <v/>
      </c>
      <c r="BD22" s="16">
        <f>MAX(0,MIN(in_cap,IF(AE22&gt;0,(in_f3-AD22*AI22*2/10)/AE22,in_cap)))</f>
        <v/>
      </c>
      <c r="BE22" s="16">
        <f>MAX(0,MIN(in_cap,IF(AE22&gt;0,(in_f3-AD22*AI22*3/10)/AE22,in_cap)))</f>
        <v/>
      </c>
      <c r="BF22" s="16">
        <f>MAX(0,MIN(in_cap,IF(AE22&gt;0,(in_f3-AD22*AI22*4/10)/AE22,in_cap)))</f>
        <v/>
      </c>
      <c r="BG22" s="16">
        <f>MAX(0,MIN(in_cap,IF(AE22&gt;0,(in_f3-AD22*AI22*5/10)/AE22,in_cap)))</f>
        <v/>
      </c>
      <c r="BH22" s="16">
        <f>MAX(0,MIN(in_cap,IF(AE22&gt;0,(in_f3-AD22*AI22*6/10)/AE22,in_cap)))</f>
        <v/>
      </c>
      <c r="BI22" s="16">
        <f>MAX(0,MIN(in_cap,IF(AE22&gt;0,(in_f3-AD22*AI22*7/10)/AE22,in_cap)))</f>
        <v/>
      </c>
      <c r="BJ22" s="16">
        <f>MAX(0,MIN(in_cap,IF(AE22&gt;0,(in_f3-AD22*AI22*8/10)/AE22,in_cap)))</f>
        <v/>
      </c>
      <c r="BK22" s="16">
        <f>MAX(0,MIN(in_cap,IF(AE22&gt;0,(in_f3-AD22*AI22*9/10)/AE22,in_cap)))</f>
        <v/>
      </c>
      <c r="BL22" s="16">
        <f>MAX(0,MIN(in_cap,IF(AE22&gt;0,(in_f3-AD22*AI22*10/10)/AE22,in_cap)))</f>
        <v/>
      </c>
      <c r="BM22" s="15">
        <f>100*(1-(1-X22*(1-EXP(-((AI22*0/10)+(BB22))/Y22)))*(1-MIN(ABS(in_elas)*W22*R22*(AI22*0/10)/V22,1)))</f>
        <v/>
      </c>
      <c r="BN22" s="15">
        <f>100*(1-(1-X22*(1-EXP(-((AI22*1/10)+(BC22))/Y22)))*(1-MIN(ABS(in_elas)*W22*R22*(AI22*1/10)/V22,1)))</f>
        <v/>
      </c>
      <c r="BO22" s="15">
        <f>100*(1-(1-X22*(1-EXP(-((AI22*2/10)+(BD22))/Y22)))*(1-MIN(ABS(in_elas)*W22*R22*(AI22*2/10)/V22,1)))</f>
        <v/>
      </c>
      <c r="BP22" s="15">
        <f>100*(1-(1-X22*(1-EXP(-((AI22*3/10)+(BE22))/Y22)))*(1-MIN(ABS(in_elas)*W22*R22*(AI22*3/10)/V22,1)))</f>
        <v/>
      </c>
      <c r="BQ22" s="15">
        <f>100*(1-(1-X22*(1-EXP(-((AI22*4/10)+(BF22))/Y22)))*(1-MIN(ABS(in_elas)*W22*R22*(AI22*4/10)/V22,1)))</f>
        <v/>
      </c>
      <c r="BR22" s="15">
        <f>100*(1-(1-X22*(1-EXP(-((AI22*5/10)+(BG22))/Y22)))*(1-MIN(ABS(in_elas)*W22*R22*(AI22*5/10)/V22,1)))</f>
        <v/>
      </c>
      <c r="BS22" s="15">
        <f>100*(1-(1-X22*(1-EXP(-((AI22*6/10)+(BH22))/Y22)))*(1-MIN(ABS(in_elas)*W22*R22*(AI22*6/10)/V22,1)))</f>
        <v/>
      </c>
      <c r="BT22" s="15">
        <f>100*(1-(1-X22*(1-EXP(-((AI22*7/10)+(BI22))/Y22)))*(1-MIN(ABS(in_elas)*W22*R22*(AI22*7/10)/V22,1)))</f>
        <v/>
      </c>
      <c r="BU22" s="15">
        <f>100*(1-(1-X22*(1-EXP(-((AI22*8/10)+(BJ22))/Y22)))*(1-MIN(ABS(in_elas)*W22*R22*(AI22*8/10)/V22,1)))</f>
        <v/>
      </c>
      <c r="BV22" s="15">
        <f>100*(1-(1-X22*(1-EXP(-((AI22*9/10)+(BK22))/Y22)))*(1-MIN(ABS(in_elas)*W22*R22*(AI22*9/10)/V22,1)))</f>
        <v/>
      </c>
      <c r="BW22" s="15">
        <f>100*(1-(1-X22*(1-EXP(-((AI22*10/10)+(BL22))/Y22)))*(1-MIN(ABS(in_elas)*W22*R22*(AI22*10/10)/V22,1)))</f>
        <v/>
      </c>
    </row>
    <row r="23">
      <c r="A23" s="17" t="inlineStr">
        <is>
          <t>BIH</t>
        </is>
      </c>
      <c r="B23" s="17">
        <f>INDEX(Data!$B:$B,MATCH($A23,Data!$A:$A,0))</f>
        <v/>
      </c>
      <c r="C23" s="17">
        <f>INDEX(Data!$D:$D,MATCH($A23,Data!$A:$A,0))</f>
        <v/>
      </c>
      <c r="D23" s="16">
        <f>SUMIFS(Data!$G:$G,Data!$A:$A,$A23,Data!$F:$F,"gen_coal_twh")</f>
        <v/>
      </c>
      <c r="E23" s="16">
        <f>SUMIFS(Data!$G:$G,Data!$A:$A,$A23,Data!$F:$F,"gen_gas_twh")</f>
        <v/>
      </c>
      <c r="F23" s="16">
        <f>SUMIFS(Data!$G:$G,Data!$A:$A,$A23,Data!$F:$F,"gen_oil_twh")</f>
        <v/>
      </c>
      <c r="G23" s="16">
        <f>SUMIFS(Data!$G:$G,Data!$A:$A,$A23,Data!$F:$F,"gen_total_twh")</f>
        <v/>
      </c>
      <c r="H23" s="16">
        <f>SUMIFS(Data!$G:$G,Data!$A:$A,$A23,Data!$F:$F,"em_coal_mt")</f>
        <v/>
      </c>
      <c r="I23" s="16">
        <f>SUMIFS(Data!$G:$G,Data!$A:$A,$A23,Data!$F:$F,"em_gas_mt")</f>
        <v/>
      </c>
      <c r="J23" s="16">
        <f>SUMIFS(Data!$G:$G,Data!$A:$A,$A23,Data!$F:$F,"em_oil_mt")</f>
        <v/>
      </c>
      <c r="K23" s="28">
        <f>IF(COUNTIFS(Data!$A:$A,$A23,Data!$F:$F,"price_electricity_residential_usd_kwh")=0,"",SUMIFS(Data!$G:$G,Data!$A:$A,$A23,Data!$F:$F,"price_electricity_residential_usd_kwh"))</f>
        <v/>
      </c>
      <c r="L23" s="28">
        <f>IF(COUNTIFS(Data!$A:$A,$A23,Data!$F:$F,"price_coal_power_usd_gj")=0,"",SUMIFS(Data!$G:$G,Data!$A:$A,$A23,Data!$F:$F,"price_coal_power_usd_gj"))</f>
        <v/>
      </c>
      <c r="M23" s="28">
        <f>IF(COUNTIFS(Data!$A:$A,$A23,Data!$F:$F,"price_gas_power_usd_gj")=0,"",SUMIFS(Data!$G:$G,Data!$A:$A,$A23,Data!$F:$F,"price_gas_power_usd_gj"))</f>
        <v/>
      </c>
      <c r="N23" s="28">
        <f>IF(COUNTIFS(Data!$A:$A,$A23,Data!$F:$F,"price_gas_industry_usd_gj")=0,"",SUMIFS(Data!$G:$G,Data!$A:$A,$A23,Data!$F:$F,"price_gas_industry_usd_gj"))</f>
        <v/>
      </c>
      <c r="O23" s="28">
        <f>IF(COUNTIFS(Data!$A:$A,$A23,Data!$F:$F,"power_market_structure")=0,"",SUMIFS(Data!$G:$G,Data!$A:$A,$A23,Data!$F:$F,"power_market_structure"))</f>
        <v/>
      </c>
      <c r="P23" s="28">
        <f>IF(COUNTIFS(Data!$A:$A,$A23,Data!$F:$F,"rise_renewable_energy_score")=0,"",SUMIFS(Data!$G:$G,Data!$A:$A,$A23,Data!$F:$F,"rise_renewable_energy_score"))</f>
        <v/>
      </c>
      <c r="Q23" s="16">
        <f>H23+I23+J23</f>
        <v/>
      </c>
      <c r="R23" s="28">
        <f>Q23/G23</f>
        <v/>
      </c>
      <c r="S23" s="28">
        <f>IF(D23&gt;0,H23/D23,0.85)</f>
        <v/>
      </c>
      <c r="T23" s="28">
        <f>IF(E23&gt;0,I23/E23,0.4)</f>
        <v/>
      </c>
      <c r="U23" s="28">
        <f>IF(D23+F23&gt;0,(H23+J23)/(D23+F23),0)</f>
        <v/>
      </c>
      <c r="V23" s="16">
        <f>K23*1000</f>
        <v/>
      </c>
      <c r="W23" s="15">
        <f>IF(O23=3,in_pt3,IF(O23=2,in_pt2,IF(O23=1,in_pt1,IF(C23="High income",in_pt_hi,in_pt_oth))))</f>
        <v/>
      </c>
      <c r="X23" s="28">
        <f>IF(Q23&gt;0,in_kappa*(in_rise_lo+(in_rise_hi-in_rise_lo)*IF(P23="",in_rise_miss,P23)/100)*(D23+F23)*MAX(U23-in_gas_rep*T23,0)/Q23,0)</f>
        <v/>
      </c>
      <c r="Y23" s="16">
        <f>IF(IF(M23="",N23,M23)="",MAX(in_sw_floor,in_sw_miss),MAX(in_sw_floor,(IF(M23="",N23,M23)*in_hr_gas-L23*in_hr_coal)/MAX(S23-T23,0.1)))</f>
        <v/>
      </c>
      <c r="Z23" s="28">
        <f>IF(C23="Low income",in_b40_li,IF(C23="Lower middle income",in_b40_lmi,IF(C23="Upper middle income",in_b40_umi,IF(C23="High income",in_b40_hi,0.03))))</f>
        <v/>
      </c>
      <c r="AA23" s="15">
        <f>(D23+F23)/G23</f>
        <v/>
      </c>
      <c r="AB23" s="28">
        <f>100*W23*R23/V23/in_phase</f>
        <v/>
      </c>
      <c r="AC23" s="29">
        <f>100*Z23*W23*R23/V23*(1-IF(W23&gt;0,MIN(in_rebate/(W23*in_res_sh*in_q40),1),1))</f>
        <v/>
      </c>
      <c r="AD23" s="28">
        <f>IF(AA23&gt;0,100*U23*(1-W23)/(in_whole_sh*V23),0)</f>
        <v/>
      </c>
      <c r="AE23" s="28">
        <f>IF(AA23&gt;0,100*MAX(U23-R23,0)/(in_whole_sh*V23),0)</f>
        <v/>
      </c>
      <c r="AF23" s="16">
        <f>IF(AB23&gt;0,in_f1/AB23,in_cap)</f>
        <v/>
      </c>
      <c r="AG23" s="16">
        <f>IF(AC23&gt;0,in_f2/AC23,in_cap)</f>
        <v/>
      </c>
      <c r="AH23" s="16">
        <f>IF(AD23&gt;0,in_f3/AD23,in_cap)</f>
        <v/>
      </c>
      <c r="AI23" s="16">
        <f>MIN(in_cap,AF23,AG23,AH23)</f>
        <v/>
      </c>
      <c r="AJ23" s="30">
        <f>100*(1-(1-X23*(1-EXP(-((AI23)+(0))/Y23)))*(1-MIN(ABS(in_elas)*W23*R23*(AI23)/V23,1)))</f>
        <v/>
      </c>
      <c r="AK23" s="17">
        <f>IF(AI23&gt;=in_cap-1E-9,"rate cap",TRIM(IF(ABS(AI23-AF23)&lt;1E-9,"F1 ","")&amp;IF(ABS(AI23-AG23)&lt;1E-9,"F2 ","")&amp;IF(ABS(AI23-AH23)&lt;1E-9,"F3","")))</f>
        <v/>
      </c>
      <c r="AL23" s="15">
        <f>100*(1-(1-X23*(1-EXP(-((MIN(in_cap,IF(AB23&gt;0,(in_f1+1)/AB23,in_cap),AG23,AH23))+(0))/Y23)))*(1-MIN(ABS(in_elas)*W23*R23*(MIN(in_cap,IF(AB23&gt;0,(in_f1+1)/AB23,in_cap),AG23,AH23))/V23,1)))-AJ23</f>
        <v/>
      </c>
      <c r="AM23" s="16">
        <f>MIN(in_cap,IF(AE23&gt;0,in_f3/AE23,in_cap))</f>
        <v/>
      </c>
      <c r="AN23" s="30">
        <f>100*(1-(1-X23*(1-EXP(-((0)+(AM23))/Y23)))*(1-MIN(ABS(in_elas)*W23*R23*(0)/V23,1)))</f>
        <v/>
      </c>
      <c r="AO23" s="17">
        <f>IF(AM23&gt;=in_cap-1E-9,"rate cap","F3")</f>
        <v/>
      </c>
      <c r="AP23" s="15">
        <f>100*(1-(1-X23*(1-EXP(-((50)+(0))/Y23)))*(1-MIN(ABS(in_elas)*W23*R23*(50)/V23,1)))</f>
        <v/>
      </c>
      <c r="AQ23" s="15">
        <f>100*(1-(1-X23*(1-EXP(-((0)+(50))/Y23)))*(1-MIN(ABS(in_elas)*W23*R23*(0)/V23,1)))</f>
        <v/>
      </c>
      <c r="AR23" s="15">
        <f>IF(AP23&gt;0,AQ23/AP23,"")</f>
        <v/>
      </c>
      <c r="AS23" s="16">
        <f>50*AB23</f>
        <v/>
      </c>
      <c r="AT23" s="30">
        <f>MAX(BM23:BW23)</f>
        <v/>
      </c>
      <c r="AU23" s="31">
        <f>AI23*(MATCH(AT23,BM23:BW23,0)-1)/10</f>
        <v/>
      </c>
      <c r="AV23" s="31">
        <f>INDEX(BB23:BL23,1,(MATCH(AT23,BM23:BW23,0)-1)+1)</f>
        <v/>
      </c>
      <c r="AW23" s="31">
        <f>AB23*AU23</f>
        <v/>
      </c>
      <c r="AX23" s="30">
        <f>AC23*AU23</f>
        <v/>
      </c>
      <c r="AY23" s="31">
        <f>AD23*AU23+AE23*AV23</f>
        <v/>
      </c>
      <c r="AZ23" s="32">
        <f>TRIM(IF(AND(AU23&gt;0,ABS(AU23-AF23)&lt;1E-6),"F1 ","")&amp;IF(AND(AU23&gt;0,ABS(AU23-AG23)&lt;1E-6),"F2 ","")&amp;IF(AY23&gt;=in_f3-1E-6,"F3 ","")&amp;IF(AV23&gt;=in_cap-1E-9,"rate cap",""))</f>
        <v/>
      </c>
      <c r="BA23" s="31">
        <f>Q23*AT23/100</f>
        <v/>
      </c>
      <c r="BB23" s="16">
        <f>MAX(0,MIN(in_cap,IF(AE23&gt;0,(in_f3-AD23*AI23*0/10)/AE23,in_cap)))</f>
        <v/>
      </c>
      <c r="BC23" s="16">
        <f>MAX(0,MIN(in_cap,IF(AE23&gt;0,(in_f3-AD23*AI23*1/10)/AE23,in_cap)))</f>
        <v/>
      </c>
      <c r="BD23" s="16">
        <f>MAX(0,MIN(in_cap,IF(AE23&gt;0,(in_f3-AD23*AI23*2/10)/AE23,in_cap)))</f>
        <v/>
      </c>
      <c r="BE23" s="16">
        <f>MAX(0,MIN(in_cap,IF(AE23&gt;0,(in_f3-AD23*AI23*3/10)/AE23,in_cap)))</f>
        <v/>
      </c>
      <c r="BF23" s="16">
        <f>MAX(0,MIN(in_cap,IF(AE23&gt;0,(in_f3-AD23*AI23*4/10)/AE23,in_cap)))</f>
        <v/>
      </c>
      <c r="BG23" s="16">
        <f>MAX(0,MIN(in_cap,IF(AE23&gt;0,(in_f3-AD23*AI23*5/10)/AE23,in_cap)))</f>
        <v/>
      </c>
      <c r="BH23" s="16">
        <f>MAX(0,MIN(in_cap,IF(AE23&gt;0,(in_f3-AD23*AI23*6/10)/AE23,in_cap)))</f>
        <v/>
      </c>
      <c r="BI23" s="16">
        <f>MAX(0,MIN(in_cap,IF(AE23&gt;0,(in_f3-AD23*AI23*7/10)/AE23,in_cap)))</f>
        <v/>
      </c>
      <c r="BJ23" s="16">
        <f>MAX(0,MIN(in_cap,IF(AE23&gt;0,(in_f3-AD23*AI23*8/10)/AE23,in_cap)))</f>
        <v/>
      </c>
      <c r="BK23" s="16">
        <f>MAX(0,MIN(in_cap,IF(AE23&gt;0,(in_f3-AD23*AI23*9/10)/AE23,in_cap)))</f>
        <v/>
      </c>
      <c r="BL23" s="16">
        <f>MAX(0,MIN(in_cap,IF(AE23&gt;0,(in_f3-AD23*AI23*10/10)/AE23,in_cap)))</f>
        <v/>
      </c>
      <c r="BM23" s="15">
        <f>100*(1-(1-X23*(1-EXP(-((AI23*0/10)+(BB23))/Y23)))*(1-MIN(ABS(in_elas)*W23*R23*(AI23*0/10)/V23,1)))</f>
        <v/>
      </c>
      <c r="BN23" s="15">
        <f>100*(1-(1-X23*(1-EXP(-((AI23*1/10)+(BC23))/Y23)))*(1-MIN(ABS(in_elas)*W23*R23*(AI23*1/10)/V23,1)))</f>
        <v/>
      </c>
      <c r="BO23" s="15">
        <f>100*(1-(1-X23*(1-EXP(-((AI23*2/10)+(BD23))/Y23)))*(1-MIN(ABS(in_elas)*W23*R23*(AI23*2/10)/V23,1)))</f>
        <v/>
      </c>
      <c r="BP23" s="15">
        <f>100*(1-(1-X23*(1-EXP(-((AI23*3/10)+(BE23))/Y23)))*(1-MIN(ABS(in_elas)*W23*R23*(AI23*3/10)/V23,1)))</f>
        <v/>
      </c>
      <c r="BQ23" s="15">
        <f>100*(1-(1-X23*(1-EXP(-((AI23*4/10)+(BF23))/Y23)))*(1-MIN(ABS(in_elas)*W23*R23*(AI23*4/10)/V23,1)))</f>
        <v/>
      </c>
      <c r="BR23" s="15">
        <f>100*(1-(1-X23*(1-EXP(-((AI23*5/10)+(BG23))/Y23)))*(1-MIN(ABS(in_elas)*W23*R23*(AI23*5/10)/V23,1)))</f>
        <v/>
      </c>
      <c r="BS23" s="15">
        <f>100*(1-(1-X23*(1-EXP(-((AI23*6/10)+(BH23))/Y23)))*(1-MIN(ABS(in_elas)*W23*R23*(AI23*6/10)/V23,1)))</f>
        <v/>
      </c>
      <c r="BT23" s="15">
        <f>100*(1-(1-X23*(1-EXP(-((AI23*7/10)+(BI23))/Y23)))*(1-MIN(ABS(in_elas)*W23*R23*(AI23*7/10)/V23,1)))</f>
        <v/>
      </c>
      <c r="BU23" s="15">
        <f>100*(1-(1-X23*(1-EXP(-((AI23*8/10)+(BJ23))/Y23)))*(1-MIN(ABS(in_elas)*W23*R23*(AI23*8/10)/V23,1)))</f>
        <v/>
      </c>
      <c r="BV23" s="15">
        <f>100*(1-(1-X23*(1-EXP(-((AI23*9/10)+(BK23))/Y23)))*(1-MIN(ABS(in_elas)*W23*R23*(AI23*9/10)/V23,1)))</f>
        <v/>
      </c>
      <c r="BW23" s="15">
        <f>100*(1-(1-X23*(1-EXP(-((AI23*10/10)+(BL23))/Y23)))*(1-MIN(ABS(in_elas)*W23*R23*(AI23*10/10)/V23,1)))</f>
        <v/>
      </c>
    </row>
    <row r="24">
      <c r="A24" s="17" t="inlineStr">
        <is>
          <t>BLR</t>
        </is>
      </c>
      <c r="B24" s="17">
        <f>INDEX(Data!$B:$B,MATCH($A24,Data!$A:$A,0))</f>
        <v/>
      </c>
      <c r="C24" s="17">
        <f>INDEX(Data!$D:$D,MATCH($A24,Data!$A:$A,0))</f>
        <v/>
      </c>
      <c r="D24" s="16">
        <f>SUMIFS(Data!$G:$G,Data!$A:$A,$A24,Data!$F:$F,"gen_coal_twh")</f>
        <v/>
      </c>
      <c r="E24" s="16">
        <f>SUMIFS(Data!$G:$G,Data!$A:$A,$A24,Data!$F:$F,"gen_gas_twh")</f>
        <v/>
      </c>
      <c r="F24" s="16">
        <f>SUMIFS(Data!$G:$G,Data!$A:$A,$A24,Data!$F:$F,"gen_oil_twh")</f>
        <v/>
      </c>
      <c r="G24" s="16">
        <f>SUMIFS(Data!$G:$G,Data!$A:$A,$A24,Data!$F:$F,"gen_total_twh")</f>
        <v/>
      </c>
      <c r="H24" s="16">
        <f>SUMIFS(Data!$G:$G,Data!$A:$A,$A24,Data!$F:$F,"em_coal_mt")</f>
        <v/>
      </c>
      <c r="I24" s="16">
        <f>SUMIFS(Data!$G:$G,Data!$A:$A,$A24,Data!$F:$F,"em_gas_mt")</f>
        <v/>
      </c>
      <c r="J24" s="16">
        <f>SUMIFS(Data!$G:$G,Data!$A:$A,$A24,Data!$F:$F,"em_oil_mt")</f>
        <v/>
      </c>
      <c r="K24" s="28">
        <f>IF(COUNTIFS(Data!$A:$A,$A24,Data!$F:$F,"price_electricity_residential_usd_kwh")=0,"",SUMIFS(Data!$G:$G,Data!$A:$A,$A24,Data!$F:$F,"price_electricity_residential_usd_kwh"))</f>
        <v/>
      </c>
      <c r="L24" s="28">
        <f>IF(COUNTIFS(Data!$A:$A,$A24,Data!$F:$F,"price_coal_power_usd_gj")=0,"",SUMIFS(Data!$G:$G,Data!$A:$A,$A24,Data!$F:$F,"price_coal_power_usd_gj"))</f>
        <v/>
      </c>
      <c r="M24" s="28">
        <f>IF(COUNTIFS(Data!$A:$A,$A24,Data!$F:$F,"price_gas_power_usd_gj")=0,"",SUMIFS(Data!$G:$G,Data!$A:$A,$A24,Data!$F:$F,"price_gas_power_usd_gj"))</f>
        <v/>
      </c>
      <c r="N24" s="28">
        <f>IF(COUNTIFS(Data!$A:$A,$A24,Data!$F:$F,"price_gas_industry_usd_gj")=0,"",SUMIFS(Data!$G:$G,Data!$A:$A,$A24,Data!$F:$F,"price_gas_industry_usd_gj"))</f>
        <v/>
      </c>
      <c r="O24" s="28">
        <f>IF(COUNTIFS(Data!$A:$A,$A24,Data!$F:$F,"power_market_structure")=0,"",SUMIFS(Data!$G:$G,Data!$A:$A,$A24,Data!$F:$F,"power_market_structure"))</f>
        <v/>
      </c>
      <c r="P24" s="28">
        <f>IF(COUNTIFS(Data!$A:$A,$A24,Data!$F:$F,"rise_renewable_energy_score")=0,"",SUMIFS(Data!$G:$G,Data!$A:$A,$A24,Data!$F:$F,"rise_renewable_energy_score"))</f>
        <v/>
      </c>
      <c r="Q24" s="16">
        <f>H24+I24+J24</f>
        <v/>
      </c>
      <c r="R24" s="28">
        <f>Q24/G24</f>
        <v/>
      </c>
      <c r="S24" s="28">
        <f>IF(D24&gt;0,H24/D24,0.85)</f>
        <v/>
      </c>
      <c r="T24" s="28">
        <f>IF(E24&gt;0,I24/E24,0.4)</f>
        <v/>
      </c>
      <c r="U24" s="28">
        <f>IF(D24+F24&gt;0,(H24+J24)/(D24+F24),0)</f>
        <v/>
      </c>
      <c r="V24" s="16">
        <f>K24*1000</f>
        <v/>
      </c>
      <c r="W24" s="15">
        <f>IF(O24=3,in_pt3,IF(O24=2,in_pt2,IF(O24=1,in_pt1,IF(C24="High income",in_pt_hi,in_pt_oth))))</f>
        <v/>
      </c>
      <c r="X24" s="28">
        <f>IF(Q24&gt;0,in_kappa*(in_rise_lo+(in_rise_hi-in_rise_lo)*IF(P24="",in_rise_miss,P24)/100)*(D24+F24)*MAX(U24-in_gas_rep*T24,0)/Q24,0)</f>
        <v/>
      </c>
      <c r="Y24" s="16">
        <f>IF(IF(M24="",N24,M24)="",MAX(in_sw_floor,in_sw_miss),MAX(in_sw_floor,(IF(M24="",N24,M24)*in_hr_gas-L24*in_hr_coal)/MAX(S24-T24,0.1)))</f>
        <v/>
      </c>
      <c r="Z24" s="28">
        <f>IF(C24="Low income",in_b40_li,IF(C24="Lower middle income",in_b40_lmi,IF(C24="Upper middle income",in_b40_umi,IF(C24="High income",in_b40_hi,0.03))))</f>
        <v/>
      </c>
      <c r="AA24" s="15">
        <f>(D24+F24)/G24</f>
        <v/>
      </c>
      <c r="AB24" s="28">
        <f>100*W24*R24/V24/in_phase</f>
        <v/>
      </c>
      <c r="AC24" s="29">
        <f>100*Z24*W24*R24/V24*(1-IF(W24&gt;0,MIN(in_rebate/(W24*in_res_sh*in_q40),1),1))</f>
        <v/>
      </c>
      <c r="AD24" s="28">
        <f>IF(AA24&gt;0,100*U24*(1-W24)/(in_whole_sh*V24),0)</f>
        <v/>
      </c>
      <c r="AE24" s="28">
        <f>IF(AA24&gt;0,100*MAX(U24-R24,0)/(in_whole_sh*V24),0)</f>
        <v/>
      </c>
      <c r="AF24" s="16">
        <f>IF(AB24&gt;0,in_f1/AB24,in_cap)</f>
        <v/>
      </c>
      <c r="AG24" s="16">
        <f>IF(AC24&gt;0,in_f2/AC24,in_cap)</f>
        <v/>
      </c>
      <c r="AH24" s="16">
        <f>IF(AD24&gt;0,in_f3/AD24,in_cap)</f>
        <v/>
      </c>
      <c r="AI24" s="16">
        <f>MIN(in_cap,AF24,AG24,AH24)</f>
        <v/>
      </c>
      <c r="AJ24" s="30">
        <f>100*(1-(1-X24*(1-EXP(-((AI24)+(0))/Y24)))*(1-MIN(ABS(in_elas)*W24*R24*(AI24)/V24,1)))</f>
        <v/>
      </c>
      <c r="AK24" s="17">
        <f>IF(AI24&gt;=in_cap-1E-9,"rate cap",TRIM(IF(ABS(AI24-AF24)&lt;1E-9,"F1 ","")&amp;IF(ABS(AI24-AG24)&lt;1E-9,"F2 ","")&amp;IF(ABS(AI24-AH24)&lt;1E-9,"F3","")))</f>
        <v/>
      </c>
      <c r="AL24" s="15">
        <f>100*(1-(1-X24*(1-EXP(-((MIN(in_cap,IF(AB24&gt;0,(in_f1+1)/AB24,in_cap),AG24,AH24))+(0))/Y24)))*(1-MIN(ABS(in_elas)*W24*R24*(MIN(in_cap,IF(AB24&gt;0,(in_f1+1)/AB24,in_cap),AG24,AH24))/V24,1)))-AJ24</f>
        <v/>
      </c>
      <c r="AM24" s="16">
        <f>MIN(in_cap,IF(AE24&gt;0,in_f3/AE24,in_cap))</f>
        <v/>
      </c>
      <c r="AN24" s="30">
        <f>100*(1-(1-X24*(1-EXP(-((0)+(AM24))/Y24)))*(1-MIN(ABS(in_elas)*W24*R24*(0)/V24,1)))</f>
        <v/>
      </c>
      <c r="AO24" s="17">
        <f>IF(AM24&gt;=in_cap-1E-9,"rate cap","F3")</f>
        <v/>
      </c>
      <c r="AP24" s="15">
        <f>100*(1-(1-X24*(1-EXP(-((50)+(0))/Y24)))*(1-MIN(ABS(in_elas)*W24*R24*(50)/V24,1)))</f>
        <v/>
      </c>
      <c r="AQ24" s="15">
        <f>100*(1-(1-X24*(1-EXP(-((0)+(50))/Y24)))*(1-MIN(ABS(in_elas)*W24*R24*(0)/V24,1)))</f>
        <v/>
      </c>
      <c r="AR24" s="15">
        <f>IF(AP24&gt;0,AQ24/AP24,"")</f>
        <v/>
      </c>
      <c r="AS24" s="16">
        <f>50*AB24</f>
        <v/>
      </c>
      <c r="AT24" s="30">
        <f>MAX(BM24:BW24)</f>
        <v/>
      </c>
      <c r="AU24" s="31">
        <f>AI24*(MATCH(AT24,BM24:BW24,0)-1)/10</f>
        <v/>
      </c>
      <c r="AV24" s="31">
        <f>INDEX(BB24:BL24,1,(MATCH(AT24,BM24:BW24,0)-1)+1)</f>
        <v/>
      </c>
      <c r="AW24" s="31">
        <f>AB24*AU24</f>
        <v/>
      </c>
      <c r="AX24" s="30">
        <f>AC24*AU24</f>
        <v/>
      </c>
      <c r="AY24" s="31">
        <f>AD24*AU24+AE24*AV24</f>
        <v/>
      </c>
      <c r="AZ24" s="32">
        <f>TRIM(IF(AND(AU24&gt;0,ABS(AU24-AF24)&lt;1E-6),"F1 ","")&amp;IF(AND(AU24&gt;0,ABS(AU24-AG24)&lt;1E-6),"F2 ","")&amp;IF(AY24&gt;=in_f3-1E-6,"F3 ","")&amp;IF(AV24&gt;=in_cap-1E-9,"rate cap",""))</f>
        <v/>
      </c>
      <c r="BA24" s="31">
        <f>Q24*AT24/100</f>
        <v/>
      </c>
      <c r="BB24" s="16">
        <f>MAX(0,MIN(in_cap,IF(AE24&gt;0,(in_f3-AD24*AI24*0/10)/AE24,in_cap)))</f>
        <v/>
      </c>
      <c r="BC24" s="16">
        <f>MAX(0,MIN(in_cap,IF(AE24&gt;0,(in_f3-AD24*AI24*1/10)/AE24,in_cap)))</f>
        <v/>
      </c>
      <c r="BD24" s="16">
        <f>MAX(0,MIN(in_cap,IF(AE24&gt;0,(in_f3-AD24*AI24*2/10)/AE24,in_cap)))</f>
        <v/>
      </c>
      <c r="BE24" s="16">
        <f>MAX(0,MIN(in_cap,IF(AE24&gt;0,(in_f3-AD24*AI24*3/10)/AE24,in_cap)))</f>
        <v/>
      </c>
      <c r="BF24" s="16">
        <f>MAX(0,MIN(in_cap,IF(AE24&gt;0,(in_f3-AD24*AI24*4/10)/AE24,in_cap)))</f>
        <v/>
      </c>
      <c r="BG24" s="16">
        <f>MAX(0,MIN(in_cap,IF(AE24&gt;0,(in_f3-AD24*AI24*5/10)/AE24,in_cap)))</f>
        <v/>
      </c>
      <c r="BH24" s="16">
        <f>MAX(0,MIN(in_cap,IF(AE24&gt;0,(in_f3-AD24*AI24*6/10)/AE24,in_cap)))</f>
        <v/>
      </c>
      <c r="BI24" s="16">
        <f>MAX(0,MIN(in_cap,IF(AE24&gt;0,(in_f3-AD24*AI24*7/10)/AE24,in_cap)))</f>
        <v/>
      </c>
      <c r="BJ24" s="16">
        <f>MAX(0,MIN(in_cap,IF(AE24&gt;0,(in_f3-AD24*AI24*8/10)/AE24,in_cap)))</f>
        <v/>
      </c>
      <c r="BK24" s="16">
        <f>MAX(0,MIN(in_cap,IF(AE24&gt;0,(in_f3-AD24*AI24*9/10)/AE24,in_cap)))</f>
        <v/>
      </c>
      <c r="BL24" s="16">
        <f>MAX(0,MIN(in_cap,IF(AE24&gt;0,(in_f3-AD24*AI24*10/10)/AE24,in_cap)))</f>
        <v/>
      </c>
      <c r="BM24" s="15">
        <f>100*(1-(1-X24*(1-EXP(-((AI24*0/10)+(BB24))/Y24)))*(1-MIN(ABS(in_elas)*W24*R24*(AI24*0/10)/V24,1)))</f>
        <v/>
      </c>
      <c r="BN24" s="15">
        <f>100*(1-(1-X24*(1-EXP(-((AI24*1/10)+(BC24))/Y24)))*(1-MIN(ABS(in_elas)*W24*R24*(AI24*1/10)/V24,1)))</f>
        <v/>
      </c>
      <c r="BO24" s="15">
        <f>100*(1-(1-X24*(1-EXP(-((AI24*2/10)+(BD24))/Y24)))*(1-MIN(ABS(in_elas)*W24*R24*(AI24*2/10)/V24,1)))</f>
        <v/>
      </c>
      <c r="BP24" s="15">
        <f>100*(1-(1-X24*(1-EXP(-((AI24*3/10)+(BE24))/Y24)))*(1-MIN(ABS(in_elas)*W24*R24*(AI24*3/10)/V24,1)))</f>
        <v/>
      </c>
      <c r="BQ24" s="15">
        <f>100*(1-(1-X24*(1-EXP(-((AI24*4/10)+(BF24))/Y24)))*(1-MIN(ABS(in_elas)*W24*R24*(AI24*4/10)/V24,1)))</f>
        <v/>
      </c>
      <c r="BR24" s="15">
        <f>100*(1-(1-X24*(1-EXP(-((AI24*5/10)+(BG24))/Y24)))*(1-MIN(ABS(in_elas)*W24*R24*(AI24*5/10)/V24,1)))</f>
        <v/>
      </c>
      <c r="BS24" s="15">
        <f>100*(1-(1-X24*(1-EXP(-((AI24*6/10)+(BH24))/Y24)))*(1-MIN(ABS(in_elas)*W24*R24*(AI24*6/10)/V24,1)))</f>
        <v/>
      </c>
      <c r="BT24" s="15">
        <f>100*(1-(1-X24*(1-EXP(-((AI24*7/10)+(BI24))/Y24)))*(1-MIN(ABS(in_elas)*W24*R24*(AI24*7/10)/V24,1)))</f>
        <v/>
      </c>
      <c r="BU24" s="15">
        <f>100*(1-(1-X24*(1-EXP(-((AI24*8/10)+(BJ24))/Y24)))*(1-MIN(ABS(in_elas)*W24*R24*(AI24*8/10)/V24,1)))</f>
        <v/>
      </c>
      <c r="BV24" s="15">
        <f>100*(1-(1-X24*(1-EXP(-((AI24*9/10)+(BK24))/Y24)))*(1-MIN(ABS(in_elas)*W24*R24*(AI24*9/10)/V24,1)))</f>
        <v/>
      </c>
      <c r="BW24" s="15">
        <f>100*(1-(1-X24*(1-EXP(-((AI24*10/10)+(BL24))/Y24)))*(1-MIN(ABS(in_elas)*W24*R24*(AI24*10/10)/V24,1)))</f>
        <v/>
      </c>
    </row>
    <row r="25">
      <c r="A25" s="17" t="inlineStr">
        <is>
          <t>BLZ</t>
        </is>
      </c>
      <c r="B25" s="17">
        <f>INDEX(Data!$B:$B,MATCH($A25,Data!$A:$A,0))</f>
        <v/>
      </c>
      <c r="C25" s="17">
        <f>INDEX(Data!$D:$D,MATCH($A25,Data!$A:$A,0))</f>
        <v/>
      </c>
      <c r="D25" s="16">
        <f>SUMIFS(Data!$G:$G,Data!$A:$A,$A25,Data!$F:$F,"gen_coal_twh")</f>
        <v/>
      </c>
      <c r="E25" s="16">
        <f>SUMIFS(Data!$G:$G,Data!$A:$A,$A25,Data!$F:$F,"gen_gas_twh")</f>
        <v/>
      </c>
      <c r="F25" s="16">
        <f>SUMIFS(Data!$G:$G,Data!$A:$A,$A25,Data!$F:$F,"gen_oil_twh")</f>
        <v/>
      </c>
      <c r="G25" s="16">
        <f>SUMIFS(Data!$G:$G,Data!$A:$A,$A25,Data!$F:$F,"gen_total_twh")</f>
        <v/>
      </c>
      <c r="H25" s="16">
        <f>SUMIFS(Data!$G:$G,Data!$A:$A,$A25,Data!$F:$F,"em_coal_mt")</f>
        <v/>
      </c>
      <c r="I25" s="16">
        <f>SUMIFS(Data!$G:$G,Data!$A:$A,$A25,Data!$F:$F,"em_gas_mt")</f>
        <v/>
      </c>
      <c r="J25" s="16">
        <f>SUMIFS(Data!$G:$G,Data!$A:$A,$A25,Data!$F:$F,"em_oil_mt")</f>
        <v/>
      </c>
      <c r="K25" s="28">
        <f>IF(COUNTIFS(Data!$A:$A,$A25,Data!$F:$F,"price_electricity_residential_usd_kwh")=0,"",SUMIFS(Data!$G:$G,Data!$A:$A,$A25,Data!$F:$F,"price_electricity_residential_usd_kwh"))</f>
        <v/>
      </c>
      <c r="L25" s="28">
        <f>IF(COUNTIFS(Data!$A:$A,$A25,Data!$F:$F,"price_coal_power_usd_gj")=0,"",SUMIFS(Data!$G:$G,Data!$A:$A,$A25,Data!$F:$F,"price_coal_power_usd_gj"))</f>
        <v/>
      </c>
      <c r="M25" s="28">
        <f>IF(COUNTIFS(Data!$A:$A,$A25,Data!$F:$F,"price_gas_power_usd_gj")=0,"",SUMIFS(Data!$G:$G,Data!$A:$A,$A25,Data!$F:$F,"price_gas_power_usd_gj"))</f>
        <v/>
      </c>
      <c r="N25" s="28">
        <f>IF(COUNTIFS(Data!$A:$A,$A25,Data!$F:$F,"price_gas_industry_usd_gj")=0,"",SUMIFS(Data!$G:$G,Data!$A:$A,$A25,Data!$F:$F,"price_gas_industry_usd_gj"))</f>
        <v/>
      </c>
      <c r="O25" s="28">
        <f>IF(COUNTIFS(Data!$A:$A,$A25,Data!$F:$F,"power_market_structure")=0,"",SUMIFS(Data!$G:$G,Data!$A:$A,$A25,Data!$F:$F,"power_market_structure"))</f>
        <v/>
      </c>
      <c r="P25" s="28">
        <f>IF(COUNTIFS(Data!$A:$A,$A25,Data!$F:$F,"rise_renewable_energy_score")=0,"",SUMIFS(Data!$G:$G,Data!$A:$A,$A25,Data!$F:$F,"rise_renewable_energy_score"))</f>
        <v/>
      </c>
      <c r="Q25" s="16">
        <f>H25+I25+J25</f>
        <v/>
      </c>
      <c r="R25" s="28">
        <f>Q25/G25</f>
        <v/>
      </c>
      <c r="S25" s="28">
        <f>IF(D25&gt;0,H25/D25,0.85)</f>
        <v/>
      </c>
      <c r="T25" s="28">
        <f>IF(E25&gt;0,I25/E25,0.4)</f>
        <v/>
      </c>
      <c r="U25" s="28">
        <f>IF(D25+F25&gt;0,(H25+J25)/(D25+F25),0)</f>
        <v/>
      </c>
      <c r="V25" s="16">
        <f>K25*1000</f>
        <v/>
      </c>
      <c r="W25" s="15">
        <f>IF(O25=3,in_pt3,IF(O25=2,in_pt2,IF(O25=1,in_pt1,IF(C25="High income",in_pt_hi,in_pt_oth))))</f>
        <v/>
      </c>
      <c r="X25" s="28">
        <f>IF(Q25&gt;0,in_kappa*(in_rise_lo+(in_rise_hi-in_rise_lo)*IF(P25="",in_rise_miss,P25)/100)*(D25+F25)*MAX(U25-in_gas_rep*T25,0)/Q25,0)</f>
        <v/>
      </c>
      <c r="Y25" s="16">
        <f>IF(IF(M25="",N25,M25)="",MAX(in_sw_floor,in_sw_miss),MAX(in_sw_floor,(IF(M25="",N25,M25)*in_hr_gas-L25*in_hr_coal)/MAX(S25-T25,0.1)))</f>
        <v/>
      </c>
      <c r="Z25" s="28">
        <f>IF(C25="Low income",in_b40_li,IF(C25="Lower middle income",in_b40_lmi,IF(C25="Upper middle income",in_b40_umi,IF(C25="High income",in_b40_hi,0.03))))</f>
        <v/>
      </c>
      <c r="AA25" s="15">
        <f>(D25+F25)/G25</f>
        <v/>
      </c>
      <c r="AB25" s="28">
        <f>100*W25*R25/V25/in_phase</f>
        <v/>
      </c>
      <c r="AC25" s="29">
        <f>100*Z25*W25*R25/V25*(1-IF(W25&gt;0,MIN(in_rebate/(W25*in_res_sh*in_q40),1),1))</f>
        <v/>
      </c>
      <c r="AD25" s="28">
        <f>IF(AA25&gt;0,100*U25*(1-W25)/(in_whole_sh*V25),0)</f>
        <v/>
      </c>
      <c r="AE25" s="28">
        <f>IF(AA25&gt;0,100*MAX(U25-R25,0)/(in_whole_sh*V25),0)</f>
        <v/>
      </c>
      <c r="AF25" s="16">
        <f>IF(AB25&gt;0,in_f1/AB25,in_cap)</f>
        <v/>
      </c>
      <c r="AG25" s="16">
        <f>IF(AC25&gt;0,in_f2/AC25,in_cap)</f>
        <v/>
      </c>
      <c r="AH25" s="16">
        <f>IF(AD25&gt;0,in_f3/AD25,in_cap)</f>
        <v/>
      </c>
      <c r="AI25" s="16">
        <f>MIN(in_cap,AF25,AG25,AH25)</f>
        <v/>
      </c>
      <c r="AJ25" s="30">
        <f>100*(1-(1-X25*(1-EXP(-((AI25)+(0))/Y25)))*(1-MIN(ABS(in_elas)*W25*R25*(AI25)/V25,1)))</f>
        <v/>
      </c>
      <c r="AK25" s="17">
        <f>IF(AI25&gt;=in_cap-1E-9,"rate cap",TRIM(IF(ABS(AI25-AF25)&lt;1E-9,"F1 ","")&amp;IF(ABS(AI25-AG25)&lt;1E-9,"F2 ","")&amp;IF(ABS(AI25-AH25)&lt;1E-9,"F3","")))</f>
        <v/>
      </c>
      <c r="AL25" s="15">
        <f>100*(1-(1-X25*(1-EXP(-((MIN(in_cap,IF(AB25&gt;0,(in_f1+1)/AB25,in_cap),AG25,AH25))+(0))/Y25)))*(1-MIN(ABS(in_elas)*W25*R25*(MIN(in_cap,IF(AB25&gt;0,(in_f1+1)/AB25,in_cap),AG25,AH25))/V25,1)))-AJ25</f>
        <v/>
      </c>
      <c r="AM25" s="16">
        <f>MIN(in_cap,IF(AE25&gt;0,in_f3/AE25,in_cap))</f>
        <v/>
      </c>
      <c r="AN25" s="30">
        <f>100*(1-(1-X25*(1-EXP(-((0)+(AM25))/Y25)))*(1-MIN(ABS(in_elas)*W25*R25*(0)/V25,1)))</f>
        <v/>
      </c>
      <c r="AO25" s="17">
        <f>IF(AM25&gt;=in_cap-1E-9,"rate cap","F3")</f>
        <v/>
      </c>
      <c r="AP25" s="15">
        <f>100*(1-(1-X25*(1-EXP(-((50)+(0))/Y25)))*(1-MIN(ABS(in_elas)*W25*R25*(50)/V25,1)))</f>
        <v/>
      </c>
      <c r="AQ25" s="15">
        <f>100*(1-(1-X25*(1-EXP(-((0)+(50))/Y25)))*(1-MIN(ABS(in_elas)*W25*R25*(0)/V25,1)))</f>
        <v/>
      </c>
      <c r="AR25" s="15">
        <f>IF(AP25&gt;0,AQ25/AP25,"")</f>
        <v/>
      </c>
      <c r="AS25" s="16">
        <f>50*AB25</f>
        <v/>
      </c>
      <c r="AT25" s="30">
        <f>MAX(BM25:BW25)</f>
        <v/>
      </c>
      <c r="AU25" s="31">
        <f>AI25*(MATCH(AT25,BM25:BW25,0)-1)/10</f>
        <v/>
      </c>
      <c r="AV25" s="31">
        <f>INDEX(BB25:BL25,1,(MATCH(AT25,BM25:BW25,0)-1)+1)</f>
        <v/>
      </c>
      <c r="AW25" s="31">
        <f>AB25*AU25</f>
        <v/>
      </c>
      <c r="AX25" s="30">
        <f>AC25*AU25</f>
        <v/>
      </c>
      <c r="AY25" s="31">
        <f>AD25*AU25+AE25*AV25</f>
        <v/>
      </c>
      <c r="AZ25" s="32">
        <f>TRIM(IF(AND(AU25&gt;0,ABS(AU25-AF25)&lt;1E-6),"F1 ","")&amp;IF(AND(AU25&gt;0,ABS(AU25-AG25)&lt;1E-6),"F2 ","")&amp;IF(AY25&gt;=in_f3-1E-6,"F3 ","")&amp;IF(AV25&gt;=in_cap-1E-9,"rate cap",""))</f>
        <v/>
      </c>
      <c r="BA25" s="31">
        <f>Q25*AT25/100</f>
        <v/>
      </c>
      <c r="BB25" s="16">
        <f>MAX(0,MIN(in_cap,IF(AE25&gt;0,(in_f3-AD25*AI25*0/10)/AE25,in_cap)))</f>
        <v/>
      </c>
      <c r="BC25" s="16">
        <f>MAX(0,MIN(in_cap,IF(AE25&gt;0,(in_f3-AD25*AI25*1/10)/AE25,in_cap)))</f>
        <v/>
      </c>
      <c r="BD25" s="16">
        <f>MAX(0,MIN(in_cap,IF(AE25&gt;0,(in_f3-AD25*AI25*2/10)/AE25,in_cap)))</f>
        <v/>
      </c>
      <c r="BE25" s="16">
        <f>MAX(0,MIN(in_cap,IF(AE25&gt;0,(in_f3-AD25*AI25*3/10)/AE25,in_cap)))</f>
        <v/>
      </c>
      <c r="BF25" s="16">
        <f>MAX(0,MIN(in_cap,IF(AE25&gt;0,(in_f3-AD25*AI25*4/10)/AE25,in_cap)))</f>
        <v/>
      </c>
      <c r="BG25" s="16">
        <f>MAX(0,MIN(in_cap,IF(AE25&gt;0,(in_f3-AD25*AI25*5/10)/AE25,in_cap)))</f>
        <v/>
      </c>
      <c r="BH25" s="16">
        <f>MAX(0,MIN(in_cap,IF(AE25&gt;0,(in_f3-AD25*AI25*6/10)/AE25,in_cap)))</f>
        <v/>
      </c>
      <c r="BI25" s="16">
        <f>MAX(0,MIN(in_cap,IF(AE25&gt;0,(in_f3-AD25*AI25*7/10)/AE25,in_cap)))</f>
        <v/>
      </c>
      <c r="BJ25" s="16">
        <f>MAX(0,MIN(in_cap,IF(AE25&gt;0,(in_f3-AD25*AI25*8/10)/AE25,in_cap)))</f>
        <v/>
      </c>
      <c r="BK25" s="16">
        <f>MAX(0,MIN(in_cap,IF(AE25&gt;0,(in_f3-AD25*AI25*9/10)/AE25,in_cap)))</f>
        <v/>
      </c>
      <c r="BL25" s="16">
        <f>MAX(0,MIN(in_cap,IF(AE25&gt;0,(in_f3-AD25*AI25*10/10)/AE25,in_cap)))</f>
        <v/>
      </c>
      <c r="BM25" s="15">
        <f>100*(1-(1-X25*(1-EXP(-((AI25*0/10)+(BB25))/Y25)))*(1-MIN(ABS(in_elas)*W25*R25*(AI25*0/10)/V25,1)))</f>
        <v/>
      </c>
      <c r="BN25" s="15">
        <f>100*(1-(1-X25*(1-EXP(-((AI25*1/10)+(BC25))/Y25)))*(1-MIN(ABS(in_elas)*W25*R25*(AI25*1/10)/V25,1)))</f>
        <v/>
      </c>
      <c r="BO25" s="15">
        <f>100*(1-(1-X25*(1-EXP(-((AI25*2/10)+(BD25))/Y25)))*(1-MIN(ABS(in_elas)*W25*R25*(AI25*2/10)/V25,1)))</f>
        <v/>
      </c>
      <c r="BP25" s="15">
        <f>100*(1-(1-X25*(1-EXP(-((AI25*3/10)+(BE25))/Y25)))*(1-MIN(ABS(in_elas)*W25*R25*(AI25*3/10)/V25,1)))</f>
        <v/>
      </c>
      <c r="BQ25" s="15">
        <f>100*(1-(1-X25*(1-EXP(-((AI25*4/10)+(BF25))/Y25)))*(1-MIN(ABS(in_elas)*W25*R25*(AI25*4/10)/V25,1)))</f>
        <v/>
      </c>
      <c r="BR25" s="15">
        <f>100*(1-(1-X25*(1-EXP(-((AI25*5/10)+(BG25))/Y25)))*(1-MIN(ABS(in_elas)*W25*R25*(AI25*5/10)/V25,1)))</f>
        <v/>
      </c>
      <c r="BS25" s="15">
        <f>100*(1-(1-X25*(1-EXP(-((AI25*6/10)+(BH25))/Y25)))*(1-MIN(ABS(in_elas)*W25*R25*(AI25*6/10)/V25,1)))</f>
        <v/>
      </c>
      <c r="BT25" s="15">
        <f>100*(1-(1-X25*(1-EXP(-((AI25*7/10)+(BI25))/Y25)))*(1-MIN(ABS(in_elas)*W25*R25*(AI25*7/10)/V25,1)))</f>
        <v/>
      </c>
      <c r="BU25" s="15">
        <f>100*(1-(1-X25*(1-EXP(-((AI25*8/10)+(BJ25))/Y25)))*(1-MIN(ABS(in_elas)*W25*R25*(AI25*8/10)/V25,1)))</f>
        <v/>
      </c>
      <c r="BV25" s="15">
        <f>100*(1-(1-X25*(1-EXP(-((AI25*9/10)+(BK25))/Y25)))*(1-MIN(ABS(in_elas)*W25*R25*(AI25*9/10)/V25,1)))</f>
        <v/>
      </c>
      <c r="BW25" s="15">
        <f>100*(1-(1-X25*(1-EXP(-((AI25*10/10)+(BL25))/Y25)))*(1-MIN(ABS(in_elas)*W25*R25*(AI25*10/10)/V25,1)))</f>
        <v/>
      </c>
    </row>
    <row r="26">
      <c r="A26" s="17" t="inlineStr">
        <is>
          <t>BOL</t>
        </is>
      </c>
      <c r="B26" s="17">
        <f>INDEX(Data!$B:$B,MATCH($A26,Data!$A:$A,0))</f>
        <v/>
      </c>
      <c r="C26" s="17">
        <f>INDEX(Data!$D:$D,MATCH($A26,Data!$A:$A,0))</f>
        <v/>
      </c>
      <c r="D26" s="16">
        <f>SUMIFS(Data!$G:$G,Data!$A:$A,$A26,Data!$F:$F,"gen_coal_twh")</f>
        <v/>
      </c>
      <c r="E26" s="16">
        <f>SUMIFS(Data!$G:$G,Data!$A:$A,$A26,Data!$F:$F,"gen_gas_twh")</f>
        <v/>
      </c>
      <c r="F26" s="16">
        <f>SUMIFS(Data!$G:$G,Data!$A:$A,$A26,Data!$F:$F,"gen_oil_twh")</f>
        <v/>
      </c>
      <c r="G26" s="16">
        <f>SUMIFS(Data!$G:$G,Data!$A:$A,$A26,Data!$F:$F,"gen_total_twh")</f>
        <v/>
      </c>
      <c r="H26" s="16">
        <f>SUMIFS(Data!$G:$G,Data!$A:$A,$A26,Data!$F:$F,"em_coal_mt")</f>
        <v/>
      </c>
      <c r="I26" s="16">
        <f>SUMIFS(Data!$G:$G,Data!$A:$A,$A26,Data!$F:$F,"em_gas_mt")</f>
        <v/>
      </c>
      <c r="J26" s="16">
        <f>SUMIFS(Data!$G:$G,Data!$A:$A,$A26,Data!$F:$F,"em_oil_mt")</f>
        <v/>
      </c>
      <c r="K26" s="28">
        <f>IF(COUNTIFS(Data!$A:$A,$A26,Data!$F:$F,"price_electricity_residential_usd_kwh")=0,"",SUMIFS(Data!$G:$G,Data!$A:$A,$A26,Data!$F:$F,"price_electricity_residential_usd_kwh"))</f>
        <v/>
      </c>
      <c r="L26" s="28">
        <f>IF(COUNTIFS(Data!$A:$A,$A26,Data!$F:$F,"price_coal_power_usd_gj")=0,"",SUMIFS(Data!$G:$G,Data!$A:$A,$A26,Data!$F:$F,"price_coal_power_usd_gj"))</f>
        <v/>
      </c>
      <c r="M26" s="28">
        <f>IF(COUNTIFS(Data!$A:$A,$A26,Data!$F:$F,"price_gas_power_usd_gj")=0,"",SUMIFS(Data!$G:$G,Data!$A:$A,$A26,Data!$F:$F,"price_gas_power_usd_gj"))</f>
        <v/>
      </c>
      <c r="N26" s="28">
        <f>IF(COUNTIFS(Data!$A:$A,$A26,Data!$F:$F,"price_gas_industry_usd_gj")=0,"",SUMIFS(Data!$G:$G,Data!$A:$A,$A26,Data!$F:$F,"price_gas_industry_usd_gj"))</f>
        <v/>
      </c>
      <c r="O26" s="28">
        <f>IF(COUNTIFS(Data!$A:$A,$A26,Data!$F:$F,"power_market_structure")=0,"",SUMIFS(Data!$G:$G,Data!$A:$A,$A26,Data!$F:$F,"power_market_structure"))</f>
        <v/>
      </c>
      <c r="P26" s="28">
        <f>IF(COUNTIFS(Data!$A:$A,$A26,Data!$F:$F,"rise_renewable_energy_score")=0,"",SUMIFS(Data!$G:$G,Data!$A:$A,$A26,Data!$F:$F,"rise_renewable_energy_score"))</f>
        <v/>
      </c>
      <c r="Q26" s="16">
        <f>H26+I26+J26</f>
        <v/>
      </c>
      <c r="R26" s="28">
        <f>Q26/G26</f>
        <v/>
      </c>
      <c r="S26" s="28">
        <f>IF(D26&gt;0,H26/D26,0.85)</f>
        <v/>
      </c>
      <c r="T26" s="28">
        <f>IF(E26&gt;0,I26/E26,0.4)</f>
        <v/>
      </c>
      <c r="U26" s="28">
        <f>IF(D26+F26&gt;0,(H26+J26)/(D26+F26),0)</f>
        <v/>
      </c>
      <c r="V26" s="16">
        <f>K26*1000</f>
        <v/>
      </c>
      <c r="W26" s="15">
        <f>IF(O26=3,in_pt3,IF(O26=2,in_pt2,IF(O26=1,in_pt1,IF(C26="High income",in_pt_hi,in_pt_oth))))</f>
        <v/>
      </c>
      <c r="X26" s="28">
        <f>IF(Q26&gt;0,in_kappa*(in_rise_lo+(in_rise_hi-in_rise_lo)*IF(P26="",in_rise_miss,P26)/100)*(D26+F26)*MAX(U26-in_gas_rep*T26,0)/Q26,0)</f>
        <v/>
      </c>
      <c r="Y26" s="16">
        <f>IF(IF(M26="",N26,M26)="",MAX(in_sw_floor,in_sw_miss),MAX(in_sw_floor,(IF(M26="",N26,M26)*in_hr_gas-L26*in_hr_coal)/MAX(S26-T26,0.1)))</f>
        <v/>
      </c>
      <c r="Z26" s="28">
        <f>IF(C26="Low income",in_b40_li,IF(C26="Lower middle income",in_b40_lmi,IF(C26="Upper middle income",in_b40_umi,IF(C26="High income",in_b40_hi,0.03))))</f>
        <v/>
      </c>
      <c r="AA26" s="15">
        <f>(D26+F26)/G26</f>
        <v/>
      </c>
      <c r="AB26" s="28">
        <f>100*W26*R26/V26/in_phase</f>
        <v/>
      </c>
      <c r="AC26" s="29">
        <f>100*Z26*W26*R26/V26*(1-IF(W26&gt;0,MIN(in_rebate/(W26*in_res_sh*in_q40),1),1))</f>
        <v/>
      </c>
      <c r="AD26" s="28">
        <f>IF(AA26&gt;0,100*U26*(1-W26)/(in_whole_sh*V26),0)</f>
        <v/>
      </c>
      <c r="AE26" s="28">
        <f>IF(AA26&gt;0,100*MAX(U26-R26,0)/(in_whole_sh*V26),0)</f>
        <v/>
      </c>
      <c r="AF26" s="16">
        <f>IF(AB26&gt;0,in_f1/AB26,in_cap)</f>
        <v/>
      </c>
      <c r="AG26" s="16">
        <f>IF(AC26&gt;0,in_f2/AC26,in_cap)</f>
        <v/>
      </c>
      <c r="AH26" s="16">
        <f>IF(AD26&gt;0,in_f3/AD26,in_cap)</f>
        <v/>
      </c>
      <c r="AI26" s="16">
        <f>MIN(in_cap,AF26,AG26,AH26)</f>
        <v/>
      </c>
      <c r="AJ26" s="30">
        <f>100*(1-(1-X26*(1-EXP(-((AI26)+(0))/Y26)))*(1-MIN(ABS(in_elas)*W26*R26*(AI26)/V26,1)))</f>
        <v/>
      </c>
      <c r="AK26" s="17">
        <f>IF(AI26&gt;=in_cap-1E-9,"rate cap",TRIM(IF(ABS(AI26-AF26)&lt;1E-9,"F1 ","")&amp;IF(ABS(AI26-AG26)&lt;1E-9,"F2 ","")&amp;IF(ABS(AI26-AH26)&lt;1E-9,"F3","")))</f>
        <v/>
      </c>
      <c r="AL26" s="15">
        <f>100*(1-(1-X26*(1-EXP(-((MIN(in_cap,IF(AB26&gt;0,(in_f1+1)/AB26,in_cap),AG26,AH26))+(0))/Y26)))*(1-MIN(ABS(in_elas)*W26*R26*(MIN(in_cap,IF(AB26&gt;0,(in_f1+1)/AB26,in_cap),AG26,AH26))/V26,1)))-AJ26</f>
        <v/>
      </c>
      <c r="AM26" s="16">
        <f>MIN(in_cap,IF(AE26&gt;0,in_f3/AE26,in_cap))</f>
        <v/>
      </c>
      <c r="AN26" s="30">
        <f>100*(1-(1-X26*(1-EXP(-((0)+(AM26))/Y26)))*(1-MIN(ABS(in_elas)*W26*R26*(0)/V26,1)))</f>
        <v/>
      </c>
      <c r="AO26" s="17">
        <f>IF(AM26&gt;=in_cap-1E-9,"rate cap","F3")</f>
        <v/>
      </c>
      <c r="AP26" s="15">
        <f>100*(1-(1-X26*(1-EXP(-((50)+(0))/Y26)))*(1-MIN(ABS(in_elas)*W26*R26*(50)/V26,1)))</f>
        <v/>
      </c>
      <c r="AQ26" s="15">
        <f>100*(1-(1-X26*(1-EXP(-((0)+(50))/Y26)))*(1-MIN(ABS(in_elas)*W26*R26*(0)/V26,1)))</f>
        <v/>
      </c>
      <c r="AR26" s="15">
        <f>IF(AP26&gt;0,AQ26/AP26,"")</f>
        <v/>
      </c>
      <c r="AS26" s="16">
        <f>50*AB26</f>
        <v/>
      </c>
      <c r="AT26" s="30">
        <f>MAX(BM26:BW26)</f>
        <v/>
      </c>
      <c r="AU26" s="31">
        <f>AI26*(MATCH(AT26,BM26:BW26,0)-1)/10</f>
        <v/>
      </c>
      <c r="AV26" s="31">
        <f>INDEX(BB26:BL26,1,(MATCH(AT26,BM26:BW26,0)-1)+1)</f>
        <v/>
      </c>
      <c r="AW26" s="31">
        <f>AB26*AU26</f>
        <v/>
      </c>
      <c r="AX26" s="30">
        <f>AC26*AU26</f>
        <v/>
      </c>
      <c r="AY26" s="31">
        <f>AD26*AU26+AE26*AV26</f>
        <v/>
      </c>
      <c r="AZ26" s="32">
        <f>TRIM(IF(AND(AU26&gt;0,ABS(AU26-AF26)&lt;1E-6),"F1 ","")&amp;IF(AND(AU26&gt;0,ABS(AU26-AG26)&lt;1E-6),"F2 ","")&amp;IF(AY26&gt;=in_f3-1E-6,"F3 ","")&amp;IF(AV26&gt;=in_cap-1E-9,"rate cap",""))</f>
        <v/>
      </c>
      <c r="BA26" s="31">
        <f>Q26*AT26/100</f>
        <v/>
      </c>
      <c r="BB26" s="16">
        <f>MAX(0,MIN(in_cap,IF(AE26&gt;0,(in_f3-AD26*AI26*0/10)/AE26,in_cap)))</f>
        <v/>
      </c>
      <c r="BC26" s="16">
        <f>MAX(0,MIN(in_cap,IF(AE26&gt;0,(in_f3-AD26*AI26*1/10)/AE26,in_cap)))</f>
        <v/>
      </c>
      <c r="BD26" s="16">
        <f>MAX(0,MIN(in_cap,IF(AE26&gt;0,(in_f3-AD26*AI26*2/10)/AE26,in_cap)))</f>
        <v/>
      </c>
      <c r="BE26" s="16">
        <f>MAX(0,MIN(in_cap,IF(AE26&gt;0,(in_f3-AD26*AI26*3/10)/AE26,in_cap)))</f>
        <v/>
      </c>
      <c r="BF26" s="16">
        <f>MAX(0,MIN(in_cap,IF(AE26&gt;0,(in_f3-AD26*AI26*4/10)/AE26,in_cap)))</f>
        <v/>
      </c>
      <c r="BG26" s="16">
        <f>MAX(0,MIN(in_cap,IF(AE26&gt;0,(in_f3-AD26*AI26*5/10)/AE26,in_cap)))</f>
        <v/>
      </c>
      <c r="BH26" s="16">
        <f>MAX(0,MIN(in_cap,IF(AE26&gt;0,(in_f3-AD26*AI26*6/10)/AE26,in_cap)))</f>
        <v/>
      </c>
      <c r="BI26" s="16">
        <f>MAX(0,MIN(in_cap,IF(AE26&gt;0,(in_f3-AD26*AI26*7/10)/AE26,in_cap)))</f>
        <v/>
      </c>
      <c r="BJ26" s="16">
        <f>MAX(0,MIN(in_cap,IF(AE26&gt;0,(in_f3-AD26*AI26*8/10)/AE26,in_cap)))</f>
        <v/>
      </c>
      <c r="BK26" s="16">
        <f>MAX(0,MIN(in_cap,IF(AE26&gt;0,(in_f3-AD26*AI26*9/10)/AE26,in_cap)))</f>
        <v/>
      </c>
      <c r="BL26" s="16">
        <f>MAX(0,MIN(in_cap,IF(AE26&gt;0,(in_f3-AD26*AI26*10/10)/AE26,in_cap)))</f>
        <v/>
      </c>
      <c r="BM26" s="15">
        <f>100*(1-(1-X26*(1-EXP(-((AI26*0/10)+(BB26))/Y26)))*(1-MIN(ABS(in_elas)*W26*R26*(AI26*0/10)/V26,1)))</f>
        <v/>
      </c>
      <c r="BN26" s="15">
        <f>100*(1-(1-X26*(1-EXP(-((AI26*1/10)+(BC26))/Y26)))*(1-MIN(ABS(in_elas)*W26*R26*(AI26*1/10)/V26,1)))</f>
        <v/>
      </c>
      <c r="BO26" s="15">
        <f>100*(1-(1-X26*(1-EXP(-((AI26*2/10)+(BD26))/Y26)))*(1-MIN(ABS(in_elas)*W26*R26*(AI26*2/10)/V26,1)))</f>
        <v/>
      </c>
      <c r="BP26" s="15">
        <f>100*(1-(1-X26*(1-EXP(-((AI26*3/10)+(BE26))/Y26)))*(1-MIN(ABS(in_elas)*W26*R26*(AI26*3/10)/V26,1)))</f>
        <v/>
      </c>
      <c r="BQ26" s="15">
        <f>100*(1-(1-X26*(1-EXP(-((AI26*4/10)+(BF26))/Y26)))*(1-MIN(ABS(in_elas)*W26*R26*(AI26*4/10)/V26,1)))</f>
        <v/>
      </c>
      <c r="BR26" s="15">
        <f>100*(1-(1-X26*(1-EXP(-((AI26*5/10)+(BG26))/Y26)))*(1-MIN(ABS(in_elas)*W26*R26*(AI26*5/10)/V26,1)))</f>
        <v/>
      </c>
      <c r="BS26" s="15">
        <f>100*(1-(1-X26*(1-EXP(-((AI26*6/10)+(BH26))/Y26)))*(1-MIN(ABS(in_elas)*W26*R26*(AI26*6/10)/V26,1)))</f>
        <v/>
      </c>
      <c r="BT26" s="15">
        <f>100*(1-(1-X26*(1-EXP(-((AI26*7/10)+(BI26))/Y26)))*(1-MIN(ABS(in_elas)*W26*R26*(AI26*7/10)/V26,1)))</f>
        <v/>
      </c>
      <c r="BU26" s="15">
        <f>100*(1-(1-X26*(1-EXP(-((AI26*8/10)+(BJ26))/Y26)))*(1-MIN(ABS(in_elas)*W26*R26*(AI26*8/10)/V26,1)))</f>
        <v/>
      </c>
      <c r="BV26" s="15">
        <f>100*(1-(1-X26*(1-EXP(-((AI26*9/10)+(BK26))/Y26)))*(1-MIN(ABS(in_elas)*W26*R26*(AI26*9/10)/V26,1)))</f>
        <v/>
      </c>
      <c r="BW26" s="15">
        <f>100*(1-(1-X26*(1-EXP(-((AI26*10/10)+(BL26))/Y26)))*(1-MIN(ABS(in_elas)*W26*R26*(AI26*10/10)/V26,1)))</f>
        <v/>
      </c>
    </row>
    <row r="27">
      <c r="A27" s="17" t="inlineStr">
        <is>
          <t>BRA</t>
        </is>
      </c>
      <c r="B27" s="17">
        <f>INDEX(Data!$B:$B,MATCH($A27,Data!$A:$A,0))</f>
        <v/>
      </c>
      <c r="C27" s="17">
        <f>INDEX(Data!$D:$D,MATCH($A27,Data!$A:$A,0))</f>
        <v/>
      </c>
      <c r="D27" s="16">
        <f>SUMIFS(Data!$G:$G,Data!$A:$A,$A27,Data!$F:$F,"gen_coal_twh")</f>
        <v/>
      </c>
      <c r="E27" s="16">
        <f>SUMIFS(Data!$G:$G,Data!$A:$A,$A27,Data!$F:$F,"gen_gas_twh")</f>
        <v/>
      </c>
      <c r="F27" s="16">
        <f>SUMIFS(Data!$G:$G,Data!$A:$A,$A27,Data!$F:$F,"gen_oil_twh")</f>
        <v/>
      </c>
      <c r="G27" s="16">
        <f>SUMIFS(Data!$G:$G,Data!$A:$A,$A27,Data!$F:$F,"gen_total_twh")</f>
        <v/>
      </c>
      <c r="H27" s="16">
        <f>SUMIFS(Data!$G:$G,Data!$A:$A,$A27,Data!$F:$F,"em_coal_mt")</f>
        <v/>
      </c>
      <c r="I27" s="16">
        <f>SUMIFS(Data!$G:$G,Data!$A:$A,$A27,Data!$F:$F,"em_gas_mt")</f>
        <v/>
      </c>
      <c r="J27" s="16">
        <f>SUMIFS(Data!$G:$G,Data!$A:$A,$A27,Data!$F:$F,"em_oil_mt")</f>
        <v/>
      </c>
      <c r="K27" s="28">
        <f>IF(COUNTIFS(Data!$A:$A,$A27,Data!$F:$F,"price_electricity_residential_usd_kwh")=0,"",SUMIFS(Data!$G:$G,Data!$A:$A,$A27,Data!$F:$F,"price_electricity_residential_usd_kwh"))</f>
        <v/>
      </c>
      <c r="L27" s="28">
        <f>IF(COUNTIFS(Data!$A:$A,$A27,Data!$F:$F,"price_coal_power_usd_gj")=0,"",SUMIFS(Data!$G:$G,Data!$A:$A,$A27,Data!$F:$F,"price_coal_power_usd_gj"))</f>
        <v/>
      </c>
      <c r="M27" s="28">
        <f>IF(COUNTIFS(Data!$A:$A,$A27,Data!$F:$F,"price_gas_power_usd_gj")=0,"",SUMIFS(Data!$G:$G,Data!$A:$A,$A27,Data!$F:$F,"price_gas_power_usd_gj"))</f>
        <v/>
      </c>
      <c r="N27" s="28">
        <f>IF(COUNTIFS(Data!$A:$A,$A27,Data!$F:$F,"price_gas_industry_usd_gj")=0,"",SUMIFS(Data!$G:$G,Data!$A:$A,$A27,Data!$F:$F,"price_gas_industry_usd_gj"))</f>
        <v/>
      </c>
      <c r="O27" s="28">
        <f>IF(COUNTIFS(Data!$A:$A,$A27,Data!$F:$F,"power_market_structure")=0,"",SUMIFS(Data!$G:$G,Data!$A:$A,$A27,Data!$F:$F,"power_market_structure"))</f>
        <v/>
      </c>
      <c r="P27" s="28">
        <f>IF(COUNTIFS(Data!$A:$A,$A27,Data!$F:$F,"rise_renewable_energy_score")=0,"",SUMIFS(Data!$G:$G,Data!$A:$A,$A27,Data!$F:$F,"rise_renewable_energy_score"))</f>
        <v/>
      </c>
      <c r="Q27" s="16">
        <f>H27+I27+J27</f>
        <v/>
      </c>
      <c r="R27" s="28">
        <f>Q27/G27</f>
        <v/>
      </c>
      <c r="S27" s="28">
        <f>IF(D27&gt;0,H27/D27,0.85)</f>
        <v/>
      </c>
      <c r="T27" s="28">
        <f>IF(E27&gt;0,I27/E27,0.4)</f>
        <v/>
      </c>
      <c r="U27" s="28">
        <f>IF(D27+F27&gt;0,(H27+J27)/(D27+F27),0)</f>
        <v/>
      </c>
      <c r="V27" s="16">
        <f>K27*1000</f>
        <v/>
      </c>
      <c r="W27" s="15">
        <f>IF(O27=3,in_pt3,IF(O27=2,in_pt2,IF(O27=1,in_pt1,IF(C27="High income",in_pt_hi,in_pt_oth))))</f>
        <v/>
      </c>
      <c r="X27" s="28">
        <f>IF(Q27&gt;0,in_kappa*(in_rise_lo+(in_rise_hi-in_rise_lo)*IF(P27="",in_rise_miss,P27)/100)*(D27+F27)*MAX(U27-in_gas_rep*T27,0)/Q27,0)</f>
        <v/>
      </c>
      <c r="Y27" s="16">
        <f>IF(IF(M27="",N27,M27)="",MAX(in_sw_floor,in_sw_miss),MAX(in_sw_floor,(IF(M27="",N27,M27)*in_hr_gas-L27*in_hr_coal)/MAX(S27-T27,0.1)))</f>
        <v/>
      </c>
      <c r="Z27" s="28">
        <f>IF(C27="Low income",in_b40_li,IF(C27="Lower middle income",in_b40_lmi,IF(C27="Upper middle income",in_b40_umi,IF(C27="High income",in_b40_hi,0.03))))</f>
        <v/>
      </c>
      <c r="AA27" s="15">
        <f>(D27+F27)/G27</f>
        <v/>
      </c>
      <c r="AB27" s="28">
        <f>100*W27*R27/V27/in_phase</f>
        <v/>
      </c>
      <c r="AC27" s="29">
        <f>100*Z27*W27*R27/V27*(1-IF(W27&gt;0,MIN(in_rebate/(W27*in_res_sh*in_q40),1),1))</f>
        <v/>
      </c>
      <c r="AD27" s="28">
        <f>IF(AA27&gt;0,100*U27*(1-W27)/(in_whole_sh*V27),0)</f>
        <v/>
      </c>
      <c r="AE27" s="28">
        <f>IF(AA27&gt;0,100*MAX(U27-R27,0)/(in_whole_sh*V27),0)</f>
        <v/>
      </c>
      <c r="AF27" s="16">
        <f>IF(AB27&gt;0,in_f1/AB27,in_cap)</f>
        <v/>
      </c>
      <c r="AG27" s="16">
        <f>IF(AC27&gt;0,in_f2/AC27,in_cap)</f>
        <v/>
      </c>
      <c r="AH27" s="16">
        <f>IF(AD27&gt;0,in_f3/AD27,in_cap)</f>
        <v/>
      </c>
      <c r="AI27" s="16">
        <f>MIN(in_cap,AF27,AG27,AH27)</f>
        <v/>
      </c>
      <c r="AJ27" s="30">
        <f>100*(1-(1-X27*(1-EXP(-((AI27)+(0))/Y27)))*(1-MIN(ABS(in_elas)*W27*R27*(AI27)/V27,1)))</f>
        <v/>
      </c>
      <c r="AK27" s="17">
        <f>IF(AI27&gt;=in_cap-1E-9,"rate cap",TRIM(IF(ABS(AI27-AF27)&lt;1E-9,"F1 ","")&amp;IF(ABS(AI27-AG27)&lt;1E-9,"F2 ","")&amp;IF(ABS(AI27-AH27)&lt;1E-9,"F3","")))</f>
        <v/>
      </c>
      <c r="AL27" s="15">
        <f>100*(1-(1-X27*(1-EXP(-((MIN(in_cap,IF(AB27&gt;0,(in_f1+1)/AB27,in_cap),AG27,AH27))+(0))/Y27)))*(1-MIN(ABS(in_elas)*W27*R27*(MIN(in_cap,IF(AB27&gt;0,(in_f1+1)/AB27,in_cap),AG27,AH27))/V27,1)))-AJ27</f>
        <v/>
      </c>
      <c r="AM27" s="16">
        <f>MIN(in_cap,IF(AE27&gt;0,in_f3/AE27,in_cap))</f>
        <v/>
      </c>
      <c r="AN27" s="30">
        <f>100*(1-(1-X27*(1-EXP(-((0)+(AM27))/Y27)))*(1-MIN(ABS(in_elas)*W27*R27*(0)/V27,1)))</f>
        <v/>
      </c>
      <c r="AO27" s="17">
        <f>IF(AM27&gt;=in_cap-1E-9,"rate cap","F3")</f>
        <v/>
      </c>
      <c r="AP27" s="15">
        <f>100*(1-(1-X27*(1-EXP(-((50)+(0))/Y27)))*(1-MIN(ABS(in_elas)*W27*R27*(50)/V27,1)))</f>
        <v/>
      </c>
      <c r="AQ27" s="15">
        <f>100*(1-(1-X27*(1-EXP(-((0)+(50))/Y27)))*(1-MIN(ABS(in_elas)*W27*R27*(0)/V27,1)))</f>
        <v/>
      </c>
      <c r="AR27" s="15">
        <f>IF(AP27&gt;0,AQ27/AP27,"")</f>
        <v/>
      </c>
      <c r="AS27" s="16">
        <f>50*AB27</f>
        <v/>
      </c>
      <c r="AT27" s="30">
        <f>MAX(BM27:BW27)</f>
        <v/>
      </c>
      <c r="AU27" s="31">
        <f>AI27*(MATCH(AT27,BM27:BW27,0)-1)/10</f>
        <v/>
      </c>
      <c r="AV27" s="31">
        <f>INDEX(BB27:BL27,1,(MATCH(AT27,BM27:BW27,0)-1)+1)</f>
        <v/>
      </c>
      <c r="AW27" s="31">
        <f>AB27*AU27</f>
        <v/>
      </c>
      <c r="AX27" s="30">
        <f>AC27*AU27</f>
        <v/>
      </c>
      <c r="AY27" s="31">
        <f>AD27*AU27+AE27*AV27</f>
        <v/>
      </c>
      <c r="AZ27" s="32">
        <f>TRIM(IF(AND(AU27&gt;0,ABS(AU27-AF27)&lt;1E-6),"F1 ","")&amp;IF(AND(AU27&gt;0,ABS(AU27-AG27)&lt;1E-6),"F2 ","")&amp;IF(AY27&gt;=in_f3-1E-6,"F3 ","")&amp;IF(AV27&gt;=in_cap-1E-9,"rate cap",""))</f>
        <v/>
      </c>
      <c r="BA27" s="31">
        <f>Q27*AT27/100</f>
        <v/>
      </c>
      <c r="BB27" s="16">
        <f>MAX(0,MIN(in_cap,IF(AE27&gt;0,(in_f3-AD27*AI27*0/10)/AE27,in_cap)))</f>
        <v/>
      </c>
      <c r="BC27" s="16">
        <f>MAX(0,MIN(in_cap,IF(AE27&gt;0,(in_f3-AD27*AI27*1/10)/AE27,in_cap)))</f>
        <v/>
      </c>
      <c r="BD27" s="16">
        <f>MAX(0,MIN(in_cap,IF(AE27&gt;0,(in_f3-AD27*AI27*2/10)/AE27,in_cap)))</f>
        <v/>
      </c>
      <c r="BE27" s="16">
        <f>MAX(0,MIN(in_cap,IF(AE27&gt;0,(in_f3-AD27*AI27*3/10)/AE27,in_cap)))</f>
        <v/>
      </c>
      <c r="BF27" s="16">
        <f>MAX(0,MIN(in_cap,IF(AE27&gt;0,(in_f3-AD27*AI27*4/10)/AE27,in_cap)))</f>
        <v/>
      </c>
      <c r="BG27" s="16">
        <f>MAX(0,MIN(in_cap,IF(AE27&gt;0,(in_f3-AD27*AI27*5/10)/AE27,in_cap)))</f>
        <v/>
      </c>
      <c r="BH27" s="16">
        <f>MAX(0,MIN(in_cap,IF(AE27&gt;0,(in_f3-AD27*AI27*6/10)/AE27,in_cap)))</f>
        <v/>
      </c>
      <c r="BI27" s="16">
        <f>MAX(0,MIN(in_cap,IF(AE27&gt;0,(in_f3-AD27*AI27*7/10)/AE27,in_cap)))</f>
        <v/>
      </c>
      <c r="BJ27" s="16">
        <f>MAX(0,MIN(in_cap,IF(AE27&gt;0,(in_f3-AD27*AI27*8/10)/AE27,in_cap)))</f>
        <v/>
      </c>
      <c r="BK27" s="16">
        <f>MAX(0,MIN(in_cap,IF(AE27&gt;0,(in_f3-AD27*AI27*9/10)/AE27,in_cap)))</f>
        <v/>
      </c>
      <c r="BL27" s="16">
        <f>MAX(0,MIN(in_cap,IF(AE27&gt;0,(in_f3-AD27*AI27*10/10)/AE27,in_cap)))</f>
        <v/>
      </c>
      <c r="BM27" s="15">
        <f>100*(1-(1-X27*(1-EXP(-((AI27*0/10)+(BB27))/Y27)))*(1-MIN(ABS(in_elas)*W27*R27*(AI27*0/10)/V27,1)))</f>
        <v/>
      </c>
      <c r="BN27" s="15">
        <f>100*(1-(1-X27*(1-EXP(-((AI27*1/10)+(BC27))/Y27)))*(1-MIN(ABS(in_elas)*W27*R27*(AI27*1/10)/V27,1)))</f>
        <v/>
      </c>
      <c r="BO27" s="15">
        <f>100*(1-(1-X27*(1-EXP(-((AI27*2/10)+(BD27))/Y27)))*(1-MIN(ABS(in_elas)*W27*R27*(AI27*2/10)/V27,1)))</f>
        <v/>
      </c>
      <c r="BP27" s="15">
        <f>100*(1-(1-X27*(1-EXP(-((AI27*3/10)+(BE27))/Y27)))*(1-MIN(ABS(in_elas)*W27*R27*(AI27*3/10)/V27,1)))</f>
        <v/>
      </c>
      <c r="BQ27" s="15">
        <f>100*(1-(1-X27*(1-EXP(-((AI27*4/10)+(BF27))/Y27)))*(1-MIN(ABS(in_elas)*W27*R27*(AI27*4/10)/V27,1)))</f>
        <v/>
      </c>
      <c r="BR27" s="15">
        <f>100*(1-(1-X27*(1-EXP(-((AI27*5/10)+(BG27))/Y27)))*(1-MIN(ABS(in_elas)*W27*R27*(AI27*5/10)/V27,1)))</f>
        <v/>
      </c>
      <c r="BS27" s="15">
        <f>100*(1-(1-X27*(1-EXP(-((AI27*6/10)+(BH27))/Y27)))*(1-MIN(ABS(in_elas)*W27*R27*(AI27*6/10)/V27,1)))</f>
        <v/>
      </c>
      <c r="BT27" s="15">
        <f>100*(1-(1-X27*(1-EXP(-((AI27*7/10)+(BI27))/Y27)))*(1-MIN(ABS(in_elas)*W27*R27*(AI27*7/10)/V27,1)))</f>
        <v/>
      </c>
      <c r="BU27" s="15">
        <f>100*(1-(1-X27*(1-EXP(-((AI27*8/10)+(BJ27))/Y27)))*(1-MIN(ABS(in_elas)*W27*R27*(AI27*8/10)/V27,1)))</f>
        <v/>
      </c>
      <c r="BV27" s="15">
        <f>100*(1-(1-X27*(1-EXP(-((AI27*9/10)+(BK27))/Y27)))*(1-MIN(ABS(in_elas)*W27*R27*(AI27*9/10)/V27,1)))</f>
        <v/>
      </c>
      <c r="BW27" s="15">
        <f>100*(1-(1-X27*(1-EXP(-((AI27*10/10)+(BL27))/Y27)))*(1-MIN(ABS(in_elas)*W27*R27*(AI27*10/10)/V27,1)))</f>
        <v/>
      </c>
    </row>
    <row r="28">
      <c r="A28" s="17" t="inlineStr">
        <is>
          <t>BRB</t>
        </is>
      </c>
      <c r="B28" s="17">
        <f>INDEX(Data!$B:$B,MATCH($A28,Data!$A:$A,0))</f>
        <v/>
      </c>
      <c r="C28" s="17">
        <f>INDEX(Data!$D:$D,MATCH($A28,Data!$A:$A,0))</f>
        <v/>
      </c>
      <c r="D28" s="16">
        <f>SUMIFS(Data!$G:$G,Data!$A:$A,$A28,Data!$F:$F,"gen_coal_twh")</f>
        <v/>
      </c>
      <c r="E28" s="16">
        <f>SUMIFS(Data!$G:$G,Data!$A:$A,$A28,Data!$F:$F,"gen_gas_twh")</f>
        <v/>
      </c>
      <c r="F28" s="16">
        <f>SUMIFS(Data!$G:$G,Data!$A:$A,$A28,Data!$F:$F,"gen_oil_twh")</f>
        <v/>
      </c>
      <c r="G28" s="16">
        <f>SUMIFS(Data!$G:$G,Data!$A:$A,$A28,Data!$F:$F,"gen_total_twh")</f>
        <v/>
      </c>
      <c r="H28" s="16">
        <f>SUMIFS(Data!$G:$G,Data!$A:$A,$A28,Data!$F:$F,"em_coal_mt")</f>
        <v/>
      </c>
      <c r="I28" s="16">
        <f>SUMIFS(Data!$G:$G,Data!$A:$A,$A28,Data!$F:$F,"em_gas_mt")</f>
        <v/>
      </c>
      <c r="J28" s="16">
        <f>SUMIFS(Data!$G:$G,Data!$A:$A,$A28,Data!$F:$F,"em_oil_mt")</f>
        <v/>
      </c>
      <c r="K28" s="28">
        <f>IF(COUNTIFS(Data!$A:$A,$A28,Data!$F:$F,"price_electricity_residential_usd_kwh")=0,"",SUMIFS(Data!$G:$G,Data!$A:$A,$A28,Data!$F:$F,"price_electricity_residential_usd_kwh"))</f>
        <v/>
      </c>
      <c r="L28" s="28">
        <f>IF(COUNTIFS(Data!$A:$A,$A28,Data!$F:$F,"price_coal_power_usd_gj")=0,"",SUMIFS(Data!$G:$G,Data!$A:$A,$A28,Data!$F:$F,"price_coal_power_usd_gj"))</f>
        <v/>
      </c>
      <c r="M28" s="28">
        <f>IF(COUNTIFS(Data!$A:$A,$A28,Data!$F:$F,"price_gas_power_usd_gj")=0,"",SUMIFS(Data!$G:$G,Data!$A:$A,$A28,Data!$F:$F,"price_gas_power_usd_gj"))</f>
        <v/>
      </c>
      <c r="N28" s="28">
        <f>IF(COUNTIFS(Data!$A:$A,$A28,Data!$F:$F,"price_gas_industry_usd_gj")=0,"",SUMIFS(Data!$G:$G,Data!$A:$A,$A28,Data!$F:$F,"price_gas_industry_usd_gj"))</f>
        <v/>
      </c>
      <c r="O28" s="28">
        <f>IF(COUNTIFS(Data!$A:$A,$A28,Data!$F:$F,"power_market_structure")=0,"",SUMIFS(Data!$G:$G,Data!$A:$A,$A28,Data!$F:$F,"power_market_structure"))</f>
        <v/>
      </c>
      <c r="P28" s="28">
        <f>IF(COUNTIFS(Data!$A:$A,$A28,Data!$F:$F,"rise_renewable_energy_score")=0,"",SUMIFS(Data!$G:$G,Data!$A:$A,$A28,Data!$F:$F,"rise_renewable_energy_score"))</f>
        <v/>
      </c>
      <c r="Q28" s="16">
        <f>H28+I28+J28</f>
        <v/>
      </c>
      <c r="R28" s="28">
        <f>Q28/G28</f>
        <v/>
      </c>
      <c r="S28" s="28">
        <f>IF(D28&gt;0,H28/D28,0.85)</f>
        <v/>
      </c>
      <c r="T28" s="28">
        <f>IF(E28&gt;0,I28/E28,0.4)</f>
        <v/>
      </c>
      <c r="U28" s="28">
        <f>IF(D28+F28&gt;0,(H28+J28)/(D28+F28),0)</f>
        <v/>
      </c>
      <c r="V28" s="16">
        <f>K28*1000</f>
        <v/>
      </c>
      <c r="W28" s="15">
        <f>IF(O28=3,in_pt3,IF(O28=2,in_pt2,IF(O28=1,in_pt1,IF(C28="High income",in_pt_hi,in_pt_oth))))</f>
        <v/>
      </c>
      <c r="X28" s="28">
        <f>IF(Q28&gt;0,in_kappa*(in_rise_lo+(in_rise_hi-in_rise_lo)*IF(P28="",in_rise_miss,P28)/100)*(D28+F28)*MAX(U28-in_gas_rep*T28,0)/Q28,0)</f>
        <v/>
      </c>
      <c r="Y28" s="16">
        <f>IF(IF(M28="",N28,M28)="",MAX(in_sw_floor,in_sw_miss),MAX(in_sw_floor,(IF(M28="",N28,M28)*in_hr_gas-L28*in_hr_coal)/MAX(S28-T28,0.1)))</f>
        <v/>
      </c>
      <c r="Z28" s="28">
        <f>IF(C28="Low income",in_b40_li,IF(C28="Lower middle income",in_b40_lmi,IF(C28="Upper middle income",in_b40_umi,IF(C28="High income",in_b40_hi,0.03))))</f>
        <v/>
      </c>
      <c r="AA28" s="15">
        <f>(D28+F28)/G28</f>
        <v/>
      </c>
      <c r="AB28" s="28">
        <f>100*W28*R28/V28/in_phase</f>
        <v/>
      </c>
      <c r="AC28" s="29">
        <f>100*Z28*W28*R28/V28*(1-IF(W28&gt;0,MIN(in_rebate/(W28*in_res_sh*in_q40),1),1))</f>
        <v/>
      </c>
      <c r="AD28" s="28">
        <f>IF(AA28&gt;0,100*U28*(1-W28)/(in_whole_sh*V28),0)</f>
        <v/>
      </c>
      <c r="AE28" s="28">
        <f>IF(AA28&gt;0,100*MAX(U28-R28,0)/(in_whole_sh*V28),0)</f>
        <v/>
      </c>
      <c r="AF28" s="16">
        <f>IF(AB28&gt;0,in_f1/AB28,in_cap)</f>
        <v/>
      </c>
      <c r="AG28" s="16">
        <f>IF(AC28&gt;0,in_f2/AC28,in_cap)</f>
        <v/>
      </c>
      <c r="AH28" s="16">
        <f>IF(AD28&gt;0,in_f3/AD28,in_cap)</f>
        <v/>
      </c>
      <c r="AI28" s="16">
        <f>MIN(in_cap,AF28,AG28,AH28)</f>
        <v/>
      </c>
      <c r="AJ28" s="30">
        <f>100*(1-(1-X28*(1-EXP(-((AI28)+(0))/Y28)))*(1-MIN(ABS(in_elas)*W28*R28*(AI28)/V28,1)))</f>
        <v/>
      </c>
      <c r="AK28" s="17">
        <f>IF(AI28&gt;=in_cap-1E-9,"rate cap",TRIM(IF(ABS(AI28-AF28)&lt;1E-9,"F1 ","")&amp;IF(ABS(AI28-AG28)&lt;1E-9,"F2 ","")&amp;IF(ABS(AI28-AH28)&lt;1E-9,"F3","")))</f>
        <v/>
      </c>
      <c r="AL28" s="15">
        <f>100*(1-(1-X28*(1-EXP(-((MIN(in_cap,IF(AB28&gt;0,(in_f1+1)/AB28,in_cap),AG28,AH28))+(0))/Y28)))*(1-MIN(ABS(in_elas)*W28*R28*(MIN(in_cap,IF(AB28&gt;0,(in_f1+1)/AB28,in_cap),AG28,AH28))/V28,1)))-AJ28</f>
        <v/>
      </c>
      <c r="AM28" s="16">
        <f>MIN(in_cap,IF(AE28&gt;0,in_f3/AE28,in_cap))</f>
        <v/>
      </c>
      <c r="AN28" s="30">
        <f>100*(1-(1-X28*(1-EXP(-((0)+(AM28))/Y28)))*(1-MIN(ABS(in_elas)*W28*R28*(0)/V28,1)))</f>
        <v/>
      </c>
      <c r="AO28" s="17">
        <f>IF(AM28&gt;=in_cap-1E-9,"rate cap","F3")</f>
        <v/>
      </c>
      <c r="AP28" s="15">
        <f>100*(1-(1-X28*(1-EXP(-((50)+(0))/Y28)))*(1-MIN(ABS(in_elas)*W28*R28*(50)/V28,1)))</f>
        <v/>
      </c>
      <c r="AQ28" s="15">
        <f>100*(1-(1-X28*(1-EXP(-((0)+(50))/Y28)))*(1-MIN(ABS(in_elas)*W28*R28*(0)/V28,1)))</f>
        <v/>
      </c>
      <c r="AR28" s="15">
        <f>IF(AP28&gt;0,AQ28/AP28,"")</f>
        <v/>
      </c>
      <c r="AS28" s="16">
        <f>50*AB28</f>
        <v/>
      </c>
      <c r="AT28" s="30">
        <f>MAX(BM28:BW28)</f>
        <v/>
      </c>
      <c r="AU28" s="31">
        <f>AI28*(MATCH(AT28,BM28:BW28,0)-1)/10</f>
        <v/>
      </c>
      <c r="AV28" s="31">
        <f>INDEX(BB28:BL28,1,(MATCH(AT28,BM28:BW28,0)-1)+1)</f>
        <v/>
      </c>
      <c r="AW28" s="31">
        <f>AB28*AU28</f>
        <v/>
      </c>
      <c r="AX28" s="30">
        <f>AC28*AU28</f>
        <v/>
      </c>
      <c r="AY28" s="31">
        <f>AD28*AU28+AE28*AV28</f>
        <v/>
      </c>
      <c r="AZ28" s="32">
        <f>TRIM(IF(AND(AU28&gt;0,ABS(AU28-AF28)&lt;1E-6),"F1 ","")&amp;IF(AND(AU28&gt;0,ABS(AU28-AG28)&lt;1E-6),"F2 ","")&amp;IF(AY28&gt;=in_f3-1E-6,"F3 ","")&amp;IF(AV28&gt;=in_cap-1E-9,"rate cap",""))</f>
        <v/>
      </c>
      <c r="BA28" s="31">
        <f>Q28*AT28/100</f>
        <v/>
      </c>
      <c r="BB28" s="16">
        <f>MAX(0,MIN(in_cap,IF(AE28&gt;0,(in_f3-AD28*AI28*0/10)/AE28,in_cap)))</f>
        <v/>
      </c>
      <c r="BC28" s="16">
        <f>MAX(0,MIN(in_cap,IF(AE28&gt;0,(in_f3-AD28*AI28*1/10)/AE28,in_cap)))</f>
        <v/>
      </c>
      <c r="BD28" s="16">
        <f>MAX(0,MIN(in_cap,IF(AE28&gt;0,(in_f3-AD28*AI28*2/10)/AE28,in_cap)))</f>
        <v/>
      </c>
      <c r="BE28" s="16">
        <f>MAX(0,MIN(in_cap,IF(AE28&gt;0,(in_f3-AD28*AI28*3/10)/AE28,in_cap)))</f>
        <v/>
      </c>
      <c r="BF28" s="16">
        <f>MAX(0,MIN(in_cap,IF(AE28&gt;0,(in_f3-AD28*AI28*4/10)/AE28,in_cap)))</f>
        <v/>
      </c>
      <c r="BG28" s="16">
        <f>MAX(0,MIN(in_cap,IF(AE28&gt;0,(in_f3-AD28*AI28*5/10)/AE28,in_cap)))</f>
        <v/>
      </c>
      <c r="BH28" s="16">
        <f>MAX(0,MIN(in_cap,IF(AE28&gt;0,(in_f3-AD28*AI28*6/10)/AE28,in_cap)))</f>
        <v/>
      </c>
      <c r="BI28" s="16">
        <f>MAX(0,MIN(in_cap,IF(AE28&gt;0,(in_f3-AD28*AI28*7/10)/AE28,in_cap)))</f>
        <v/>
      </c>
      <c r="BJ28" s="16">
        <f>MAX(0,MIN(in_cap,IF(AE28&gt;0,(in_f3-AD28*AI28*8/10)/AE28,in_cap)))</f>
        <v/>
      </c>
      <c r="BK28" s="16">
        <f>MAX(0,MIN(in_cap,IF(AE28&gt;0,(in_f3-AD28*AI28*9/10)/AE28,in_cap)))</f>
        <v/>
      </c>
      <c r="BL28" s="16">
        <f>MAX(0,MIN(in_cap,IF(AE28&gt;0,(in_f3-AD28*AI28*10/10)/AE28,in_cap)))</f>
        <v/>
      </c>
      <c r="BM28" s="15">
        <f>100*(1-(1-X28*(1-EXP(-((AI28*0/10)+(BB28))/Y28)))*(1-MIN(ABS(in_elas)*W28*R28*(AI28*0/10)/V28,1)))</f>
        <v/>
      </c>
      <c r="BN28" s="15">
        <f>100*(1-(1-X28*(1-EXP(-((AI28*1/10)+(BC28))/Y28)))*(1-MIN(ABS(in_elas)*W28*R28*(AI28*1/10)/V28,1)))</f>
        <v/>
      </c>
      <c r="BO28" s="15">
        <f>100*(1-(1-X28*(1-EXP(-((AI28*2/10)+(BD28))/Y28)))*(1-MIN(ABS(in_elas)*W28*R28*(AI28*2/10)/V28,1)))</f>
        <v/>
      </c>
      <c r="BP28" s="15">
        <f>100*(1-(1-X28*(1-EXP(-((AI28*3/10)+(BE28))/Y28)))*(1-MIN(ABS(in_elas)*W28*R28*(AI28*3/10)/V28,1)))</f>
        <v/>
      </c>
      <c r="BQ28" s="15">
        <f>100*(1-(1-X28*(1-EXP(-((AI28*4/10)+(BF28))/Y28)))*(1-MIN(ABS(in_elas)*W28*R28*(AI28*4/10)/V28,1)))</f>
        <v/>
      </c>
      <c r="BR28" s="15">
        <f>100*(1-(1-X28*(1-EXP(-((AI28*5/10)+(BG28))/Y28)))*(1-MIN(ABS(in_elas)*W28*R28*(AI28*5/10)/V28,1)))</f>
        <v/>
      </c>
      <c r="BS28" s="15">
        <f>100*(1-(1-X28*(1-EXP(-((AI28*6/10)+(BH28))/Y28)))*(1-MIN(ABS(in_elas)*W28*R28*(AI28*6/10)/V28,1)))</f>
        <v/>
      </c>
      <c r="BT28" s="15">
        <f>100*(1-(1-X28*(1-EXP(-((AI28*7/10)+(BI28))/Y28)))*(1-MIN(ABS(in_elas)*W28*R28*(AI28*7/10)/V28,1)))</f>
        <v/>
      </c>
      <c r="BU28" s="15">
        <f>100*(1-(1-X28*(1-EXP(-((AI28*8/10)+(BJ28))/Y28)))*(1-MIN(ABS(in_elas)*W28*R28*(AI28*8/10)/V28,1)))</f>
        <v/>
      </c>
      <c r="BV28" s="15">
        <f>100*(1-(1-X28*(1-EXP(-((AI28*9/10)+(BK28))/Y28)))*(1-MIN(ABS(in_elas)*W28*R28*(AI28*9/10)/V28,1)))</f>
        <v/>
      </c>
      <c r="BW28" s="15">
        <f>100*(1-(1-X28*(1-EXP(-((AI28*10/10)+(BL28))/Y28)))*(1-MIN(ABS(in_elas)*W28*R28*(AI28*10/10)/V28,1)))</f>
        <v/>
      </c>
    </row>
    <row r="29">
      <c r="A29" s="17" t="inlineStr">
        <is>
          <t>BRN</t>
        </is>
      </c>
      <c r="B29" s="17">
        <f>INDEX(Data!$B:$B,MATCH($A29,Data!$A:$A,0))</f>
        <v/>
      </c>
      <c r="C29" s="17">
        <f>INDEX(Data!$D:$D,MATCH($A29,Data!$A:$A,0))</f>
        <v/>
      </c>
      <c r="D29" s="16">
        <f>SUMIFS(Data!$G:$G,Data!$A:$A,$A29,Data!$F:$F,"gen_coal_twh")</f>
        <v/>
      </c>
      <c r="E29" s="16">
        <f>SUMIFS(Data!$G:$G,Data!$A:$A,$A29,Data!$F:$F,"gen_gas_twh")</f>
        <v/>
      </c>
      <c r="F29" s="16">
        <f>SUMIFS(Data!$G:$G,Data!$A:$A,$A29,Data!$F:$F,"gen_oil_twh")</f>
        <v/>
      </c>
      <c r="G29" s="16">
        <f>SUMIFS(Data!$G:$G,Data!$A:$A,$A29,Data!$F:$F,"gen_total_twh")</f>
        <v/>
      </c>
      <c r="H29" s="16">
        <f>SUMIFS(Data!$G:$G,Data!$A:$A,$A29,Data!$F:$F,"em_coal_mt")</f>
        <v/>
      </c>
      <c r="I29" s="16">
        <f>SUMIFS(Data!$G:$G,Data!$A:$A,$A29,Data!$F:$F,"em_gas_mt")</f>
        <v/>
      </c>
      <c r="J29" s="16">
        <f>SUMIFS(Data!$G:$G,Data!$A:$A,$A29,Data!$F:$F,"em_oil_mt")</f>
        <v/>
      </c>
      <c r="K29" s="28">
        <f>IF(COUNTIFS(Data!$A:$A,$A29,Data!$F:$F,"price_electricity_residential_usd_kwh")=0,"",SUMIFS(Data!$G:$G,Data!$A:$A,$A29,Data!$F:$F,"price_electricity_residential_usd_kwh"))</f>
        <v/>
      </c>
      <c r="L29" s="28">
        <f>IF(COUNTIFS(Data!$A:$A,$A29,Data!$F:$F,"price_coal_power_usd_gj")=0,"",SUMIFS(Data!$G:$G,Data!$A:$A,$A29,Data!$F:$F,"price_coal_power_usd_gj"))</f>
        <v/>
      </c>
      <c r="M29" s="28">
        <f>IF(COUNTIFS(Data!$A:$A,$A29,Data!$F:$F,"price_gas_power_usd_gj")=0,"",SUMIFS(Data!$G:$G,Data!$A:$A,$A29,Data!$F:$F,"price_gas_power_usd_gj"))</f>
        <v/>
      </c>
      <c r="N29" s="28">
        <f>IF(COUNTIFS(Data!$A:$A,$A29,Data!$F:$F,"price_gas_industry_usd_gj")=0,"",SUMIFS(Data!$G:$G,Data!$A:$A,$A29,Data!$F:$F,"price_gas_industry_usd_gj"))</f>
        <v/>
      </c>
      <c r="O29" s="28">
        <f>IF(COUNTIFS(Data!$A:$A,$A29,Data!$F:$F,"power_market_structure")=0,"",SUMIFS(Data!$G:$G,Data!$A:$A,$A29,Data!$F:$F,"power_market_structure"))</f>
        <v/>
      </c>
      <c r="P29" s="28">
        <f>IF(COUNTIFS(Data!$A:$A,$A29,Data!$F:$F,"rise_renewable_energy_score")=0,"",SUMIFS(Data!$G:$G,Data!$A:$A,$A29,Data!$F:$F,"rise_renewable_energy_score"))</f>
        <v/>
      </c>
      <c r="Q29" s="16">
        <f>H29+I29+J29</f>
        <v/>
      </c>
      <c r="R29" s="28">
        <f>Q29/G29</f>
        <v/>
      </c>
      <c r="S29" s="28">
        <f>IF(D29&gt;0,H29/D29,0.85)</f>
        <v/>
      </c>
      <c r="T29" s="28">
        <f>IF(E29&gt;0,I29/E29,0.4)</f>
        <v/>
      </c>
      <c r="U29" s="28">
        <f>IF(D29+F29&gt;0,(H29+J29)/(D29+F29),0)</f>
        <v/>
      </c>
      <c r="V29" s="16">
        <f>K29*1000</f>
        <v/>
      </c>
      <c r="W29" s="15">
        <f>IF(O29=3,in_pt3,IF(O29=2,in_pt2,IF(O29=1,in_pt1,IF(C29="High income",in_pt_hi,in_pt_oth))))</f>
        <v/>
      </c>
      <c r="X29" s="28">
        <f>IF(Q29&gt;0,in_kappa*(in_rise_lo+(in_rise_hi-in_rise_lo)*IF(P29="",in_rise_miss,P29)/100)*(D29+F29)*MAX(U29-in_gas_rep*T29,0)/Q29,0)</f>
        <v/>
      </c>
      <c r="Y29" s="16">
        <f>IF(IF(M29="",N29,M29)="",MAX(in_sw_floor,in_sw_miss),MAX(in_sw_floor,(IF(M29="",N29,M29)*in_hr_gas-L29*in_hr_coal)/MAX(S29-T29,0.1)))</f>
        <v/>
      </c>
      <c r="Z29" s="28">
        <f>IF(C29="Low income",in_b40_li,IF(C29="Lower middle income",in_b40_lmi,IF(C29="Upper middle income",in_b40_umi,IF(C29="High income",in_b40_hi,0.03))))</f>
        <v/>
      </c>
      <c r="AA29" s="15">
        <f>(D29+F29)/G29</f>
        <v/>
      </c>
      <c r="AB29" s="28">
        <f>100*W29*R29/V29/in_phase</f>
        <v/>
      </c>
      <c r="AC29" s="29">
        <f>100*Z29*W29*R29/V29*(1-IF(W29&gt;0,MIN(in_rebate/(W29*in_res_sh*in_q40),1),1))</f>
        <v/>
      </c>
      <c r="AD29" s="28">
        <f>IF(AA29&gt;0,100*U29*(1-W29)/(in_whole_sh*V29),0)</f>
        <v/>
      </c>
      <c r="AE29" s="28">
        <f>IF(AA29&gt;0,100*MAX(U29-R29,0)/(in_whole_sh*V29),0)</f>
        <v/>
      </c>
      <c r="AF29" s="16">
        <f>IF(AB29&gt;0,in_f1/AB29,in_cap)</f>
        <v/>
      </c>
      <c r="AG29" s="16">
        <f>IF(AC29&gt;0,in_f2/AC29,in_cap)</f>
        <v/>
      </c>
      <c r="AH29" s="16">
        <f>IF(AD29&gt;0,in_f3/AD29,in_cap)</f>
        <v/>
      </c>
      <c r="AI29" s="16">
        <f>MIN(in_cap,AF29,AG29,AH29)</f>
        <v/>
      </c>
      <c r="AJ29" s="30">
        <f>100*(1-(1-X29*(1-EXP(-((AI29)+(0))/Y29)))*(1-MIN(ABS(in_elas)*W29*R29*(AI29)/V29,1)))</f>
        <v/>
      </c>
      <c r="AK29" s="17">
        <f>IF(AI29&gt;=in_cap-1E-9,"rate cap",TRIM(IF(ABS(AI29-AF29)&lt;1E-9,"F1 ","")&amp;IF(ABS(AI29-AG29)&lt;1E-9,"F2 ","")&amp;IF(ABS(AI29-AH29)&lt;1E-9,"F3","")))</f>
        <v/>
      </c>
      <c r="AL29" s="15">
        <f>100*(1-(1-X29*(1-EXP(-((MIN(in_cap,IF(AB29&gt;0,(in_f1+1)/AB29,in_cap),AG29,AH29))+(0))/Y29)))*(1-MIN(ABS(in_elas)*W29*R29*(MIN(in_cap,IF(AB29&gt;0,(in_f1+1)/AB29,in_cap),AG29,AH29))/V29,1)))-AJ29</f>
        <v/>
      </c>
      <c r="AM29" s="16">
        <f>MIN(in_cap,IF(AE29&gt;0,in_f3/AE29,in_cap))</f>
        <v/>
      </c>
      <c r="AN29" s="30">
        <f>100*(1-(1-X29*(1-EXP(-((0)+(AM29))/Y29)))*(1-MIN(ABS(in_elas)*W29*R29*(0)/V29,1)))</f>
        <v/>
      </c>
      <c r="AO29" s="17">
        <f>IF(AM29&gt;=in_cap-1E-9,"rate cap","F3")</f>
        <v/>
      </c>
      <c r="AP29" s="15">
        <f>100*(1-(1-X29*(1-EXP(-((50)+(0))/Y29)))*(1-MIN(ABS(in_elas)*W29*R29*(50)/V29,1)))</f>
        <v/>
      </c>
      <c r="AQ29" s="15">
        <f>100*(1-(1-X29*(1-EXP(-((0)+(50))/Y29)))*(1-MIN(ABS(in_elas)*W29*R29*(0)/V29,1)))</f>
        <v/>
      </c>
      <c r="AR29" s="15">
        <f>IF(AP29&gt;0,AQ29/AP29,"")</f>
        <v/>
      </c>
      <c r="AS29" s="16">
        <f>50*AB29</f>
        <v/>
      </c>
      <c r="AT29" s="30">
        <f>MAX(BM29:BW29)</f>
        <v/>
      </c>
      <c r="AU29" s="31">
        <f>AI29*(MATCH(AT29,BM29:BW29,0)-1)/10</f>
        <v/>
      </c>
      <c r="AV29" s="31">
        <f>INDEX(BB29:BL29,1,(MATCH(AT29,BM29:BW29,0)-1)+1)</f>
        <v/>
      </c>
      <c r="AW29" s="31">
        <f>AB29*AU29</f>
        <v/>
      </c>
      <c r="AX29" s="30">
        <f>AC29*AU29</f>
        <v/>
      </c>
      <c r="AY29" s="31">
        <f>AD29*AU29+AE29*AV29</f>
        <v/>
      </c>
      <c r="AZ29" s="32">
        <f>TRIM(IF(AND(AU29&gt;0,ABS(AU29-AF29)&lt;1E-6),"F1 ","")&amp;IF(AND(AU29&gt;0,ABS(AU29-AG29)&lt;1E-6),"F2 ","")&amp;IF(AY29&gt;=in_f3-1E-6,"F3 ","")&amp;IF(AV29&gt;=in_cap-1E-9,"rate cap",""))</f>
        <v/>
      </c>
      <c r="BA29" s="31">
        <f>Q29*AT29/100</f>
        <v/>
      </c>
      <c r="BB29" s="16">
        <f>MAX(0,MIN(in_cap,IF(AE29&gt;0,(in_f3-AD29*AI29*0/10)/AE29,in_cap)))</f>
        <v/>
      </c>
      <c r="BC29" s="16">
        <f>MAX(0,MIN(in_cap,IF(AE29&gt;0,(in_f3-AD29*AI29*1/10)/AE29,in_cap)))</f>
        <v/>
      </c>
      <c r="BD29" s="16">
        <f>MAX(0,MIN(in_cap,IF(AE29&gt;0,(in_f3-AD29*AI29*2/10)/AE29,in_cap)))</f>
        <v/>
      </c>
      <c r="BE29" s="16">
        <f>MAX(0,MIN(in_cap,IF(AE29&gt;0,(in_f3-AD29*AI29*3/10)/AE29,in_cap)))</f>
        <v/>
      </c>
      <c r="BF29" s="16">
        <f>MAX(0,MIN(in_cap,IF(AE29&gt;0,(in_f3-AD29*AI29*4/10)/AE29,in_cap)))</f>
        <v/>
      </c>
      <c r="BG29" s="16">
        <f>MAX(0,MIN(in_cap,IF(AE29&gt;0,(in_f3-AD29*AI29*5/10)/AE29,in_cap)))</f>
        <v/>
      </c>
      <c r="BH29" s="16">
        <f>MAX(0,MIN(in_cap,IF(AE29&gt;0,(in_f3-AD29*AI29*6/10)/AE29,in_cap)))</f>
        <v/>
      </c>
      <c r="BI29" s="16">
        <f>MAX(0,MIN(in_cap,IF(AE29&gt;0,(in_f3-AD29*AI29*7/10)/AE29,in_cap)))</f>
        <v/>
      </c>
      <c r="BJ29" s="16">
        <f>MAX(0,MIN(in_cap,IF(AE29&gt;0,(in_f3-AD29*AI29*8/10)/AE29,in_cap)))</f>
        <v/>
      </c>
      <c r="BK29" s="16">
        <f>MAX(0,MIN(in_cap,IF(AE29&gt;0,(in_f3-AD29*AI29*9/10)/AE29,in_cap)))</f>
        <v/>
      </c>
      <c r="BL29" s="16">
        <f>MAX(0,MIN(in_cap,IF(AE29&gt;0,(in_f3-AD29*AI29*10/10)/AE29,in_cap)))</f>
        <v/>
      </c>
      <c r="BM29" s="15">
        <f>100*(1-(1-X29*(1-EXP(-((AI29*0/10)+(BB29))/Y29)))*(1-MIN(ABS(in_elas)*W29*R29*(AI29*0/10)/V29,1)))</f>
        <v/>
      </c>
      <c r="BN29" s="15">
        <f>100*(1-(1-X29*(1-EXP(-((AI29*1/10)+(BC29))/Y29)))*(1-MIN(ABS(in_elas)*W29*R29*(AI29*1/10)/V29,1)))</f>
        <v/>
      </c>
      <c r="BO29" s="15">
        <f>100*(1-(1-X29*(1-EXP(-((AI29*2/10)+(BD29))/Y29)))*(1-MIN(ABS(in_elas)*W29*R29*(AI29*2/10)/V29,1)))</f>
        <v/>
      </c>
      <c r="BP29" s="15">
        <f>100*(1-(1-X29*(1-EXP(-((AI29*3/10)+(BE29))/Y29)))*(1-MIN(ABS(in_elas)*W29*R29*(AI29*3/10)/V29,1)))</f>
        <v/>
      </c>
      <c r="BQ29" s="15">
        <f>100*(1-(1-X29*(1-EXP(-((AI29*4/10)+(BF29))/Y29)))*(1-MIN(ABS(in_elas)*W29*R29*(AI29*4/10)/V29,1)))</f>
        <v/>
      </c>
      <c r="BR29" s="15">
        <f>100*(1-(1-X29*(1-EXP(-((AI29*5/10)+(BG29))/Y29)))*(1-MIN(ABS(in_elas)*W29*R29*(AI29*5/10)/V29,1)))</f>
        <v/>
      </c>
      <c r="BS29" s="15">
        <f>100*(1-(1-X29*(1-EXP(-((AI29*6/10)+(BH29))/Y29)))*(1-MIN(ABS(in_elas)*W29*R29*(AI29*6/10)/V29,1)))</f>
        <v/>
      </c>
      <c r="BT29" s="15">
        <f>100*(1-(1-X29*(1-EXP(-((AI29*7/10)+(BI29))/Y29)))*(1-MIN(ABS(in_elas)*W29*R29*(AI29*7/10)/V29,1)))</f>
        <v/>
      </c>
      <c r="BU29" s="15">
        <f>100*(1-(1-X29*(1-EXP(-((AI29*8/10)+(BJ29))/Y29)))*(1-MIN(ABS(in_elas)*W29*R29*(AI29*8/10)/V29,1)))</f>
        <v/>
      </c>
      <c r="BV29" s="15">
        <f>100*(1-(1-X29*(1-EXP(-((AI29*9/10)+(BK29))/Y29)))*(1-MIN(ABS(in_elas)*W29*R29*(AI29*9/10)/V29,1)))</f>
        <v/>
      </c>
      <c r="BW29" s="15">
        <f>100*(1-(1-X29*(1-EXP(-((AI29*10/10)+(BL29))/Y29)))*(1-MIN(ABS(in_elas)*W29*R29*(AI29*10/10)/V29,1)))</f>
        <v/>
      </c>
    </row>
    <row r="30">
      <c r="A30" s="17" t="inlineStr">
        <is>
          <t>BWA</t>
        </is>
      </c>
      <c r="B30" s="17">
        <f>INDEX(Data!$B:$B,MATCH($A30,Data!$A:$A,0))</f>
        <v/>
      </c>
      <c r="C30" s="17">
        <f>INDEX(Data!$D:$D,MATCH($A30,Data!$A:$A,0))</f>
        <v/>
      </c>
      <c r="D30" s="16">
        <f>SUMIFS(Data!$G:$G,Data!$A:$A,$A30,Data!$F:$F,"gen_coal_twh")</f>
        <v/>
      </c>
      <c r="E30" s="16">
        <f>SUMIFS(Data!$G:$G,Data!$A:$A,$A30,Data!$F:$F,"gen_gas_twh")</f>
        <v/>
      </c>
      <c r="F30" s="16">
        <f>SUMIFS(Data!$G:$G,Data!$A:$A,$A30,Data!$F:$F,"gen_oil_twh")</f>
        <v/>
      </c>
      <c r="G30" s="16">
        <f>SUMIFS(Data!$G:$G,Data!$A:$A,$A30,Data!$F:$F,"gen_total_twh")</f>
        <v/>
      </c>
      <c r="H30" s="16">
        <f>SUMIFS(Data!$G:$G,Data!$A:$A,$A30,Data!$F:$F,"em_coal_mt")</f>
        <v/>
      </c>
      <c r="I30" s="16">
        <f>SUMIFS(Data!$G:$G,Data!$A:$A,$A30,Data!$F:$F,"em_gas_mt")</f>
        <v/>
      </c>
      <c r="J30" s="16">
        <f>SUMIFS(Data!$G:$G,Data!$A:$A,$A30,Data!$F:$F,"em_oil_mt")</f>
        <v/>
      </c>
      <c r="K30" s="28">
        <f>IF(COUNTIFS(Data!$A:$A,$A30,Data!$F:$F,"price_electricity_residential_usd_kwh")=0,"",SUMIFS(Data!$G:$G,Data!$A:$A,$A30,Data!$F:$F,"price_electricity_residential_usd_kwh"))</f>
        <v/>
      </c>
      <c r="L30" s="28">
        <f>IF(COUNTIFS(Data!$A:$A,$A30,Data!$F:$F,"price_coal_power_usd_gj")=0,"",SUMIFS(Data!$G:$G,Data!$A:$A,$A30,Data!$F:$F,"price_coal_power_usd_gj"))</f>
        <v/>
      </c>
      <c r="M30" s="28">
        <f>IF(COUNTIFS(Data!$A:$A,$A30,Data!$F:$F,"price_gas_power_usd_gj")=0,"",SUMIFS(Data!$G:$G,Data!$A:$A,$A30,Data!$F:$F,"price_gas_power_usd_gj"))</f>
        <v/>
      </c>
      <c r="N30" s="28">
        <f>IF(COUNTIFS(Data!$A:$A,$A30,Data!$F:$F,"price_gas_industry_usd_gj")=0,"",SUMIFS(Data!$G:$G,Data!$A:$A,$A30,Data!$F:$F,"price_gas_industry_usd_gj"))</f>
        <v/>
      </c>
      <c r="O30" s="28">
        <f>IF(COUNTIFS(Data!$A:$A,$A30,Data!$F:$F,"power_market_structure")=0,"",SUMIFS(Data!$G:$G,Data!$A:$A,$A30,Data!$F:$F,"power_market_structure"))</f>
        <v/>
      </c>
      <c r="P30" s="28">
        <f>IF(COUNTIFS(Data!$A:$A,$A30,Data!$F:$F,"rise_renewable_energy_score")=0,"",SUMIFS(Data!$G:$G,Data!$A:$A,$A30,Data!$F:$F,"rise_renewable_energy_score"))</f>
        <v/>
      </c>
      <c r="Q30" s="16">
        <f>H30+I30+J30</f>
        <v/>
      </c>
      <c r="R30" s="28">
        <f>Q30/G30</f>
        <v/>
      </c>
      <c r="S30" s="28">
        <f>IF(D30&gt;0,H30/D30,0.85)</f>
        <v/>
      </c>
      <c r="T30" s="28">
        <f>IF(E30&gt;0,I30/E30,0.4)</f>
        <v/>
      </c>
      <c r="U30" s="28">
        <f>IF(D30+F30&gt;0,(H30+J30)/(D30+F30),0)</f>
        <v/>
      </c>
      <c r="V30" s="16">
        <f>K30*1000</f>
        <v/>
      </c>
      <c r="W30" s="15">
        <f>IF(O30=3,in_pt3,IF(O30=2,in_pt2,IF(O30=1,in_pt1,IF(C30="High income",in_pt_hi,in_pt_oth))))</f>
        <v/>
      </c>
      <c r="X30" s="28">
        <f>IF(Q30&gt;0,in_kappa*(in_rise_lo+(in_rise_hi-in_rise_lo)*IF(P30="",in_rise_miss,P30)/100)*(D30+F30)*MAX(U30-in_gas_rep*T30,0)/Q30,0)</f>
        <v/>
      </c>
      <c r="Y30" s="16">
        <f>IF(IF(M30="",N30,M30)="",MAX(in_sw_floor,in_sw_miss),MAX(in_sw_floor,(IF(M30="",N30,M30)*in_hr_gas-L30*in_hr_coal)/MAX(S30-T30,0.1)))</f>
        <v/>
      </c>
      <c r="Z30" s="28">
        <f>IF(C30="Low income",in_b40_li,IF(C30="Lower middle income",in_b40_lmi,IF(C30="Upper middle income",in_b40_umi,IF(C30="High income",in_b40_hi,0.03))))</f>
        <v/>
      </c>
      <c r="AA30" s="15">
        <f>(D30+F30)/G30</f>
        <v/>
      </c>
      <c r="AB30" s="28">
        <f>100*W30*R30/V30/in_phase</f>
        <v/>
      </c>
      <c r="AC30" s="29">
        <f>100*Z30*W30*R30/V30*(1-IF(W30&gt;0,MIN(in_rebate/(W30*in_res_sh*in_q40),1),1))</f>
        <v/>
      </c>
      <c r="AD30" s="28">
        <f>IF(AA30&gt;0,100*U30*(1-W30)/(in_whole_sh*V30),0)</f>
        <v/>
      </c>
      <c r="AE30" s="28">
        <f>IF(AA30&gt;0,100*MAX(U30-R30,0)/(in_whole_sh*V30),0)</f>
        <v/>
      </c>
      <c r="AF30" s="16">
        <f>IF(AB30&gt;0,in_f1/AB30,in_cap)</f>
        <v/>
      </c>
      <c r="AG30" s="16">
        <f>IF(AC30&gt;0,in_f2/AC30,in_cap)</f>
        <v/>
      </c>
      <c r="AH30" s="16">
        <f>IF(AD30&gt;0,in_f3/AD30,in_cap)</f>
        <v/>
      </c>
      <c r="AI30" s="16">
        <f>MIN(in_cap,AF30,AG30,AH30)</f>
        <v/>
      </c>
      <c r="AJ30" s="30">
        <f>100*(1-(1-X30*(1-EXP(-((AI30)+(0))/Y30)))*(1-MIN(ABS(in_elas)*W30*R30*(AI30)/V30,1)))</f>
        <v/>
      </c>
      <c r="AK30" s="17">
        <f>IF(AI30&gt;=in_cap-1E-9,"rate cap",TRIM(IF(ABS(AI30-AF30)&lt;1E-9,"F1 ","")&amp;IF(ABS(AI30-AG30)&lt;1E-9,"F2 ","")&amp;IF(ABS(AI30-AH30)&lt;1E-9,"F3","")))</f>
        <v/>
      </c>
      <c r="AL30" s="15">
        <f>100*(1-(1-X30*(1-EXP(-((MIN(in_cap,IF(AB30&gt;0,(in_f1+1)/AB30,in_cap),AG30,AH30))+(0))/Y30)))*(1-MIN(ABS(in_elas)*W30*R30*(MIN(in_cap,IF(AB30&gt;0,(in_f1+1)/AB30,in_cap),AG30,AH30))/V30,1)))-AJ30</f>
        <v/>
      </c>
      <c r="AM30" s="16">
        <f>MIN(in_cap,IF(AE30&gt;0,in_f3/AE30,in_cap))</f>
        <v/>
      </c>
      <c r="AN30" s="30">
        <f>100*(1-(1-X30*(1-EXP(-((0)+(AM30))/Y30)))*(1-MIN(ABS(in_elas)*W30*R30*(0)/V30,1)))</f>
        <v/>
      </c>
      <c r="AO30" s="17">
        <f>IF(AM30&gt;=in_cap-1E-9,"rate cap","F3")</f>
        <v/>
      </c>
      <c r="AP30" s="15">
        <f>100*(1-(1-X30*(1-EXP(-((50)+(0))/Y30)))*(1-MIN(ABS(in_elas)*W30*R30*(50)/V30,1)))</f>
        <v/>
      </c>
      <c r="AQ30" s="15">
        <f>100*(1-(1-X30*(1-EXP(-((0)+(50))/Y30)))*(1-MIN(ABS(in_elas)*W30*R30*(0)/V30,1)))</f>
        <v/>
      </c>
      <c r="AR30" s="15">
        <f>IF(AP30&gt;0,AQ30/AP30,"")</f>
        <v/>
      </c>
      <c r="AS30" s="16">
        <f>50*AB30</f>
        <v/>
      </c>
      <c r="AT30" s="30">
        <f>MAX(BM30:BW30)</f>
        <v/>
      </c>
      <c r="AU30" s="31">
        <f>AI30*(MATCH(AT30,BM30:BW30,0)-1)/10</f>
        <v/>
      </c>
      <c r="AV30" s="31">
        <f>INDEX(BB30:BL30,1,(MATCH(AT30,BM30:BW30,0)-1)+1)</f>
        <v/>
      </c>
      <c r="AW30" s="31">
        <f>AB30*AU30</f>
        <v/>
      </c>
      <c r="AX30" s="30">
        <f>AC30*AU30</f>
        <v/>
      </c>
      <c r="AY30" s="31">
        <f>AD30*AU30+AE30*AV30</f>
        <v/>
      </c>
      <c r="AZ30" s="32">
        <f>TRIM(IF(AND(AU30&gt;0,ABS(AU30-AF30)&lt;1E-6),"F1 ","")&amp;IF(AND(AU30&gt;0,ABS(AU30-AG30)&lt;1E-6),"F2 ","")&amp;IF(AY30&gt;=in_f3-1E-6,"F3 ","")&amp;IF(AV30&gt;=in_cap-1E-9,"rate cap",""))</f>
        <v/>
      </c>
      <c r="BA30" s="31">
        <f>Q30*AT30/100</f>
        <v/>
      </c>
      <c r="BB30" s="16">
        <f>MAX(0,MIN(in_cap,IF(AE30&gt;0,(in_f3-AD30*AI30*0/10)/AE30,in_cap)))</f>
        <v/>
      </c>
      <c r="BC30" s="16">
        <f>MAX(0,MIN(in_cap,IF(AE30&gt;0,(in_f3-AD30*AI30*1/10)/AE30,in_cap)))</f>
        <v/>
      </c>
      <c r="BD30" s="16">
        <f>MAX(0,MIN(in_cap,IF(AE30&gt;0,(in_f3-AD30*AI30*2/10)/AE30,in_cap)))</f>
        <v/>
      </c>
      <c r="BE30" s="16">
        <f>MAX(0,MIN(in_cap,IF(AE30&gt;0,(in_f3-AD30*AI30*3/10)/AE30,in_cap)))</f>
        <v/>
      </c>
      <c r="BF30" s="16">
        <f>MAX(0,MIN(in_cap,IF(AE30&gt;0,(in_f3-AD30*AI30*4/10)/AE30,in_cap)))</f>
        <v/>
      </c>
      <c r="BG30" s="16">
        <f>MAX(0,MIN(in_cap,IF(AE30&gt;0,(in_f3-AD30*AI30*5/10)/AE30,in_cap)))</f>
        <v/>
      </c>
      <c r="BH30" s="16">
        <f>MAX(0,MIN(in_cap,IF(AE30&gt;0,(in_f3-AD30*AI30*6/10)/AE30,in_cap)))</f>
        <v/>
      </c>
      <c r="BI30" s="16">
        <f>MAX(0,MIN(in_cap,IF(AE30&gt;0,(in_f3-AD30*AI30*7/10)/AE30,in_cap)))</f>
        <v/>
      </c>
      <c r="BJ30" s="16">
        <f>MAX(0,MIN(in_cap,IF(AE30&gt;0,(in_f3-AD30*AI30*8/10)/AE30,in_cap)))</f>
        <v/>
      </c>
      <c r="BK30" s="16">
        <f>MAX(0,MIN(in_cap,IF(AE30&gt;0,(in_f3-AD30*AI30*9/10)/AE30,in_cap)))</f>
        <v/>
      </c>
      <c r="BL30" s="16">
        <f>MAX(0,MIN(in_cap,IF(AE30&gt;0,(in_f3-AD30*AI30*10/10)/AE30,in_cap)))</f>
        <v/>
      </c>
      <c r="BM30" s="15">
        <f>100*(1-(1-X30*(1-EXP(-((AI30*0/10)+(BB30))/Y30)))*(1-MIN(ABS(in_elas)*W30*R30*(AI30*0/10)/V30,1)))</f>
        <v/>
      </c>
      <c r="BN30" s="15">
        <f>100*(1-(1-X30*(1-EXP(-((AI30*1/10)+(BC30))/Y30)))*(1-MIN(ABS(in_elas)*W30*R30*(AI30*1/10)/V30,1)))</f>
        <v/>
      </c>
      <c r="BO30" s="15">
        <f>100*(1-(1-X30*(1-EXP(-((AI30*2/10)+(BD30))/Y30)))*(1-MIN(ABS(in_elas)*W30*R30*(AI30*2/10)/V30,1)))</f>
        <v/>
      </c>
      <c r="BP30" s="15">
        <f>100*(1-(1-X30*(1-EXP(-((AI30*3/10)+(BE30))/Y30)))*(1-MIN(ABS(in_elas)*W30*R30*(AI30*3/10)/V30,1)))</f>
        <v/>
      </c>
      <c r="BQ30" s="15">
        <f>100*(1-(1-X30*(1-EXP(-((AI30*4/10)+(BF30))/Y30)))*(1-MIN(ABS(in_elas)*W30*R30*(AI30*4/10)/V30,1)))</f>
        <v/>
      </c>
      <c r="BR30" s="15">
        <f>100*(1-(1-X30*(1-EXP(-((AI30*5/10)+(BG30))/Y30)))*(1-MIN(ABS(in_elas)*W30*R30*(AI30*5/10)/V30,1)))</f>
        <v/>
      </c>
      <c r="BS30" s="15">
        <f>100*(1-(1-X30*(1-EXP(-((AI30*6/10)+(BH30))/Y30)))*(1-MIN(ABS(in_elas)*W30*R30*(AI30*6/10)/V30,1)))</f>
        <v/>
      </c>
      <c r="BT30" s="15">
        <f>100*(1-(1-X30*(1-EXP(-((AI30*7/10)+(BI30))/Y30)))*(1-MIN(ABS(in_elas)*W30*R30*(AI30*7/10)/V30,1)))</f>
        <v/>
      </c>
      <c r="BU30" s="15">
        <f>100*(1-(1-X30*(1-EXP(-((AI30*8/10)+(BJ30))/Y30)))*(1-MIN(ABS(in_elas)*W30*R30*(AI30*8/10)/V30,1)))</f>
        <v/>
      </c>
      <c r="BV30" s="15">
        <f>100*(1-(1-X30*(1-EXP(-((AI30*9/10)+(BK30))/Y30)))*(1-MIN(ABS(in_elas)*W30*R30*(AI30*9/10)/V30,1)))</f>
        <v/>
      </c>
      <c r="BW30" s="15">
        <f>100*(1-(1-X30*(1-EXP(-((AI30*10/10)+(BL30))/Y30)))*(1-MIN(ABS(in_elas)*W30*R30*(AI30*10/10)/V30,1)))</f>
        <v/>
      </c>
    </row>
    <row r="31">
      <c r="A31" s="17" t="inlineStr">
        <is>
          <t>CAN</t>
        </is>
      </c>
      <c r="B31" s="17">
        <f>INDEX(Data!$B:$B,MATCH($A31,Data!$A:$A,0))</f>
        <v/>
      </c>
      <c r="C31" s="17">
        <f>INDEX(Data!$D:$D,MATCH($A31,Data!$A:$A,0))</f>
        <v/>
      </c>
      <c r="D31" s="16">
        <f>SUMIFS(Data!$G:$G,Data!$A:$A,$A31,Data!$F:$F,"gen_coal_twh")</f>
        <v/>
      </c>
      <c r="E31" s="16">
        <f>SUMIFS(Data!$G:$G,Data!$A:$A,$A31,Data!$F:$F,"gen_gas_twh")</f>
        <v/>
      </c>
      <c r="F31" s="16">
        <f>SUMIFS(Data!$G:$G,Data!$A:$A,$A31,Data!$F:$F,"gen_oil_twh")</f>
        <v/>
      </c>
      <c r="G31" s="16">
        <f>SUMIFS(Data!$G:$G,Data!$A:$A,$A31,Data!$F:$F,"gen_total_twh")</f>
        <v/>
      </c>
      <c r="H31" s="16">
        <f>SUMIFS(Data!$G:$G,Data!$A:$A,$A31,Data!$F:$F,"em_coal_mt")</f>
        <v/>
      </c>
      <c r="I31" s="16">
        <f>SUMIFS(Data!$G:$G,Data!$A:$A,$A31,Data!$F:$F,"em_gas_mt")</f>
        <v/>
      </c>
      <c r="J31" s="16">
        <f>SUMIFS(Data!$G:$G,Data!$A:$A,$A31,Data!$F:$F,"em_oil_mt")</f>
        <v/>
      </c>
      <c r="K31" s="28">
        <f>IF(COUNTIFS(Data!$A:$A,$A31,Data!$F:$F,"price_electricity_residential_usd_kwh")=0,"",SUMIFS(Data!$G:$G,Data!$A:$A,$A31,Data!$F:$F,"price_electricity_residential_usd_kwh"))</f>
        <v/>
      </c>
      <c r="L31" s="28">
        <f>IF(COUNTIFS(Data!$A:$A,$A31,Data!$F:$F,"price_coal_power_usd_gj")=0,"",SUMIFS(Data!$G:$G,Data!$A:$A,$A31,Data!$F:$F,"price_coal_power_usd_gj"))</f>
        <v/>
      </c>
      <c r="M31" s="28">
        <f>IF(COUNTIFS(Data!$A:$A,$A31,Data!$F:$F,"price_gas_power_usd_gj")=0,"",SUMIFS(Data!$G:$G,Data!$A:$A,$A31,Data!$F:$F,"price_gas_power_usd_gj"))</f>
        <v/>
      </c>
      <c r="N31" s="28">
        <f>IF(COUNTIFS(Data!$A:$A,$A31,Data!$F:$F,"price_gas_industry_usd_gj")=0,"",SUMIFS(Data!$G:$G,Data!$A:$A,$A31,Data!$F:$F,"price_gas_industry_usd_gj"))</f>
        <v/>
      </c>
      <c r="O31" s="28">
        <f>IF(COUNTIFS(Data!$A:$A,$A31,Data!$F:$F,"power_market_structure")=0,"",SUMIFS(Data!$G:$G,Data!$A:$A,$A31,Data!$F:$F,"power_market_structure"))</f>
        <v/>
      </c>
      <c r="P31" s="28">
        <f>IF(COUNTIFS(Data!$A:$A,$A31,Data!$F:$F,"rise_renewable_energy_score")=0,"",SUMIFS(Data!$G:$G,Data!$A:$A,$A31,Data!$F:$F,"rise_renewable_energy_score"))</f>
        <v/>
      </c>
      <c r="Q31" s="16">
        <f>H31+I31+J31</f>
        <v/>
      </c>
      <c r="R31" s="28">
        <f>Q31/G31</f>
        <v/>
      </c>
      <c r="S31" s="28">
        <f>IF(D31&gt;0,H31/D31,0.85)</f>
        <v/>
      </c>
      <c r="T31" s="28">
        <f>IF(E31&gt;0,I31/E31,0.4)</f>
        <v/>
      </c>
      <c r="U31" s="28">
        <f>IF(D31+F31&gt;0,(H31+J31)/(D31+F31),0)</f>
        <v/>
      </c>
      <c r="V31" s="16">
        <f>K31*1000</f>
        <v/>
      </c>
      <c r="W31" s="15">
        <f>IF(O31=3,in_pt3,IF(O31=2,in_pt2,IF(O31=1,in_pt1,IF(C31="High income",in_pt_hi,in_pt_oth))))</f>
        <v/>
      </c>
      <c r="X31" s="28">
        <f>IF(Q31&gt;0,in_kappa*(in_rise_lo+(in_rise_hi-in_rise_lo)*IF(P31="",in_rise_miss,P31)/100)*(D31+F31)*MAX(U31-in_gas_rep*T31,0)/Q31,0)</f>
        <v/>
      </c>
      <c r="Y31" s="16">
        <f>IF(IF(M31="",N31,M31)="",MAX(in_sw_floor,in_sw_miss),MAX(in_sw_floor,(IF(M31="",N31,M31)*in_hr_gas-L31*in_hr_coal)/MAX(S31-T31,0.1)))</f>
        <v/>
      </c>
      <c r="Z31" s="28">
        <f>IF(C31="Low income",in_b40_li,IF(C31="Lower middle income",in_b40_lmi,IF(C31="Upper middle income",in_b40_umi,IF(C31="High income",in_b40_hi,0.03))))</f>
        <v/>
      </c>
      <c r="AA31" s="15">
        <f>(D31+F31)/G31</f>
        <v/>
      </c>
      <c r="AB31" s="28">
        <f>100*W31*R31/V31/in_phase</f>
        <v/>
      </c>
      <c r="AC31" s="29">
        <f>100*Z31*W31*R31/V31*(1-IF(W31&gt;0,MIN(in_rebate/(W31*in_res_sh*in_q40),1),1))</f>
        <v/>
      </c>
      <c r="AD31" s="28">
        <f>IF(AA31&gt;0,100*U31*(1-W31)/(in_whole_sh*V31),0)</f>
        <v/>
      </c>
      <c r="AE31" s="28">
        <f>IF(AA31&gt;0,100*MAX(U31-R31,0)/(in_whole_sh*V31),0)</f>
        <v/>
      </c>
      <c r="AF31" s="16">
        <f>IF(AB31&gt;0,in_f1/AB31,in_cap)</f>
        <v/>
      </c>
      <c r="AG31" s="16">
        <f>IF(AC31&gt;0,in_f2/AC31,in_cap)</f>
        <v/>
      </c>
      <c r="AH31" s="16">
        <f>IF(AD31&gt;0,in_f3/AD31,in_cap)</f>
        <v/>
      </c>
      <c r="AI31" s="16">
        <f>MIN(in_cap,AF31,AG31,AH31)</f>
        <v/>
      </c>
      <c r="AJ31" s="30">
        <f>100*(1-(1-X31*(1-EXP(-((AI31)+(0))/Y31)))*(1-MIN(ABS(in_elas)*W31*R31*(AI31)/V31,1)))</f>
        <v/>
      </c>
      <c r="AK31" s="17">
        <f>IF(AI31&gt;=in_cap-1E-9,"rate cap",TRIM(IF(ABS(AI31-AF31)&lt;1E-9,"F1 ","")&amp;IF(ABS(AI31-AG31)&lt;1E-9,"F2 ","")&amp;IF(ABS(AI31-AH31)&lt;1E-9,"F3","")))</f>
        <v/>
      </c>
      <c r="AL31" s="15">
        <f>100*(1-(1-X31*(1-EXP(-((MIN(in_cap,IF(AB31&gt;0,(in_f1+1)/AB31,in_cap),AG31,AH31))+(0))/Y31)))*(1-MIN(ABS(in_elas)*W31*R31*(MIN(in_cap,IF(AB31&gt;0,(in_f1+1)/AB31,in_cap),AG31,AH31))/V31,1)))-AJ31</f>
        <v/>
      </c>
      <c r="AM31" s="16">
        <f>MIN(in_cap,IF(AE31&gt;0,in_f3/AE31,in_cap))</f>
        <v/>
      </c>
      <c r="AN31" s="30">
        <f>100*(1-(1-X31*(1-EXP(-((0)+(AM31))/Y31)))*(1-MIN(ABS(in_elas)*W31*R31*(0)/V31,1)))</f>
        <v/>
      </c>
      <c r="AO31" s="17">
        <f>IF(AM31&gt;=in_cap-1E-9,"rate cap","F3")</f>
        <v/>
      </c>
      <c r="AP31" s="15">
        <f>100*(1-(1-X31*(1-EXP(-((50)+(0))/Y31)))*(1-MIN(ABS(in_elas)*W31*R31*(50)/V31,1)))</f>
        <v/>
      </c>
      <c r="AQ31" s="15">
        <f>100*(1-(1-X31*(1-EXP(-((0)+(50))/Y31)))*(1-MIN(ABS(in_elas)*W31*R31*(0)/V31,1)))</f>
        <v/>
      </c>
      <c r="AR31" s="15">
        <f>IF(AP31&gt;0,AQ31/AP31,"")</f>
        <v/>
      </c>
      <c r="AS31" s="16">
        <f>50*AB31</f>
        <v/>
      </c>
      <c r="AT31" s="30">
        <f>MAX(BM31:BW31)</f>
        <v/>
      </c>
      <c r="AU31" s="31">
        <f>AI31*(MATCH(AT31,BM31:BW31,0)-1)/10</f>
        <v/>
      </c>
      <c r="AV31" s="31">
        <f>INDEX(BB31:BL31,1,(MATCH(AT31,BM31:BW31,0)-1)+1)</f>
        <v/>
      </c>
      <c r="AW31" s="31">
        <f>AB31*AU31</f>
        <v/>
      </c>
      <c r="AX31" s="30">
        <f>AC31*AU31</f>
        <v/>
      </c>
      <c r="AY31" s="31">
        <f>AD31*AU31+AE31*AV31</f>
        <v/>
      </c>
      <c r="AZ31" s="32">
        <f>TRIM(IF(AND(AU31&gt;0,ABS(AU31-AF31)&lt;1E-6),"F1 ","")&amp;IF(AND(AU31&gt;0,ABS(AU31-AG31)&lt;1E-6),"F2 ","")&amp;IF(AY31&gt;=in_f3-1E-6,"F3 ","")&amp;IF(AV31&gt;=in_cap-1E-9,"rate cap",""))</f>
        <v/>
      </c>
      <c r="BA31" s="31">
        <f>Q31*AT31/100</f>
        <v/>
      </c>
      <c r="BB31" s="16">
        <f>MAX(0,MIN(in_cap,IF(AE31&gt;0,(in_f3-AD31*AI31*0/10)/AE31,in_cap)))</f>
        <v/>
      </c>
      <c r="BC31" s="16">
        <f>MAX(0,MIN(in_cap,IF(AE31&gt;0,(in_f3-AD31*AI31*1/10)/AE31,in_cap)))</f>
        <v/>
      </c>
      <c r="BD31" s="16">
        <f>MAX(0,MIN(in_cap,IF(AE31&gt;0,(in_f3-AD31*AI31*2/10)/AE31,in_cap)))</f>
        <v/>
      </c>
      <c r="BE31" s="16">
        <f>MAX(0,MIN(in_cap,IF(AE31&gt;0,(in_f3-AD31*AI31*3/10)/AE31,in_cap)))</f>
        <v/>
      </c>
      <c r="BF31" s="16">
        <f>MAX(0,MIN(in_cap,IF(AE31&gt;0,(in_f3-AD31*AI31*4/10)/AE31,in_cap)))</f>
        <v/>
      </c>
      <c r="BG31" s="16">
        <f>MAX(0,MIN(in_cap,IF(AE31&gt;0,(in_f3-AD31*AI31*5/10)/AE31,in_cap)))</f>
        <v/>
      </c>
      <c r="BH31" s="16">
        <f>MAX(0,MIN(in_cap,IF(AE31&gt;0,(in_f3-AD31*AI31*6/10)/AE31,in_cap)))</f>
        <v/>
      </c>
      <c r="BI31" s="16">
        <f>MAX(0,MIN(in_cap,IF(AE31&gt;0,(in_f3-AD31*AI31*7/10)/AE31,in_cap)))</f>
        <v/>
      </c>
      <c r="BJ31" s="16">
        <f>MAX(0,MIN(in_cap,IF(AE31&gt;0,(in_f3-AD31*AI31*8/10)/AE31,in_cap)))</f>
        <v/>
      </c>
      <c r="BK31" s="16">
        <f>MAX(0,MIN(in_cap,IF(AE31&gt;0,(in_f3-AD31*AI31*9/10)/AE31,in_cap)))</f>
        <v/>
      </c>
      <c r="BL31" s="16">
        <f>MAX(0,MIN(in_cap,IF(AE31&gt;0,(in_f3-AD31*AI31*10/10)/AE31,in_cap)))</f>
        <v/>
      </c>
      <c r="BM31" s="15">
        <f>100*(1-(1-X31*(1-EXP(-((AI31*0/10)+(BB31))/Y31)))*(1-MIN(ABS(in_elas)*W31*R31*(AI31*0/10)/V31,1)))</f>
        <v/>
      </c>
      <c r="BN31" s="15">
        <f>100*(1-(1-X31*(1-EXP(-((AI31*1/10)+(BC31))/Y31)))*(1-MIN(ABS(in_elas)*W31*R31*(AI31*1/10)/V31,1)))</f>
        <v/>
      </c>
      <c r="BO31" s="15">
        <f>100*(1-(1-X31*(1-EXP(-((AI31*2/10)+(BD31))/Y31)))*(1-MIN(ABS(in_elas)*W31*R31*(AI31*2/10)/V31,1)))</f>
        <v/>
      </c>
      <c r="BP31" s="15">
        <f>100*(1-(1-X31*(1-EXP(-((AI31*3/10)+(BE31))/Y31)))*(1-MIN(ABS(in_elas)*W31*R31*(AI31*3/10)/V31,1)))</f>
        <v/>
      </c>
      <c r="BQ31" s="15">
        <f>100*(1-(1-X31*(1-EXP(-((AI31*4/10)+(BF31))/Y31)))*(1-MIN(ABS(in_elas)*W31*R31*(AI31*4/10)/V31,1)))</f>
        <v/>
      </c>
      <c r="BR31" s="15">
        <f>100*(1-(1-X31*(1-EXP(-((AI31*5/10)+(BG31))/Y31)))*(1-MIN(ABS(in_elas)*W31*R31*(AI31*5/10)/V31,1)))</f>
        <v/>
      </c>
      <c r="BS31" s="15">
        <f>100*(1-(1-X31*(1-EXP(-((AI31*6/10)+(BH31))/Y31)))*(1-MIN(ABS(in_elas)*W31*R31*(AI31*6/10)/V31,1)))</f>
        <v/>
      </c>
      <c r="BT31" s="15">
        <f>100*(1-(1-X31*(1-EXP(-((AI31*7/10)+(BI31))/Y31)))*(1-MIN(ABS(in_elas)*W31*R31*(AI31*7/10)/V31,1)))</f>
        <v/>
      </c>
      <c r="BU31" s="15">
        <f>100*(1-(1-X31*(1-EXP(-((AI31*8/10)+(BJ31))/Y31)))*(1-MIN(ABS(in_elas)*W31*R31*(AI31*8/10)/V31,1)))</f>
        <v/>
      </c>
      <c r="BV31" s="15">
        <f>100*(1-(1-X31*(1-EXP(-((AI31*9/10)+(BK31))/Y31)))*(1-MIN(ABS(in_elas)*W31*R31*(AI31*9/10)/V31,1)))</f>
        <v/>
      </c>
      <c r="BW31" s="15">
        <f>100*(1-(1-X31*(1-EXP(-((AI31*10/10)+(BL31))/Y31)))*(1-MIN(ABS(in_elas)*W31*R31*(AI31*10/10)/V31,1)))</f>
        <v/>
      </c>
    </row>
    <row r="32">
      <c r="A32" s="17" t="inlineStr">
        <is>
          <t>CHE</t>
        </is>
      </c>
      <c r="B32" s="17">
        <f>INDEX(Data!$B:$B,MATCH($A32,Data!$A:$A,0))</f>
        <v/>
      </c>
      <c r="C32" s="17">
        <f>INDEX(Data!$D:$D,MATCH($A32,Data!$A:$A,0))</f>
        <v/>
      </c>
      <c r="D32" s="16">
        <f>SUMIFS(Data!$G:$G,Data!$A:$A,$A32,Data!$F:$F,"gen_coal_twh")</f>
        <v/>
      </c>
      <c r="E32" s="16">
        <f>SUMIFS(Data!$G:$G,Data!$A:$A,$A32,Data!$F:$F,"gen_gas_twh")</f>
        <v/>
      </c>
      <c r="F32" s="16">
        <f>SUMIFS(Data!$G:$G,Data!$A:$A,$A32,Data!$F:$F,"gen_oil_twh")</f>
        <v/>
      </c>
      <c r="G32" s="16">
        <f>SUMIFS(Data!$G:$G,Data!$A:$A,$A32,Data!$F:$F,"gen_total_twh")</f>
        <v/>
      </c>
      <c r="H32" s="16">
        <f>SUMIFS(Data!$G:$G,Data!$A:$A,$A32,Data!$F:$F,"em_coal_mt")</f>
        <v/>
      </c>
      <c r="I32" s="16">
        <f>SUMIFS(Data!$G:$G,Data!$A:$A,$A32,Data!$F:$F,"em_gas_mt")</f>
        <v/>
      </c>
      <c r="J32" s="16">
        <f>SUMIFS(Data!$G:$G,Data!$A:$A,$A32,Data!$F:$F,"em_oil_mt")</f>
        <v/>
      </c>
      <c r="K32" s="28">
        <f>IF(COUNTIFS(Data!$A:$A,$A32,Data!$F:$F,"price_electricity_residential_usd_kwh")=0,"",SUMIFS(Data!$G:$G,Data!$A:$A,$A32,Data!$F:$F,"price_electricity_residential_usd_kwh"))</f>
        <v/>
      </c>
      <c r="L32" s="28">
        <f>IF(COUNTIFS(Data!$A:$A,$A32,Data!$F:$F,"price_coal_power_usd_gj")=0,"",SUMIFS(Data!$G:$G,Data!$A:$A,$A32,Data!$F:$F,"price_coal_power_usd_gj"))</f>
        <v/>
      </c>
      <c r="M32" s="28">
        <f>IF(COUNTIFS(Data!$A:$A,$A32,Data!$F:$F,"price_gas_power_usd_gj")=0,"",SUMIFS(Data!$G:$G,Data!$A:$A,$A32,Data!$F:$F,"price_gas_power_usd_gj"))</f>
        <v/>
      </c>
      <c r="N32" s="28">
        <f>IF(COUNTIFS(Data!$A:$A,$A32,Data!$F:$F,"price_gas_industry_usd_gj")=0,"",SUMIFS(Data!$G:$G,Data!$A:$A,$A32,Data!$F:$F,"price_gas_industry_usd_gj"))</f>
        <v/>
      </c>
      <c r="O32" s="28">
        <f>IF(COUNTIFS(Data!$A:$A,$A32,Data!$F:$F,"power_market_structure")=0,"",SUMIFS(Data!$G:$G,Data!$A:$A,$A32,Data!$F:$F,"power_market_structure"))</f>
        <v/>
      </c>
      <c r="P32" s="28">
        <f>IF(COUNTIFS(Data!$A:$A,$A32,Data!$F:$F,"rise_renewable_energy_score")=0,"",SUMIFS(Data!$G:$G,Data!$A:$A,$A32,Data!$F:$F,"rise_renewable_energy_score"))</f>
        <v/>
      </c>
      <c r="Q32" s="16">
        <f>H32+I32+J32</f>
        <v/>
      </c>
      <c r="R32" s="28">
        <f>Q32/G32</f>
        <v/>
      </c>
      <c r="S32" s="28">
        <f>IF(D32&gt;0,H32/D32,0.85)</f>
        <v/>
      </c>
      <c r="T32" s="28">
        <f>IF(E32&gt;0,I32/E32,0.4)</f>
        <v/>
      </c>
      <c r="U32" s="28">
        <f>IF(D32+F32&gt;0,(H32+J32)/(D32+F32),0)</f>
        <v/>
      </c>
      <c r="V32" s="16">
        <f>K32*1000</f>
        <v/>
      </c>
      <c r="W32" s="15">
        <f>IF(O32=3,in_pt3,IF(O32=2,in_pt2,IF(O32=1,in_pt1,IF(C32="High income",in_pt_hi,in_pt_oth))))</f>
        <v/>
      </c>
      <c r="X32" s="28">
        <f>IF(Q32&gt;0,in_kappa*(in_rise_lo+(in_rise_hi-in_rise_lo)*IF(P32="",in_rise_miss,P32)/100)*(D32+F32)*MAX(U32-in_gas_rep*T32,0)/Q32,0)</f>
        <v/>
      </c>
      <c r="Y32" s="16">
        <f>IF(IF(M32="",N32,M32)="",MAX(in_sw_floor,in_sw_miss),MAX(in_sw_floor,(IF(M32="",N32,M32)*in_hr_gas-L32*in_hr_coal)/MAX(S32-T32,0.1)))</f>
        <v/>
      </c>
      <c r="Z32" s="28">
        <f>IF(C32="Low income",in_b40_li,IF(C32="Lower middle income",in_b40_lmi,IF(C32="Upper middle income",in_b40_umi,IF(C32="High income",in_b40_hi,0.03))))</f>
        <v/>
      </c>
      <c r="AA32" s="15">
        <f>(D32+F32)/G32</f>
        <v/>
      </c>
      <c r="AB32" s="28">
        <f>100*W32*R32/V32/in_phase</f>
        <v/>
      </c>
      <c r="AC32" s="29">
        <f>100*Z32*W32*R32/V32*(1-IF(W32&gt;0,MIN(in_rebate/(W32*in_res_sh*in_q40),1),1))</f>
        <v/>
      </c>
      <c r="AD32" s="28">
        <f>IF(AA32&gt;0,100*U32*(1-W32)/(in_whole_sh*V32),0)</f>
        <v/>
      </c>
      <c r="AE32" s="28">
        <f>IF(AA32&gt;0,100*MAX(U32-R32,0)/(in_whole_sh*V32),0)</f>
        <v/>
      </c>
      <c r="AF32" s="16">
        <f>IF(AB32&gt;0,in_f1/AB32,in_cap)</f>
        <v/>
      </c>
      <c r="AG32" s="16">
        <f>IF(AC32&gt;0,in_f2/AC32,in_cap)</f>
        <v/>
      </c>
      <c r="AH32" s="16">
        <f>IF(AD32&gt;0,in_f3/AD32,in_cap)</f>
        <v/>
      </c>
      <c r="AI32" s="16">
        <f>MIN(in_cap,AF32,AG32,AH32)</f>
        <v/>
      </c>
      <c r="AJ32" s="30">
        <f>100*(1-(1-X32*(1-EXP(-((AI32)+(0))/Y32)))*(1-MIN(ABS(in_elas)*W32*R32*(AI32)/V32,1)))</f>
        <v/>
      </c>
      <c r="AK32" s="17">
        <f>IF(AI32&gt;=in_cap-1E-9,"rate cap",TRIM(IF(ABS(AI32-AF32)&lt;1E-9,"F1 ","")&amp;IF(ABS(AI32-AG32)&lt;1E-9,"F2 ","")&amp;IF(ABS(AI32-AH32)&lt;1E-9,"F3","")))</f>
        <v/>
      </c>
      <c r="AL32" s="15">
        <f>100*(1-(1-X32*(1-EXP(-((MIN(in_cap,IF(AB32&gt;0,(in_f1+1)/AB32,in_cap),AG32,AH32))+(0))/Y32)))*(1-MIN(ABS(in_elas)*W32*R32*(MIN(in_cap,IF(AB32&gt;0,(in_f1+1)/AB32,in_cap),AG32,AH32))/V32,1)))-AJ32</f>
        <v/>
      </c>
      <c r="AM32" s="16">
        <f>MIN(in_cap,IF(AE32&gt;0,in_f3/AE32,in_cap))</f>
        <v/>
      </c>
      <c r="AN32" s="30">
        <f>100*(1-(1-X32*(1-EXP(-((0)+(AM32))/Y32)))*(1-MIN(ABS(in_elas)*W32*R32*(0)/V32,1)))</f>
        <v/>
      </c>
      <c r="AO32" s="17">
        <f>IF(AM32&gt;=in_cap-1E-9,"rate cap","F3")</f>
        <v/>
      </c>
      <c r="AP32" s="15">
        <f>100*(1-(1-X32*(1-EXP(-((50)+(0))/Y32)))*(1-MIN(ABS(in_elas)*W32*R32*(50)/V32,1)))</f>
        <v/>
      </c>
      <c r="AQ32" s="15">
        <f>100*(1-(1-X32*(1-EXP(-((0)+(50))/Y32)))*(1-MIN(ABS(in_elas)*W32*R32*(0)/V32,1)))</f>
        <v/>
      </c>
      <c r="AR32" s="15">
        <f>IF(AP32&gt;0,AQ32/AP32,"")</f>
        <v/>
      </c>
      <c r="AS32" s="16">
        <f>50*AB32</f>
        <v/>
      </c>
      <c r="AT32" s="30">
        <f>MAX(BM32:BW32)</f>
        <v/>
      </c>
      <c r="AU32" s="31">
        <f>AI32*(MATCH(AT32,BM32:BW32,0)-1)/10</f>
        <v/>
      </c>
      <c r="AV32" s="31">
        <f>INDEX(BB32:BL32,1,(MATCH(AT32,BM32:BW32,0)-1)+1)</f>
        <v/>
      </c>
      <c r="AW32" s="31">
        <f>AB32*AU32</f>
        <v/>
      </c>
      <c r="AX32" s="30">
        <f>AC32*AU32</f>
        <v/>
      </c>
      <c r="AY32" s="31">
        <f>AD32*AU32+AE32*AV32</f>
        <v/>
      </c>
      <c r="AZ32" s="32">
        <f>TRIM(IF(AND(AU32&gt;0,ABS(AU32-AF32)&lt;1E-6),"F1 ","")&amp;IF(AND(AU32&gt;0,ABS(AU32-AG32)&lt;1E-6),"F2 ","")&amp;IF(AY32&gt;=in_f3-1E-6,"F3 ","")&amp;IF(AV32&gt;=in_cap-1E-9,"rate cap",""))</f>
        <v/>
      </c>
      <c r="BA32" s="31">
        <f>Q32*AT32/100</f>
        <v/>
      </c>
      <c r="BB32" s="16">
        <f>MAX(0,MIN(in_cap,IF(AE32&gt;0,(in_f3-AD32*AI32*0/10)/AE32,in_cap)))</f>
        <v/>
      </c>
      <c r="BC32" s="16">
        <f>MAX(0,MIN(in_cap,IF(AE32&gt;0,(in_f3-AD32*AI32*1/10)/AE32,in_cap)))</f>
        <v/>
      </c>
      <c r="BD32" s="16">
        <f>MAX(0,MIN(in_cap,IF(AE32&gt;0,(in_f3-AD32*AI32*2/10)/AE32,in_cap)))</f>
        <v/>
      </c>
      <c r="BE32" s="16">
        <f>MAX(0,MIN(in_cap,IF(AE32&gt;0,(in_f3-AD32*AI32*3/10)/AE32,in_cap)))</f>
        <v/>
      </c>
      <c r="BF32" s="16">
        <f>MAX(0,MIN(in_cap,IF(AE32&gt;0,(in_f3-AD32*AI32*4/10)/AE32,in_cap)))</f>
        <v/>
      </c>
      <c r="BG32" s="16">
        <f>MAX(0,MIN(in_cap,IF(AE32&gt;0,(in_f3-AD32*AI32*5/10)/AE32,in_cap)))</f>
        <v/>
      </c>
      <c r="BH32" s="16">
        <f>MAX(0,MIN(in_cap,IF(AE32&gt;0,(in_f3-AD32*AI32*6/10)/AE32,in_cap)))</f>
        <v/>
      </c>
      <c r="BI32" s="16">
        <f>MAX(0,MIN(in_cap,IF(AE32&gt;0,(in_f3-AD32*AI32*7/10)/AE32,in_cap)))</f>
        <v/>
      </c>
      <c r="BJ32" s="16">
        <f>MAX(0,MIN(in_cap,IF(AE32&gt;0,(in_f3-AD32*AI32*8/10)/AE32,in_cap)))</f>
        <v/>
      </c>
      <c r="BK32" s="16">
        <f>MAX(0,MIN(in_cap,IF(AE32&gt;0,(in_f3-AD32*AI32*9/10)/AE32,in_cap)))</f>
        <v/>
      </c>
      <c r="BL32" s="16">
        <f>MAX(0,MIN(in_cap,IF(AE32&gt;0,(in_f3-AD32*AI32*10/10)/AE32,in_cap)))</f>
        <v/>
      </c>
      <c r="BM32" s="15">
        <f>100*(1-(1-X32*(1-EXP(-((AI32*0/10)+(BB32))/Y32)))*(1-MIN(ABS(in_elas)*W32*R32*(AI32*0/10)/V32,1)))</f>
        <v/>
      </c>
      <c r="BN32" s="15">
        <f>100*(1-(1-X32*(1-EXP(-((AI32*1/10)+(BC32))/Y32)))*(1-MIN(ABS(in_elas)*W32*R32*(AI32*1/10)/V32,1)))</f>
        <v/>
      </c>
      <c r="BO32" s="15">
        <f>100*(1-(1-X32*(1-EXP(-((AI32*2/10)+(BD32))/Y32)))*(1-MIN(ABS(in_elas)*W32*R32*(AI32*2/10)/V32,1)))</f>
        <v/>
      </c>
      <c r="BP32" s="15">
        <f>100*(1-(1-X32*(1-EXP(-((AI32*3/10)+(BE32))/Y32)))*(1-MIN(ABS(in_elas)*W32*R32*(AI32*3/10)/V32,1)))</f>
        <v/>
      </c>
      <c r="BQ32" s="15">
        <f>100*(1-(1-X32*(1-EXP(-((AI32*4/10)+(BF32))/Y32)))*(1-MIN(ABS(in_elas)*W32*R32*(AI32*4/10)/V32,1)))</f>
        <v/>
      </c>
      <c r="BR32" s="15">
        <f>100*(1-(1-X32*(1-EXP(-((AI32*5/10)+(BG32))/Y32)))*(1-MIN(ABS(in_elas)*W32*R32*(AI32*5/10)/V32,1)))</f>
        <v/>
      </c>
      <c r="BS32" s="15">
        <f>100*(1-(1-X32*(1-EXP(-((AI32*6/10)+(BH32))/Y32)))*(1-MIN(ABS(in_elas)*W32*R32*(AI32*6/10)/V32,1)))</f>
        <v/>
      </c>
      <c r="BT32" s="15">
        <f>100*(1-(1-X32*(1-EXP(-((AI32*7/10)+(BI32))/Y32)))*(1-MIN(ABS(in_elas)*W32*R32*(AI32*7/10)/V32,1)))</f>
        <v/>
      </c>
      <c r="BU32" s="15">
        <f>100*(1-(1-X32*(1-EXP(-((AI32*8/10)+(BJ32))/Y32)))*(1-MIN(ABS(in_elas)*W32*R32*(AI32*8/10)/V32,1)))</f>
        <v/>
      </c>
      <c r="BV32" s="15">
        <f>100*(1-(1-X32*(1-EXP(-((AI32*9/10)+(BK32))/Y32)))*(1-MIN(ABS(in_elas)*W32*R32*(AI32*9/10)/V32,1)))</f>
        <v/>
      </c>
      <c r="BW32" s="15">
        <f>100*(1-(1-X32*(1-EXP(-((AI32*10/10)+(BL32))/Y32)))*(1-MIN(ABS(in_elas)*W32*R32*(AI32*10/10)/V32,1)))</f>
        <v/>
      </c>
    </row>
    <row r="33">
      <c r="A33" s="17" t="inlineStr">
        <is>
          <t>CHL</t>
        </is>
      </c>
      <c r="B33" s="17">
        <f>INDEX(Data!$B:$B,MATCH($A33,Data!$A:$A,0))</f>
        <v/>
      </c>
      <c r="C33" s="17">
        <f>INDEX(Data!$D:$D,MATCH($A33,Data!$A:$A,0))</f>
        <v/>
      </c>
      <c r="D33" s="16">
        <f>SUMIFS(Data!$G:$G,Data!$A:$A,$A33,Data!$F:$F,"gen_coal_twh")</f>
        <v/>
      </c>
      <c r="E33" s="16">
        <f>SUMIFS(Data!$G:$G,Data!$A:$A,$A33,Data!$F:$F,"gen_gas_twh")</f>
        <v/>
      </c>
      <c r="F33" s="16">
        <f>SUMIFS(Data!$G:$G,Data!$A:$A,$A33,Data!$F:$F,"gen_oil_twh")</f>
        <v/>
      </c>
      <c r="G33" s="16">
        <f>SUMIFS(Data!$G:$G,Data!$A:$A,$A33,Data!$F:$F,"gen_total_twh")</f>
        <v/>
      </c>
      <c r="H33" s="16">
        <f>SUMIFS(Data!$G:$G,Data!$A:$A,$A33,Data!$F:$F,"em_coal_mt")</f>
        <v/>
      </c>
      <c r="I33" s="16">
        <f>SUMIFS(Data!$G:$G,Data!$A:$A,$A33,Data!$F:$F,"em_gas_mt")</f>
        <v/>
      </c>
      <c r="J33" s="16">
        <f>SUMIFS(Data!$G:$G,Data!$A:$A,$A33,Data!$F:$F,"em_oil_mt")</f>
        <v/>
      </c>
      <c r="K33" s="28">
        <f>IF(COUNTIFS(Data!$A:$A,$A33,Data!$F:$F,"price_electricity_residential_usd_kwh")=0,"",SUMIFS(Data!$G:$G,Data!$A:$A,$A33,Data!$F:$F,"price_electricity_residential_usd_kwh"))</f>
        <v/>
      </c>
      <c r="L33" s="28">
        <f>IF(COUNTIFS(Data!$A:$A,$A33,Data!$F:$F,"price_coal_power_usd_gj")=0,"",SUMIFS(Data!$G:$G,Data!$A:$A,$A33,Data!$F:$F,"price_coal_power_usd_gj"))</f>
        <v/>
      </c>
      <c r="M33" s="28">
        <f>IF(COUNTIFS(Data!$A:$A,$A33,Data!$F:$F,"price_gas_power_usd_gj")=0,"",SUMIFS(Data!$G:$G,Data!$A:$A,$A33,Data!$F:$F,"price_gas_power_usd_gj"))</f>
        <v/>
      </c>
      <c r="N33" s="28">
        <f>IF(COUNTIFS(Data!$A:$A,$A33,Data!$F:$F,"price_gas_industry_usd_gj")=0,"",SUMIFS(Data!$G:$G,Data!$A:$A,$A33,Data!$F:$F,"price_gas_industry_usd_gj"))</f>
        <v/>
      </c>
      <c r="O33" s="28">
        <f>IF(COUNTIFS(Data!$A:$A,$A33,Data!$F:$F,"power_market_structure")=0,"",SUMIFS(Data!$G:$G,Data!$A:$A,$A33,Data!$F:$F,"power_market_structure"))</f>
        <v/>
      </c>
      <c r="P33" s="28">
        <f>IF(COUNTIFS(Data!$A:$A,$A33,Data!$F:$F,"rise_renewable_energy_score")=0,"",SUMIFS(Data!$G:$G,Data!$A:$A,$A33,Data!$F:$F,"rise_renewable_energy_score"))</f>
        <v/>
      </c>
      <c r="Q33" s="16">
        <f>H33+I33+J33</f>
        <v/>
      </c>
      <c r="R33" s="28">
        <f>Q33/G33</f>
        <v/>
      </c>
      <c r="S33" s="28">
        <f>IF(D33&gt;0,H33/D33,0.85)</f>
        <v/>
      </c>
      <c r="T33" s="28">
        <f>IF(E33&gt;0,I33/E33,0.4)</f>
        <v/>
      </c>
      <c r="U33" s="28">
        <f>IF(D33+F33&gt;0,(H33+J33)/(D33+F33),0)</f>
        <v/>
      </c>
      <c r="V33" s="16">
        <f>K33*1000</f>
        <v/>
      </c>
      <c r="W33" s="15">
        <f>IF(O33=3,in_pt3,IF(O33=2,in_pt2,IF(O33=1,in_pt1,IF(C33="High income",in_pt_hi,in_pt_oth))))</f>
        <v/>
      </c>
      <c r="X33" s="28">
        <f>IF(Q33&gt;0,in_kappa*(in_rise_lo+(in_rise_hi-in_rise_lo)*IF(P33="",in_rise_miss,P33)/100)*(D33+F33)*MAX(U33-in_gas_rep*T33,0)/Q33,0)</f>
        <v/>
      </c>
      <c r="Y33" s="16">
        <f>IF(IF(M33="",N33,M33)="",MAX(in_sw_floor,in_sw_miss),MAX(in_sw_floor,(IF(M33="",N33,M33)*in_hr_gas-L33*in_hr_coal)/MAX(S33-T33,0.1)))</f>
        <v/>
      </c>
      <c r="Z33" s="28">
        <f>IF(C33="Low income",in_b40_li,IF(C33="Lower middle income",in_b40_lmi,IF(C33="Upper middle income",in_b40_umi,IF(C33="High income",in_b40_hi,0.03))))</f>
        <v/>
      </c>
      <c r="AA33" s="15">
        <f>(D33+F33)/G33</f>
        <v/>
      </c>
      <c r="AB33" s="28">
        <f>100*W33*R33/V33/in_phase</f>
        <v/>
      </c>
      <c r="AC33" s="29">
        <f>100*Z33*W33*R33/V33*(1-IF(W33&gt;0,MIN(in_rebate/(W33*in_res_sh*in_q40),1),1))</f>
        <v/>
      </c>
      <c r="AD33" s="28">
        <f>IF(AA33&gt;0,100*U33*(1-W33)/(in_whole_sh*V33),0)</f>
        <v/>
      </c>
      <c r="AE33" s="28">
        <f>IF(AA33&gt;0,100*MAX(U33-R33,0)/(in_whole_sh*V33),0)</f>
        <v/>
      </c>
      <c r="AF33" s="16">
        <f>IF(AB33&gt;0,in_f1/AB33,in_cap)</f>
        <v/>
      </c>
      <c r="AG33" s="16">
        <f>IF(AC33&gt;0,in_f2/AC33,in_cap)</f>
        <v/>
      </c>
      <c r="AH33" s="16">
        <f>IF(AD33&gt;0,in_f3/AD33,in_cap)</f>
        <v/>
      </c>
      <c r="AI33" s="16">
        <f>MIN(in_cap,AF33,AG33,AH33)</f>
        <v/>
      </c>
      <c r="AJ33" s="30">
        <f>100*(1-(1-X33*(1-EXP(-((AI33)+(0))/Y33)))*(1-MIN(ABS(in_elas)*W33*R33*(AI33)/V33,1)))</f>
        <v/>
      </c>
      <c r="AK33" s="17">
        <f>IF(AI33&gt;=in_cap-1E-9,"rate cap",TRIM(IF(ABS(AI33-AF33)&lt;1E-9,"F1 ","")&amp;IF(ABS(AI33-AG33)&lt;1E-9,"F2 ","")&amp;IF(ABS(AI33-AH33)&lt;1E-9,"F3","")))</f>
        <v/>
      </c>
      <c r="AL33" s="15">
        <f>100*(1-(1-X33*(1-EXP(-((MIN(in_cap,IF(AB33&gt;0,(in_f1+1)/AB33,in_cap),AG33,AH33))+(0))/Y33)))*(1-MIN(ABS(in_elas)*W33*R33*(MIN(in_cap,IF(AB33&gt;0,(in_f1+1)/AB33,in_cap),AG33,AH33))/V33,1)))-AJ33</f>
        <v/>
      </c>
      <c r="AM33" s="16">
        <f>MIN(in_cap,IF(AE33&gt;0,in_f3/AE33,in_cap))</f>
        <v/>
      </c>
      <c r="AN33" s="30">
        <f>100*(1-(1-X33*(1-EXP(-((0)+(AM33))/Y33)))*(1-MIN(ABS(in_elas)*W33*R33*(0)/V33,1)))</f>
        <v/>
      </c>
      <c r="AO33" s="17">
        <f>IF(AM33&gt;=in_cap-1E-9,"rate cap","F3")</f>
        <v/>
      </c>
      <c r="AP33" s="15">
        <f>100*(1-(1-X33*(1-EXP(-((50)+(0))/Y33)))*(1-MIN(ABS(in_elas)*W33*R33*(50)/V33,1)))</f>
        <v/>
      </c>
      <c r="AQ33" s="15">
        <f>100*(1-(1-X33*(1-EXP(-((0)+(50))/Y33)))*(1-MIN(ABS(in_elas)*W33*R33*(0)/V33,1)))</f>
        <v/>
      </c>
      <c r="AR33" s="15">
        <f>IF(AP33&gt;0,AQ33/AP33,"")</f>
        <v/>
      </c>
      <c r="AS33" s="16">
        <f>50*AB33</f>
        <v/>
      </c>
      <c r="AT33" s="30">
        <f>MAX(BM33:BW33)</f>
        <v/>
      </c>
      <c r="AU33" s="31">
        <f>AI33*(MATCH(AT33,BM33:BW33,0)-1)/10</f>
        <v/>
      </c>
      <c r="AV33" s="31">
        <f>INDEX(BB33:BL33,1,(MATCH(AT33,BM33:BW33,0)-1)+1)</f>
        <v/>
      </c>
      <c r="AW33" s="31">
        <f>AB33*AU33</f>
        <v/>
      </c>
      <c r="AX33" s="30">
        <f>AC33*AU33</f>
        <v/>
      </c>
      <c r="AY33" s="31">
        <f>AD33*AU33+AE33*AV33</f>
        <v/>
      </c>
      <c r="AZ33" s="32">
        <f>TRIM(IF(AND(AU33&gt;0,ABS(AU33-AF33)&lt;1E-6),"F1 ","")&amp;IF(AND(AU33&gt;0,ABS(AU33-AG33)&lt;1E-6),"F2 ","")&amp;IF(AY33&gt;=in_f3-1E-6,"F3 ","")&amp;IF(AV33&gt;=in_cap-1E-9,"rate cap",""))</f>
        <v/>
      </c>
      <c r="BA33" s="31">
        <f>Q33*AT33/100</f>
        <v/>
      </c>
      <c r="BB33" s="16">
        <f>MAX(0,MIN(in_cap,IF(AE33&gt;0,(in_f3-AD33*AI33*0/10)/AE33,in_cap)))</f>
        <v/>
      </c>
      <c r="BC33" s="16">
        <f>MAX(0,MIN(in_cap,IF(AE33&gt;0,(in_f3-AD33*AI33*1/10)/AE33,in_cap)))</f>
        <v/>
      </c>
      <c r="BD33" s="16">
        <f>MAX(0,MIN(in_cap,IF(AE33&gt;0,(in_f3-AD33*AI33*2/10)/AE33,in_cap)))</f>
        <v/>
      </c>
      <c r="BE33" s="16">
        <f>MAX(0,MIN(in_cap,IF(AE33&gt;0,(in_f3-AD33*AI33*3/10)/AE33,in_cap)))</f>
        <v/>
      </c>
      <c r="BF33" s="16">
        <f>MAX(0,MIN(in_cap,IF(AE33&gt;0,(in_f3-AD33*AI33*4/10)/AE33,in_cap)))</f>
        <v/>
      </c>
      <c r="BG33" s="16">
        <f>MAX(0,MIN(in_cap,IF(AE33&gt;0,(in_f3-AD33*AI33*5/10)/AE33,in_cap)))</f>
        <v/>
      </c>
      <c r="BH33" s="16">
        <f>MAX(0,MIN(in_cap,IF(AE33&gt;0,(in_f3-AD33*AI33*6/10)/AE33,in_cap)))</f>
        <v/>
      </c>
      <c r="BI33" s="16">
        <f>MAX(0,MIN(in_cap,IF(AE33&gt;0,(in_f3-AD33*AI33*7/10)/AE33,in_cap)))</f>
        <v/>
      </c>
      <c r="BJ33" s="16">
        <f>MAX(0,MIN(in_cap,IF(AE33&gt;0,(in_f3-AD33*AI33*8/10)/AE33,in_cap)))</f>
        <v/>
      </c>
      <c r="BK33" s="16">
        <f>MAX(0,MIN(in_cap,IF(AE33&gt;0,(in_f3-AD33*AI33*9/10)/AE33,in_cap)))</f>
        <v/>
      </c>
      <c r="BL33" s="16">
        <f>MAX(0,MIN(in_cap,IF(AE33&gt;0,(in_f3-AD33*AI33*10/10)/AE33,in_cap)))</f>
        <v/>
      </c>
      <c r="BM33" s="15">
        <f>100*(1-(1-X33*(1-EXP(-((AI33*0/10)+(BB33))/Y33)))*(1-MIN(ABS(in_elas)*W33*R33*(AI33*0/10)/V33,1)))</f>
        <v/>
      </c>
      <c r="BN33" s="15">
        <f>100*(1-(1-X33*(1-EXP(-((AI33*1/10)+(BC33))/Y33)))*(1-MIN(ABS(in_elas)*W33*R33*(AI33*1/10)/V33,1)))</f>
        <v/>
      </c>
      <c r="BO33" s="15">
        <f>100*(1-(1-X33*(1-EXP(-((AI33*2/10)+(BD33))/Y33)))*(1-MIN(ABS(in_elas)*W33*R33*(AI33*2/10)/V33,1)))</f>
        <v/>
      </c>
      <c r="BP33" s="15">
        <f>100*(1-(1-X33*(1-EXP(-((AI33*3/10)+(BE33))/Y33)))*(1-MIN(ABS(in_elas)*W33*R33*(AI33*3/10)/V33,1)))</f>
        <v/>
      </c>
      <c r="BQ33" s="15">
        <f>100*(1-(1-X33*(1-EXP(-((AI33*4/10)+(BF33))/Y33)))*(1-MIN(ABS(in_elas)*W33*R33*(AI33*4/10)/V33,1)))</f>
        <v/>
      </c>
      <c r="BR33" s="15">
        <f>100*(1-(1-X33*(1-EXP(-((AI33*5/10)+(BG33))/Y33)))*(1-MIN(ABS(in_elas)*W33*R33*(AI33*5/10)/V33,1)))</f>
        <v/>
      </c>
      <c r="BS33" s="15">
        <f>100*(1-(1-X33*(1-EXP(-((AI33*6/10)+(BH33))/Y33)))*(1-MIN(ABS(in_elas)*W33*R33*(AI33*6/10)/V33,1)))</f>
        <v/>
      </c>
      <c r="BT33" s="15">
        <f>100*(1-(1-X33*(1-EXP(-((AI33*7/10)+(BI33))/Y33)))*(1-MIN(ABS(in_elas)*W33*R33*(AI33*7/10)/V33,1)))</f>
        <v/>
      </c>
      <c r="BU33" s="15">
        <f>100*(1-(1-X33*(1-EXP(-((AI33*8/10)+(BJ33))/Y33)))*(1-MIN(ABS(in_elas)*W33*R33*(AI33*8/10)/V33,1)))</f>
        <v/>
      </c>
      <c r="BV33" s="15">
        <f>100*(1-(1-X33*(1-EXP(-((AI33*9/10)+(BK33))/Y33)))*(1-MIN(ABS(in_elas)*W33*R33*(AI33*9/10)/V33,1)))</f>
        <v/>
      </c>
      <c r="BW33" s="15">
        <f>100*(1-(1-X33*(1-EXP(-((AI33*10/10)+(BL33))/Y33)))*(1-MIN(ABS(in_elas)*W33*R33*(AI33*10/10)/V33,1)))</f>
        <v/>
      </c>
    </row>
    <row r="34">
      <c r="A34" s="17" t="inlineStr">
        <is>
          <t>CHN</t>
        </is>
      </c>
      <c r="B34" s="17">
        <f>INDEX(Data!$B:$B,MATCH($A34,Data!$A:$A,0))</f>
        <v/>
      </c>
      <c r="C34" s="17">
        <f>INDEX(Data!$D:$D,MATCH($A34,Data!$A:$A,0))</f>
        <v/>
      </c>
      <c r="D34" s="16">
        <f>SUMIFS(Data!$G:$G,Data!$A:$A,$A34,Data!$F:$F,"gen_coal_twh")</f>
        <v/>
      </c>
      <c r="E34" s="16">
        <f>SUMIFS(Data!$G:$G,Data!$A:$A,$A34,Data!$F:$F,"gen_gas_twh")</f>
        <v/>
      </c>
      <c r="F34" s="16">
        <f>SUMIFS(Data!$G:$G,Data!$A:$A,$A34,Data!$F:$F,"gen_oil_twh")</f>
        <v/>
      </c>
      <c r="G34" s="16">
        <f>SUMIFS(Data!$G:$G,Data!$A:$A,$A34,Data!$F:$F,"gen_total_twh")</f>
        <v/>
      </c>
      <c r="H34" s="16">
        <f>SUMIFS(Data!$G:$G,Data!$A:$A,$A34,Data!$F:$F,"em_coal_mt")</f>
        <v/>
      </c>
      <c r="I34" s="16">
        <f>SUMIFS(Data!$G:$G,Data!$A:$A,$A34,Data!$F:$F,"em_gas_mt")</f>
        <v/>
      </c>
      <c r="J34" s="16">
        <f>SUMIFS(Data!$G:$G,Data!$A:$A,$A34,Data!$F:$F,"em_oil_mt")</f>
        <v/>
      </c>
      <c r="K34" s="28">
        <f>IF(COUNTIFS(Data!$A:$A,$A34,Data!$F:$F,"price_electricity_residential_usd_kwh")=0,"",SUMIFS(Data!$G:$G,Data!$A:$A,$A34,Data!$F:$F,"price_electricity_residential_usd_kwh"))</f>
        <v/>
      </c>
      <c r="L34" s="28">
        <f>IF(COUNTIFS(Data!$A:$A,$A34,Data!$F:$F,"price_coal_power_usd_gj")=0,"",SUMIFS(Data!$G:$G,Data!$A:$A,$A34,Data!$F:$F,"price_coal_power_usd_gj"))</f>
        <v/>
      </c>
      <c r="M34" s="28">
        <f>IF(COUNTIFS(Data!$A:$A,$A34,Data!$F:$F,"price_gas_power_usd_gj")=0,"",SUMIFS(Data!$G:$G,Data!$A:$A,$A34,Data!$F:$F,"price_gas_power_usd_gj"))</f>
        <v/>
      </c>
      <c r="N34" s="28">
        <f>IF(COUNTIFS(Data!$A:$A,$A34,Data!$F:$F,"price_gas_industry_usd_gj")=0,"",SUMIFS(Data!$G:$G,Data!$A:$A,$A34,Data!$F:$F,"price_gas_industry_usd_gj"))</f>
        <v/>
      </c>
      <c r="O34" s="28">
        <f>IF(COUNTIFS(Data!$A:$A,$A34,Data!$F:$F,"power_market_structure")=0,"",SUMIFS(Data!$G:$G,Data!$A:$A,$A34,Data!$F:$F,"power_market_structure"))</f>
        <v/>
      </c>
      <c r="P34" s="28">
        <f>IF(COUNTIFS(Data!$A:$A,$A34,Data!$F:$F,"rise_renewable_energy_score")=0,"",SUMIFS(Data!$G:$G,Data!$A:$A,$A34,Data!$F:$F,"rise_renewable_energy_score"))</f>
        <v/>
      </c>
      <c r="Q34" s="16">
        <f>H34+I34+J34</f>
        <v/>
      </c>
      <c r="R34" s="28">
        <f>Q34/G34</f>
        <v/>
      </c>
      <c r="S34" s="28">
        <f>IF(D34&gt;0,H34/D34,0.85)</f>
        <v/>
      </c>
      <c r="T34" s="28">
        <f>IF(E34&gt;0,I34/E34,0.4)</f>
        <v/>
      </c>
      <c r="U34" s="28">
        <f>IF(D34+F34&gt;0,(H34+J34)/(D34+F34),0)</f>
        <v/>
      </c>
      <c r="V34" s="16">
        <f>K34*1000</f>
        <v/>
      </c>
      <c r="W34" s="15">
        <f>IF(O34=3,in_pt3,IF(O34=2,in_pt2,IF(O34=1,in_pt1,IF(C34="High income",in_pt_hi,in_pt_oth))))</f>
        <v/>
      </c>
      <c r="X34" s="28">
        <f>IF(Q34&gt;0,in_kappa*(in_rise_lo+(in_rise_hi-in_rise_lo)*IF(P34="",in_rise_miss,P34)/100)*(D34+F34)*MAX(U34-in_gas_rep*T34,0)/Q34,0)</f>
        <v/>
      </c>
      <c r="Y34" s="16">
        <f>IF(IF(M34="",N34,M34)="",MAX(in_sw_floor,in_sw_miss),MAX(in_sw_floor,(IF(M34="",N34,M34)*in_hr_gas-L34*in_hr_coal)/MAX(S34-T34,0.1)))</f>
        <v/>
      </c>
      <c r="Z34" s="28">
        <f>IF(C34="Low income",in_b40_li,IF(C34="Lower middle income",in_b40_lmi,IF(C34="Upper middle income",in_b40_umi,IF(C34="High income",in_b40_hi,0.03))))</f>
        <v/>
      </c>
      <c r="AA34" s="15">
        <f>(D34+F34)/G34</f>
        <v/>
      </c>
      <c r="AB34" s="28">
        <f>100*W34*R34/V34/in_phase</f>
        <v/>
      </c>
      <c r="AC34" s="29">
        <f>100*Z34*W34*R34/V34*(1-IF(W34&gt;0,MIN(in_rebate/(W34*in_res_sh*in_q40),1),1))</f>
        <v/>
      </c>
      <c r="AD34" s="28">
        <f>IF(AA34&gt;0,100*U34*(1-W34)/(in_whole_sh*V34),0)</f>
        <v/>
      </c>
      <c r="AE34" s="28">
        <f>IF(AA34&gt;0,100*MAX(U34-R34,0)/(in_whole_sh*V34),0)</f>
        <v/>
      </c>
      <c r="AF34" s="16">
        <f>IF(AB34&gt;0,in_f1/AB34,in_cap)</f>
        <v/>
      </c>
      <c r="AG34" s="16">
        <f>IF(AC34&gt;0,in_f2/AC34,in_cap)</f>
        <v/>
      </c>
      <c r="AH34" s="16">
        <f>IF(AD34&gt;0,in_f3/AD34,in_cap)</f>
        <v/>
      </c>
      <c r="AI34" s="16">
        <f>MIN(in_cap,AF34,AG34,AH34)</f>
        <v/>
      </c>
      <c r="AJ34" s="30">
        <f>100*(1-(1-X34*(1-EXP(-((AI34)+(0))/Y34)))*(1-MIN(ABS(in_elas)*W34*R34*(AI34)/V34,1)))</f>
        <v/>
      </c>
      <c r="AK34" s="17">
        <f>IF(AI34&gt;=in_cap-1E-9,"rate cap",TRIM(IF(ABS(AI34-AF34)&lt;1E-9,"F1 ","")&amp;IF(ABS(AI34-AG34)&lt;1E-9,"F2 ","")&amp;IF(ABS(AI34-AH34)&lt;1E-9,"F3","")))</f>
        <v/>
      </c>
      <c r="AL34" s="15">
        <f>100*(1-(1-X34*(1-EXP(-((MIN(in_cap,IF(AB34&gt;0,(in_f1+1)/AB34,in_cap),AG34,AH34))+(0))/Y34)))*(1-MIN(ABS(in_elas)*W34*R34*(MIN(in_cap,IF(AB34&gt;0,(in_f1+1)/AB34,in_cap),AG34,AH34))/V34,1)))-AJ34</f>
        <v/>
      </c>
      <c r="AM34" s="16">
        <f>MIN(in_cap,IF(AE34&gt;0,in_f3/AE34,in_cap))</f>
        <v/>
      </c>
      <c r="AN34" s="30">
        <f>100*(1-(1-X34*(1-EXP(-((0)+(AM34))/Y34)))*(1-MIN(ABS(in_elas)*W34*R34*(0)/V34,1)))</f>
        <v/>
      </c>
      <c r="AO34" s="17">
        <f>IF(AM34&gt;=in_cap-1E-9,"rate cap","F3")</f>
        <v/>
      </c>
      <c r="AP34" s="15">
        <f>100*(1-(1-X34*(1-EXP(-((50)+(0))/Y34)))*(1-MIN(ABS(in_elas)*W34*R34*(50)/V34,1)))</f>
        <v/>
      </c>
      <c r="AQ34" s="15">
        <f>100*(1-(1-X34*(1-EXP(-((0)+(50))/Y34)))*(1-MIN(ABS(in_elas)*W34*R34*(0)/V34,1)))</f>
        <v/>
      </c>
      <c r="AR34" s="15">
        <f>IF(AP34&gt;0,AQ34/AP34,"")</f>
        <v/>
      </c>
      <c r="AS34" s="16">
        <f>50*AB34</f>
        <v/>
      </c>
      <c r="AT34" s="30">
        <f>MAX(BM34:BW34)</f>
        <v/>
      </c>
      <c r="AU34" s="31">
        <f>AI34*(MATCH(AT34,BM34:BW34,0)-1)/10</f>
        <v/>
      </c>
      <c r="AV34" s="31">
        <f>INDEX(BB34:BL34,1,(MATCH(AT34,BM34:BW34,0)-1)+1)</f>
        <v/>
      </c>
      <c r="AW34" s="31">
        <f>AB34*AU34</f>
        <v/>
      </c>
      <c r="AX34" s="30">
        <f>AC34*AU34</f>
        <v/>
      </c>
      <c r="AY34" s="31">
        <f>AD34*AU34+AE34*AV34</f>
        <v/>
      </c>
      <c r="AZ34" s="32">
        <f>TRIM(IF(AND(AU34&gt;0,ABS(AU34-AF34)&lt;1E-6),"F1 ","")&amp;IF(AND(AU34&gt;0,ABS(AU34-AG34)&lt;1E-6),"F2 ","")&amp;IF(AY34&gt;=in_f3-1E-6,"F3 ","")&amp;IF(AV34&gt;=in_cap-1E-9,"rate cap",""))</f>
        <v/>
      </c>
      <c r="BA34" s="31">
        <f>Q34*AT34/100</f>
        <v/>
      </c>
      <c r="BB34" s="16">
        <f>MAX(0,MIN(in_cap,IF(AE34&gt;0,(in_f3-AD34*AI34*0/10)/AE34,in_cap)))</f>
        <v/>
      </c>
      <c r="BC34" s="16">
        <f>MAX(0,MIN(in_cap,IF(AE34&gt;0,(in_f3-AD34*AI34*1/10)/AE34,in_cap)))</f>
        <v/>
      </c>
      <c r="BD34" s="16">
        <f>MAX(0,MIN(in_cap,IF(AE34&gt;0,(in_f3-AD34*AI34*2/10)/AE34,in_cap)))</f>
        <v/>
      </c>
      <c r="BE34" s="16">
        <f>MAX(0,MIN(in_cap,IF(AE34&gt;0,(in_f3-AD34*AI34*3/10)/AE34,in_cap)))</f>
        <v/>
      </c>
      <c r="BF34" s="16">
        <f>MAX(0,MIN(in_cap,IF(AE34&gt;0,(in_f3-AD34*AI34*4/10)/AE34,in_cap)))</f>
        <v/>
      </c>
      <c r="BG34" s="16">
        <f>MAX(0,MIN(in_cap,IF(AE34&gt;0,(in_f3-AD34*AI34*5/10)/AE34,in_cap)))</f>
        <v/>
      </c>
      <c r="BH34" s="16">
        <f>MAX(0,MIN(in_cap,IF(AE34&gt;0,(in_f3-AD34*AI34*6/10)/AE34,in_cap)))</f>
        <v/>
      </c>
      <c r="BI34" s="16">
        <f>MAX(0,MIN(in_cap,IF(AE34&gt;0,(in_f3-AD34*AI34*7/10)/AE34,in_cap)))</f>
        <v/>
      </c>
      <c r="BJ34" s="16">
        <f>MAX(0,MIN(in_cap,IF(AE34&gt;0,(in_f3-AD34*AI34*8/10)/AE34,in_cap)))</f>
        <v/>
      </c>
      <c r="BK34" s="16">
        <f>MAX(0,MIN(in_cap,IF(AE34&gt;0,(in_f3-AD34*AI34*9/10)/AE34,in_cap)))</f>
        <v/>
      </c>
      <c r="BL34" s="16">
        <f>MAX(0,MIN(in_cap,IF(AE34&gt;0,(in_f3-AD34*AI34*10/10)/AE34,in_cap)))</f>
        <v/>
      </c>
      <c r="BM34" s="15">
        <f>100*(1-(1-X34*(1-EXP(-((AI34*0/10)+(BB34))/Y34)))*(1-MIN(ABS(in_elas)*W34*R34*(AI34*0/10)/V34,1)))</f>
        <v/>
      </c>
      <c r="BN34" s="15">
        <f>100*(1-(1-X34*(1-EXP(-((AI34*1/10)+(BC34))/Y34)))*(1-MIN(ABS(in_elas)*W34*R34*(AI34*1/10)/V34,1)))</f>
        <v/>
      </c>
      <c r="BO34" s="15">
        <f>100*(1-(1-X34*(1-EXP(-((AI34*2/10)+(BD34))/Y34)))*(1-MIN(ABS(in_elas)*W34*R34*(AI34*2/10)/V34,1)))</f>
        <v/>
      </c>
      <c r="BP34" s="15">
        <f>100*(1-(1-X34*(1-EXP(-((AI34*3/10)+(BE34))/Y34)))*(1-MIN(ABS(in_elas)*W34*R34*(AI34*3/10)/V34,1)))</f>
        <v/>
      </c>
      <c r="BQ34" s="15">
        <f>100*(1-(1-X34*(1-EXP(-((AI34*4/10)+(BF34))/Y34)))*(1-MIN(ABS(in_elas)*W34*R34*(AI34*4/10)/V34,1)))</f>
        <v/>
      </c>
      <c r="BR34" s="15">
        <f>100*(1-(1-X34*(1-EXP(-((AI34*5/10)+(BG34))/Y34)))*(1-MIN(ABS(in_elas)*W34*R34*(AI34*5/10)/V34,1)))</f>
        <v/>
      </c>
      <c r="BS34" s="15">
        <f>100*(1-(1-X34*(1-EXP(-((AI34*6/10)+(BH34))/Y34)))*(1-MIN(ABS(in_elas)*W34*R34*(AI34*6/10)/V34,1)))</f>
        <v/>
      </c>
      <c r="BT34" s="15">
        <f>100*(1-(1-X34*(1-EXP(-((AI34*7/10)+(BI34))/Y34)))*(1-MIN(ABS(in_elas)*W34*R34*(AI34*7/10)/V34,1)))</f>
        <v/>
      </c>
      <c r="BU34" s="15">
        <f>100*(1-(1-X34*(1-EXP(-((AI34*8/10)+(BJ34))/Y34)))*(1-MIN(ABS(in_elas)*W34*R34*(AI34*8/10)/V34,1)))</f>
        <v/>
      </c>
      <c r="BV34" s="15">
        <f>100*(1-(1-X34*(1-EXP(-((AI34*9/10)+(BK34))/Y34)))*(1-MIN(ABS(in_elas)*W34*R34*(AI34*9/10)/V34,1)))</f>
        <v/>
      </c>
      <c r="BW34" s="15">
        <f>100*(1-(1-X34*(1-EXP(-((AI34*10/10)+(BL34))/Y34)))*(1-MIN(ABS(in_elas)*W34*R34*(AI34*10/10)/V34,1)))</f>
        <v/>
      </c>
    </row>
    <row r="35">
      <c r="A35" s="17" t="inlineStr">
        <is>
          <t>CIV</t>
        </is>
      </c>
      <c r="B35" s="17">
        <f>INDEX(Data!$B:$B,MATCH($A35,Data!$A:$A,0))</f>
        <v/>
      </c>
      <c r="C35" s="17">
        <f>INDEX(Data!$D:$D,MATCH($A35,Data!$A:$A,0))</f>
        <v/>
      </c>
      <c r="D35" s="16">
        <f>SUMIFS(Data!$G:$G,Data!$A:$A,$A35,Data!$F:$F,"gen_coal_twh")</f>
        <v/>
      </c>
      <c r="E35" s="16">
        <f>SUMIFS(Data!$G:$G,Data!$A:$A,$A35,Data!$F:$F,"gen_gas_twh")</f>
        <v/>
      </c>
      <c r="F35" s="16">
        <f>SUMIFS(Data!$G:$G,Data!$A:$A,$A35,Data!$F:$F,"gen_oil_twh")</f>
        <v/>
      </c>
      <c r="G35" s="16">
        <f>SUMIFS(Data!$G:$G,Data!$A:$A,$A35,Data!$F:$F,"gen_total_twh")</f>
        <v/>
      </c>
      <c r="H35" s="16">
        <f>SUMIFS(Data!$G:$G,Data!$A:$A,$A35,Data!$F:$F,"em_coal_mt")</f>
        <v/>
      </c>
      <c r="I35" s="16">
        <f>SUMIFS(Data!$G:$G,Data!$A:$A,$A35,Data!$F:$F,"em_gas_mt")</f>
        <v/>
      </c>
      <c r="J35" s="16">
        <f>SUMIFS(Data!$G:$G,Data!$A:$A,$A35,Data!$F:$F,"em_oil_mt")</f>
        <v/>
      </c>
      <c r="K35" s="28">
        <f>IF(COUNTIFS(Data!$A:$A,$A35,Data!$F:$F,"price_electricity_residential_usd_kwh")=0,"",SUMIFS(Data!$G:$G,Data!$A:$A,$A35,Data!$F:$F,"price_electricity_residential_usd_kwh"))</f>
        <v/>
      </c>
      <c r="L35" s="28">
        <f>IF(COUNTIFS(Data!$A:$A,$A35,Data!$F:$F,"price_coal_power_usd_gj")=0,"",SUMIFS(Data!$G:$G,Data!$A:$A,$A35,Data!$F:$F,"price_coal_power_usd_gj"))</f>
        <v/>
      </c>
      <c r="M35" s="28">
        <f>IF(COUNTIFS(Data!$A:$A,$A35,Data!$F:$F,"price_gas_power_usd_gj")=0,"",SUMIFS(Data!$G:$G,Data!$A:$A,$A35,Data!$F:$F,"price_gas_power_usd_gj"))</f>
        <v/>
      </c>
      <c r="N35" s="28">
        <f>IF(COUNTIFS(Data!$A:$A,$A35,Data!$F:$F,"price_gas_industry_usd_gj")=0,"",SUMIFS(Data!$G:$G,Data!$A:$A,$A35,Data!$F:$F,"price_gas_industry_usd_gj"))</f>
        <v/>
      </c>
      <c r="O35" s="28">
        <f>IF(COUNTIFS(Data!$A:$A,$A35,Data!$F:$F,"power_market_structure")=0,"",SUMIFS(Data!$G:$G,Data!$A:$A,$A35,Data!$F:$F,"power_market_structure"))</f>
        <v/>
      </c>
      <c r="P35" s="28">
        <f>IF(COUNTIFS(Data!$A:$A,$A35,Data!$F:$F,"rise_renewable_energy_score")=0,"",SUMIFS(Data!$G:$G,Data!$A:$A,$A35,Data!$F:$F,"rise_renewable_energy_score"))</f>
        <v/>
      </c>
      <c r="Q35" s="16">
        <f>H35+I35+J35</f>
        <v/>
      </c>
      <c r="R35" s="28">
        <f>Q35/G35</f>
        <v/>
      </c>
      <c r="S35" s="28">
        <f>IF(D35&gt;0,H35/D35,0.85)</f>
        <v/>
      </c>
      <c r="T35" s="28">
        <f>IF(E35&gt;0,I35/E35,0.4)</f>
        <v/>
      </c>
      <c r="U35" s="28">
        <f>IF(D35+F35&gt;0,(H35+J35)/(D35+F35),0)</f>
        <v/>
      </c>
      <c r="V35" s="16">
        <f>K35*1000</f>
        <v/>
      </c>
      <c r="W35" s="15">
        <f>IF(O35=3,in_pt3,IF(O35=2,in_pt2,IF(O35=1,in_pt1,IF(C35="High income",in_pt_hi,in_pt_oth))))</f>
        <v/>
      </c>
      <c r="X35" s="28">
        <f>IF(Q35&gt;0,in_kappa*(in_rise_lo+(in_rise_hi-in_rise_lo)*IF(P35="",in_rise_miss,P35)/100)*(D35+F35)*MAX(U35-in_gas_rep*T35,0)/Q35,0)</f>
        <v/>
      </c>
      <c r="Y35" s="16">
        <f>IF(IF(M35="",N35,M35)="",MAX(in_sw_floor,in_sw_miss),MAX(in_sw_floor,(IF(M35="",N35,M35)*in_hr_gas-L35*in_hr_coal)/MAX(S35-T35,0.1)))</f>
        <v/>
      </c>
      <c r="Z35" s="28">
        <f>IF(C35="Low income",in_b40_li,IF(C35="Lower middle income",in_b40_lmi,IF(C35="Upper middle income",in_b40_umi,IF(C35="High income",in_b40_hi,0.03))))</f>
        <v/>
      </c>
      <c r="AA35" s="15">
        <f>(D35+F35)/G35</f>
        <v/>
      </c>
      <c r="AB35" s="28">
        <f>100*W35*R35/V35/in_phase</f>
        <v/>
      </c>
      <c r="AC35" s="29">
        <f>100*Z35*W35*R35/V35*(1-IF(W35&gt;0,MIN(in_rebate/(W35*in_res_sh*in_q40),1),1))</f>
        <v/>
      </c>
      <c r="AD35" s="28">
        <f>IF(AA35&gt;0,100*U35*(1-W35)/(in_whole_sh*V35),0)</f>
        <v/>
      </c>
      <c r="AE35" s="28">
        <f>IF(AA35&gt;0,100*MAX(U35-R35,0)/(in_whole_sh*V35),0)</f>
        <v/>
      </c>
      <c r="AF35" s="16">
        <f>IF(AB35&gt;0,in_f1/AB35,in_cap)</f>
        <v/>
      </c>
      <c r="AG35" s="16">
        <f>IF(AC35&gt;0,in_f2/AC35,in_cap)</f>
        <v/>
      </c>
      <c r="AH35" s="16">
        <f>IF(AD35&gt;0,in_f3/AD35,in_cap)</f>
        <v/>
      </c>
      <c r="AI35" s="16">
        <f>MIN(in_cap,AF35,AG35,AH35)</f>
        <v/>
      </c>
      <c r="AJ35" s="30">
        <f>100*(1-(1-X35*(1-EXP(-((AI35)+(0))/Y35)))*(1-MIN(ABS(in_elas)*W35*R35*(AI35)/V35,1)))</f>
        <v/>
      </c>
      <c r="AK35" s="17">
        <f>IF(AI35&gt;=in_cap-1E-9,"rate cap",TRIM(IF(ABS(AI35-AF35)&lt;1E-9,"F1 ","")&amp;IF(ABS(AI35-AG35)&lt;1E-9,"F2 ","")&amp;IF(ABS(AI35-AH35)&lt;1E-9,"F3","")))</f>
        <v/>
      </c>
      <c r="AL35" s="15">
        <f>100*(1-(1-X35*(1-EXP(-((MIN(in_cap,IF(AB35&gt;0,(in_f1+1)/AB35,in_cap),AG35,AH35))+(0))/Y35)))*(1-MIN(ABS(in_elas)*W35*R35*(MIN(in_cap,IF(AB35&gt;0,(in_f1+1)/AB35,in_cap),AG35,AH35))/V35,1)))-AJ35</f>
        <v/>
      </c>
      <c r="AM35" s="16">
        <f>MIN(in_cap,IF(AE35&gt;0,in_f3/AE35,in_cap))</f>
        <v/>
      </c>
      <c r="AN35" s="30">
        <f>100*(1-(1-X35*(1-EXP(-((0)+(AM35))/Y35)))*(1-MIN(ABS(in_elas)*W35*R35*(0)/V35,1)))</f>
        <v/>
      </c>
      <c r="AO35" s="17">
        <f>IF(AM35&gt;=in_cap-1E-9,"rate cap","F3")</f>
        <v/>
      </c>
      <c r="AP35" s="15">
        <f>100*(1-(1-X35*(1-EXP(-((50)+(0))/Y35)))*(1-MIN(ABS(in_elas)*W35*R35*(50)/V35,1)))</f>
        <v/>
      </c>
      <c r="AQ35" s="15">
        <f>100*(1-(1-X35*(1-EXP(-((0)+(50))/Y35)))*(1-MIN(ABS(in_elas)*W35*R35*(0)/V35,1)))</f>
        <v/>
      </c>
      <c r="AR35" s="15">
        <f>IF(AP35&gt;0,AQ35/AP35,"")</f>
        <v/>
      </c>
      <c r="AS35" s="16">
        <f>50*AB35</f>
        <v/>
      </c>
      <c r="AT35" s="30">
        <f>MAX(BM35:BW35)</f>
        <v/>
      </c>
      <c r="AU35" s="31">
        <f>AI35*(MATCH(AT35,BM35:BW35,0)-1)/10</f>
        <v/>
      </c>
      <c r="AV35" s="31">
        <f>INDEX(BB35:BL35,1,(MATCH(AT35,BM35:BW35,0)-1)+1)</f>
        <v/>
      </c>
      <c r="AW35" s="31">
        <f>AB35*AU35</f>
        <v/>
      </c>
      <c r="AX35" s="30">
        <f>AC35*AU35</f>
        <v/>
      </c>
      <c r="AY35" s="31">
        <f>AD35*AU35+AE35*AV35</f>
        <v/>
      </c>
      <c r="AZ35" s="32">
        <f>TRIM(IF(AND(AU35&gt;0,ABS(AU35-AF35)&lt;1E-6),"F1 ","")&amp;IF(AND(AU35&gt;0,ABS(AU35-AG35)&lt;1E-6),"F2 ","")&amp;IF(AY35&gt;=in_f3-1E-6,"F3 ","")&amp;IF(AV35&gt;=in_cap-1E-9,"rate cap",""))</f>
        <v/>
      </c>
      <c r="BA35" s="31">
        <f>Q35*AT35/100</f>
        <v/>
      </c>
      <c r="BB35" s="16">
        <f>MAX(0,MIN(in_cap,IF(AE35&gt;0,(in_f3-AD35*AI35*0/10)/AE35,in_cap)))</f>
        <v/>
      </c>
      <c r="BC35" s="16">
        <f>MAX(0,MIN(in_cap,IF(AE35&gt;0,(in_f3-AD35*AI35*1/10)/AE35,in_cap)))</f>
        <v/>
      </c>
      <c r="BD35" s="16">
        <f>MAX(0,MIN(in_cap,IF(AE35&gt;0,(in_f3-AD35*AI35*2/10)/AE35,in_cap)))</f>
        <v/>
      </c>
      <c r="BE35" s="16">
        <f>MAX(0,MIN(in_cap,IF(AE35&gt;0,(in_f3-AD35*AI35*3/10)/AE35,in_cap)))</f>
        <v/>
      </c>
      <c r="BF35" s="16">
        <f>MAX(0,MIN(in_cap,IF(AE35&gt;0,(in_f3-AD35*AI35*4/10)/AE35,in_cap)))</f>
        <v/>
      </c>
      <c r="BG35" s="16">
        <f>MAX(0,MIN(in_cap,IF(AE35&gt;0,(in_f3-AD35*AI35*5/10)/AE35,in_cap)))</f>
        <v/>
      </c>
      <c r="BH35" s="16">
        <f>MAX(0,MIN(in_cap,IF(AE35&gt;0,(in_f3-AD35*AI35*6/10)/AE35,in_cap)))</f>
        <v/>
      </c>
      <c r="BI35" s="16">
        <f>MAX(0,MIN(in_cap,IF(AE35&gt;0,(in_f3-AD35*AI35*7/10)/AE35,in_cap)))</f>
        <v/>
      </c>
      <c r="BJ35" s="16">
        <f>MAX(0,MIN(in_cap,IF(AE35&gt;0,(in_f3-AD35*AI35*8/10)/AE35,in_cap)))</f>
        <v/>
      </c>
      <c r="BK35" s="16">
        <f>MAX(0,MIN(in_cap,IF(AE35&gt;0,(in_f3-AD35*AI35*9/10)/AE35,in_cap)))</f>
        <v/>
      </c>
      <c r="BL35" s="16">
        <f>MAX(0,MIN(in_cap,IF(AE35&gt;0,(in_f3-AD35*AI35*10/10)/AE35,in_cap)))</f>
        <v/>
      </c>
      <c r="BM35" s="15">
        <f>100*(1-(1-X35*(1-EXP(-((AI35*0/10)+(BB35))/Y35)))*(1-MIN(ABS(in_elas)*W35*R35*(AI35*0/10)/V35,1)))</f>
        <v/>
      </c>
      <c r="BN35" s="15">
        <f>100*(1-(1-X35*(1-EXP(-((AI35*1/10)+(BC35))/Y35)))*(1-MIN(ABS(in_elas)*W35*R35*(AI35*1/10)/V35,1)))</f>
        <v/>
      </c>
      <c r="BO35" s="15">
        <f>100*(1-(1-X35*(1-EXP(-((AI35*2/10)+(BD35))/Y35)))*(1-MIN(ABS(in_elas)*W35*R35*(AI35*2/10)/V35,1)))</f>
        <v/>
      </c>
      <c r="BP35" s="15">
        <f>100*(1-(1-X35*(1-EXP(-((AI35*3/10)+(BE35))/Y35)))*(1-MIN(ABS(in_elas)*W35*R35*(AI35*3/10)/V35,1)))</f>
        <v/>
      </c>
      <c r="BQ35" s="15">
        <f>100*(1-(1-X35*(1-EXP(-((AI35*4/10)+(BF35))/Y35)))*(1-MIN(ABS(in_elas)*W35*R35*(AI35*4/10)/V35,1)))</f>
        <v/>
      </c>
      <c r="BR35" s="15">
        <f>100*(1-(1-X35*(1-EXP(-((AI35*5/10)+(BG35))/Y35)))*(1-MIN(ABS(in_elas)*W35*R35*(AI35*5/10)/V35,1)))</f>
        <v/>
      </c>
      <c r="BS35" s="15">
        <f>100*(1-(1-X35*(1-EXP(-((AI35*6/10)+(BH35))/Y35)))*(1-MIN(ABS(in_elas)*W35*R35*(AI35*6/10)/V35,1)))</f>
        <v/>
      </c>
      <c r="BT35" s="15">
        <f>100*(1-(1-X35*(1-EXP(-((AI35*7/10)+(BI35))/Y35)))*(1-MIN(ABS(in_elas)*W35*R35*(AI35*7/10)/V35,1)))</f>
        <v/>
      </c>
      <c r="BU35" s="15">
        <f>100*(1-(1-X35*(1-EXP(-((AI35*8/10)+(BJ35))/Y35)))*(1-MIN(ABS(in_elas)*W35*R35*(AI35*8/10)/V35,1)))</f>
        <v/>
      </c>
      <c r="BV35" s="15">
        <f>100*(1-(1-X35*(1-EXP(-((AI35*9/10)+(BK35))/Y35)))*(1-MIN(ABS(in_elas)*W35*R35*(AI35*9/10)/V35,1)))</f>
        <v/>
      </c>
      <c r="BW35" s="15">
        <f>100*(1-(1-X35*(1-EXP(-((AI35*10/10)+(BL35))/Y35)))*(1-MIN(ABS(in_elas)*W35*R35*(AI35*10/10)/V35,1)))</f>
        <v/>
      </c>
    </row>
    <row r="36">
      <c r="A36" s="17" t="inlineStr">
        <is>
          <t>CMR</t>
        </is>
      </c>
      <c r="B36" s="17">
        <f>INDEX(Data!$B:$B,MATCH($A36,Data!$A:$A,0))</f>
        <v/>
      </c>
      <c r="C36" s="17">
        <f>INDEX(Data!$D:$D,MATCH($A36,Data!$A:$A,0))</f>
        <v/>
      </c>
      <c r="D36" s="16">
        <f>SUMIFS(Data!$G:$G,Data!$A:$A,$A36,Data!$F:$F,"gen_coal_twh")</f>
        <v/>
      </c>
      <c r="E36" s="16">
        <f>SUMIFS(Data!$G:$G,Data!$A:$A,$A36,Data!$F:$F,"gen_gas_twh")</f>
        <v/>
      </c>
      <c r="F36" s="16">
        <f>SUMIFS(Data!$G:$G,Data!$A:$A,$A36,Data!$F:$F,"gen_oil_twh")</f>
        <v/>
      </c>
      <c r="G36" s="16">
        <f>SUMIFS(Data!$G:$G,Data!$A:$A,$A36,Data!$F:$F,"gen_total_twh")</f>
        <v/>
      </c>
      <c r="H36" s="16">
        <f>SUMIFS(Data!$G:$G,Data!$A:$A,$A36,Data!$F:$F,"em_coal_mt")</f>
        <v/>
      </c>
      <c r="I36" s="16">
        <f>SUMIFS(Data!$G:$G,Data!$A:$A,$A36,Data!$F:$F,"em_gas_mt")</f>
        <v/>
      </c>
      <c r="J36" s="16">
        <f>SUMIFS(Data!$G:$G,Data!$A:$A,$A36,Data!$F:$F,"em_oil_mt")</f>
        <v/>
      </c>
      <c r="K36" s="28">
        <f>IF(COUNTIFS(Data!$A:$A,$A36,Data!$F:$F,"price_electricity_residential_usd_kwh")=0,"",SUMIFS(Data!$G:$G,Data!$A:$A,$A36,Data!$F:$F,"price_electricity_residential_usd_kwh"))</f>
        <v/>
      </c>
      <c r="L36" s="28">
        <f>IF(COUNTIFS(Data!$A:$A,$A36,Data!$F:$F,"price_coal_power_usd_gj")=0,"",SUMIFS(Data!$G:$G,Data!$A:$A,$A36,Data!$F:$F,"price_coal_power_usd_gj"))</f>
        <v/>
      </c>
      <c r="M36" s="28">
        <f>IF(COUNTIFS(Data!$A:$A,$A36,Data!$F:$F,"price_gas_power_usd_gj")=0,"",SUMIFS(Data!$G:$G,Data!$A:$A,$A36,Data!$F:$F,"price_gas_power_usd_gj"))</f>
        <v/>
      </c>
      <c r="N36" s="28">
        <f>IF(COUNTIFS(Data!$A:$A,$A36,Data!$F:$F,"price_gas_industry_usd_gj")=0,"",SUMIFS(Data!$G:$G,Data!$A:$A,$A36,Data!$F:$F,"price_gas_industry_usd_gj"))</f>
        <v/>
      </c>
      <c r="O36" s="28">
        <f>IF(COUNTIFS(Data!$A:$A,$A36,Data!$F:$F,"power_market_structure")=0,"",SUMIFS(Data!$G:$G,Data!$A:$A,$A36,Data!$F:$F,"power_market_structure"))</f>
        <v/>
      </c>
      <c r="P36" s="28">
        <f>IF(COUNTIFS(Data!$A:$A,$A36,Data!$F:$F,"rise_renewable_energy_score")=0,"",SUMIFS(Data!$G:$G,Data!$A:$A,$A36,Data!$F:$F,"rise_renewable_energy_score"))</f>
        <v/>
      </c>
      <c r="Q36" s="16">
        <f>H36+I36+J36</f>
        <v/>
      </c>
      <c r="R36" s="28">
        <f>Q36/G36</f>
        <v/>
      </c>
      <c r="S36" s="28">
        <f>IF(D36&gt;0,H36/D36,0.85)</f>
        <v/>
      </c>
      <c r="T36" s="28">
        <f>IF(E36&gt;0,I36/E36,0.4)</f>
        <v/>
      </c>
      <c r="U36" s="28">
        <f>IF(D36+F36&gt;0,(H36+J36)/(D36+F36),0)</f>
        <v/>
      </c>
      <c r="V36" s="16">
        <f>K36*1000</f>
        <v/>
      </c>
      <c r="W36" s="15">
        <f>IF(O36=3,in_pt3,IF(O36=2,in_pt2,IF(O36=1,in_pt1,IF(C36="High income",in_pt_hi,in_pt_oth))))</f>
        <v/>
      </c>
      <c r="X36" s="28">
        <f>IF(Q36&gt;0,in_kappa*(in_rise_lo+(in_rise_hi-in_rise_lo)*IF(P36="",in_rise_miss,P36)/100)*(D36+F36)*MAX(U36-in_gas_rep*T36,0)/Q36,0)</f>
        <v/>
      </c>
      <c r="Y36" s="16">
        <f>IF(IF(M36="",N36,M36)="",MAX(in_sw_floor,in_sw_miss),MAX(in_sw_floor,(IF(M36="",N36,M36)*in_hr_gas-L36*in_hr_coal)/MAX(S36-T36,0.1)))</f>
        <v/>
      </c>
      <c r="Z36" s="28">
        <f>IF(C36="Low income",in_b40_li,IF(C36="Lower middle income",in_b40_lmi,IF(C36="Upper middle income",in_b40_umi,IF(C36="High income",in_b40_hi,0.03))))</f>
        <v/>
      </c>
      <c r="AA36" s="15">
        <f>(D36+F36)/G36</f>
        <v/>
      </c>
      <c r="AB36" s="28">
        <f>100*W36*R36/V36/in_phase</f>
        <v/>
      </c>
      <c r="AC36" s="29">
        <f>100*Z36*W36*R36/V36*(1-IF(W36&gt;0,MIN(in_rebate/(W36*in_res_sh*in_q40),1),1))</f>
        <v/>
      </c>
      <c r="AD36" s="28">
        <f>IF(AA36&gt;0,100*U36*(1-W36)/(in_whole_sh*V36),0)</f>
        <v/>
      </c>
      <c r="AE36" s="28">
        <f>IF(AA36&gt;0,100*MAX(U36-R36,0)/(in_whole_sh*V36),0)</f>
        <v/>
      </c>
      <c r="AF36" s="16">
        <f>IF(AB36&gt;0,in_f1/AB36,in_cap)</f>
        <v/>
      </c>
      <c r="AG36" s="16">
        <f>IF(AC36&gt;0,in_f2/AC36,in_cap)</f>
        <v/>
      </c>
      <c r="AH36" s="16">
        <f>IF(AD36&gt;0,in_f3/AD36,in_cap)</f>
        <v/>
      </c>
      <c r="AI36" s="16">
        <f>MIN(in_cap,AF36,AG36,AH36)</f>
        <v/>
      </c>
      <c r="AJ36" s="30">
        <f>100*(1-(1-X36*(1-EXP(-((AI36)+(0))/Y36)))*(1-MIN(ABS(in_elas)*W36*R36*(AI36)/V36,1)))</f>
        <v/>
      </c>
      <c r="AK36" s="17">
        <f>IF(AI36&gt;=in_cap-1E-9,"rate cap",TRIM(IF(ABS(AI36-AF36)&lt;1E-9,"F1 ","")&amp;IF(ABS(AI36-AG36)&lt;1E-9,"F2 ","")&amp;IF(ABS(AI36-AH36)&lt;1E-9,"F3","")))</f>
        <v/>
      </c>
      <c r="AL36" s="15">
        <f>100*(1-(1-X36*(1-EXP(-((MIN(in_cap,IF(AB36&gt;0,(in_f1+1)/AB36,in_cap),AG36,AH36))+(0))/Y36)))*(1-MIN(ABS(in_elas)*W36*R36*(MIN(in_cap,IF(AB36&gt;0,(in_f1+1)/AB36,in_cap),AG36,AH36))/V36,1)))-AJ36</f>
        <v/>
      </c>
      <c r="AM36" s="16">
        <f>MIN(in_cap,IF(AE36&gt;0,in_f3/AE36,in_cap))</f>
        <v/>
      </c>
      <c r="AN36" s="30">
        <f>100*(1-(1-X36*(1-EXP(-((0)+(AM36))/Y36)))*(1-MIN(ABS(in_elas)*W36*R36*(0)/V36,1)))</f>
        <v/>
      </c>
      <c r="AO36" s="17">
        <f>IF(AM36&gt;=in_cap-1E-9,"rate cap","F3")</f>
        <v/>
      </c>
      <c r="AP36" s="15">
        <f>100*(1-(1-X36*(1-EXP(-((50)+(0))/Y36)))*(1-MIN(ABS(in_elas)*W36*R36*(50)/V36,1)))</f>
        <v/>
      </c>
      <c r="AQ36" s="15">
        <f>100*(1-(1-X36*(1-EXP(-((0)+(50))/Y36)))*(1-MIN(ABS(in_elas)*W36*R36*(0)/V36,1)))</f>
        <v/>
      </c>
      <c r="AR36" s="15">
        <f>IF(AP36&gt;0,AQ36/AP36,"")</f>
        <v/>
      </c>
      <c r="AS36" s="16">
        <f>50*AB36</f>
        <v/>
      </c>
      <c r="AT36" s="30">
        <f>MAX(BM36:BW36)</f>
        <v/>
      </c>
      <c r="AU36" s="31">
        <f>AI36*(MATCH(AT36,BM36:BW36,0)-1)/10</f>
        <v/>
      </c>
      <c r="AV36" s="31">
        <f>INDEX(BB36:BL36,1,(MATCH(AT36,BM36:BW36,0)-1)+1)</f>
        <v/>
      </c>
      <c r="AW36" s="31">
        <f>AB36*AU36</f>
        <v/>
      </c>
      <c r="AX36" s="30">
        <f>AC36*AU36</f>
        <v/>
      </c>
      <c r="AY36" s="31">
        <f>AD36*AU36+AE36*AV36</f>
        <v/>
      </c>
      <c r="AZ36" s="32">
        <f>TRIM(IF(AND(AU36&gt;0,ABS(AU36-AF36)&lt;1E-6),"F1 ","")&amp;IF(AND(AU36&gt;0,ABS(AU36-AG36)&lt;1E-6),"F2 ","")&amp;IF(AY36&gt;=in_f3-1E-6,"F3 ","")&amp;IF(AV36&gt;=in_cap-1E-9,"rate cap",""))</f>
        <v/>
      </c>
      <c r="BA36" s="31">
        <f>Q36*AT36/100</f>
        <v/>
      </c>
      <c r="BB36" s="16">
        <f>MAX(0,MIN(in_cap,IF(AE36&gt;0,(in_f3-AD36*AI36*0/10)/AE36,in_cap)))</f>
        <v/>
      </c>
      <c r="BC36" s="16">
        <f>MAX(0,MIN(in_cap,IF(AE36&gt;0,(in_f3-AD36*AI36*1/10)/AE36,in_cap)))</f>
        <v/>
      </c>
      <c r="BD36" s="16">
        <f>MAX(0,MIN(in_cap,IF(AE36&gt;0,(in_f3-AD36*AI36*2/10)/AE36,in_cap)))</f>
        <v/>
      </c>
      <c r="BE36" s="16">
        <f>MAX(0,MIN(in_cap,IF(AE36&gt;0,(in_f3-AD36*AI36*3/10)/AE36,in_cap)))</f>
        <v/>
      </c>
      <c r="BF36" s="16">
        <f>MAX(0,MIN(in_cap,IF(AE36&gt;0,(in_f3-AD36*AI36*4/10)/AE36,in_cap)))</f>
        <v/>
      </c>
      <c r="BG36" s="16">
        <f>MAX(0,MIN(in_cap,IF(AE36&gt;0,(in_f3-AD36*AI36*5/10)/AE36,in_cap)))</f>
        <v/>
      </c>
      <c r="BH36" s="16">
        <f>MAX(0,MIN(in_cap,IF(AE36&gt;0,(in_f3-AD36*AI36*6/10)/AE36,in_cap)))</f>
        <v/>
      </c>
      <c r="BI36" s="16">
        <f>MAX(0,MIN(in_cap,IF(AE36&gt;0,(in_f3-AD36*AI36*7/10)/AE36,in_cap)))</f>
        <v/>
      </c>
      <c r="BJ36" s="16">
        <f>MAX(0,MIN(in_cap,IF(AE36&gt;0,(in_f3-AD36*AI36*8/10)/AE36,in_cap)))</f>
        <v/>
      </c>
      <c r="BK36" s="16">
        <f>MAX(0,MIN(in_cap,IF(AE36&gt;0,(in_f3-AD36*AI36*9/10)/AE36,in_cap)))</f>
        <v/>
      </c>
      <c r="BL36" s="16">
        <f>MAX(0,MIN(in_cap,IF(AE36&gt;0,(in_f3-AD36*AI36*10/10)/AE36,in_cap)))</f>
        <v/>
      </c>
      <c r="BM36" s="15">
        <f>100*(1-(1-X36*(1-EXP(-((AI36*0/10)+(BB36))/Y36)))*(1-MIN(ABS(in_elas)*W36*R36*(AI36*0/10)/V36,1)))</f>
        <v/>
      </c>
      <c r="BN36" s="15">
        <f>100*(1-(1-X36*(1-EXP(-((AI36*1/10)+(BC36))/Y36)))*(1-MIN(ABS(in_elas)*W36*R36*(AI36*1/10)/V36,1)))</f>
        <v/>
      </c>
      <c r="BO36" s="15">
        <f>100*(1-(1-X36*(1-EXP(-((AI36*2/10)+(BD36))/Y36)))*(1-MIN(ABS(in_elas)*W36*R36*(AI36*2/10)/V36,1)))</f>
        <v/>
      </c>
      <c r="BP36" s="15">
        <f>100*(1-(1-X36*(1-EXP(-((AI36*3/10)+(BE36))/Y36)))*(1-MIN(ABS(in_elas)*W36*R36*(AI36*3/10)/V36,1)))</f>
        <v/>
      </c>
      <c r="BQ36" s="15">
        <f>100*(1-(1-X36*(1-EXP(-((AI36*4/10)+(BF36))/Y36)))*(1-MIN(ABS(in_elas)*W36*R36*(AI36*4/10)/V36,1)))</f>
        <v/>
      </c>
      <c r="BR36" s="15">
        <f>100*(1-(1-X36*(1-EXP(-((AI36*5/10)+(BG36))/Y36)))*(1-MIN(ABS(in_elas)*W36*R36*(AI36*5/10)/V36,1)))</f>
        <v/>
      </c>
      <c r="BS36" s="15">
        <f>100*(1-(1-X36*(1-EXP(-((AI36*6/10)+(BH36))/Y36)))*(1-MIN(ABS(in_elas)*W36*R36*(AI36*6/10)/V36,1)))</f>
        <v/>
      </c>
      <c r="BT36" s="15">
        <f>100*(1-(1-X36*(1-EXP(-((AI36*7/10)+(BI36))/Y36)))*(1-MIN(ABS(in_elas)*W36*R36*(AI36*7/10)/V36,1)))</f>
        <v/>
      </c>
      <c r="BU36" s="15">
        <f>100*(1-(1-X36*(1-EXP(-((AI36*8/10)+(BJ36))/Y36)))*(1-MIN(ABS(in_elas)*W36*R36*(AI36*8/10)/V36,1)))</f>
        <v/>
      </c>
      <c r="BV36" s="15">
        <f>100*(1-(1-X36*(1-EXP(-((AI36*9/10)+(BK36))/Y36)))*(1-MIN(ABS(in_elas)*W36*R36*(AI36*9/10)/V36,1)))</f>
        <v/>
      </c>
      <c r="BW36" s="15">
        <f>100*(1-(1-X36*(1-EXP(-((AI36*10/10)+(BL36))/Y36)))*(1-MIN(ABS(in_elas)*W36*R36*(AI36*10/10)/V36,1)))</f>
        <v/>
      </c>
    </row>
    <row r="37">
      <c r="A37" s="17" t="inlineStr">
        <is>
          <t>COG</t>
        </is>
      </c>
      <c r="B37" s="17">
        <f>INDEX(Data!$B:$B,MATCH($A37,Data!$A:$A,0))</f>
        <v/>
      </c>
      <c r="C37" s="17">
        <f>INDEX(Data!$D:$D,MATCH($A37,Data!$A:$A,0))</f>
        <v/>
      </c>
      <c r="D37" s="16">
        <f>SUMIFS(Data!$G:$G,Data!$A:$A,$A37,Data!$F:$F,"gen_coal_twh")</f>
        <v/>
      </c>
      <c r="E37" s="16">
        <f>SUMIFS(Data!$G:$G,Data!$A:$A,$A37,Data!$F:$F,"gen_gas_twh")</f>
        <v/>
      </c>
      <c r="F37" s="16">
        <f>SUMIFS(Data!$G:$G,Data!$A:$A,$A37,Data!$F:$F,"gen_oil_twh")</f>
        <v/>
      </c>
      <c r="G37" s="16">
        <f>SUMIFS(Data!$G:$G,Data!$A:$A,$A37,Data!$F:$F,"gen_total_twh")</f>
        <v/>
      </c>
      <c r="H37" s="16">
        <f>SUMIFS(Data!$G:$G,Data!$A:$A,$A37,Data!$F:$F,"em_coal_mt")</f>
        <v/>
      </c>
      <c r="I37" s="16">
        <f>SUMIFS(Data!$G:$G,Data!$A:$A,$A37,Data!$F:$F,"em_gas_mt")</f>
        <v/>
      </c>
      <c r="J37" s="16">
        <f>SUMIFS(Data!$G:$G,Data!$A:$A,$A37,Data!$F:$F,"em_oil_mt")</f>
        <v/>
      </c>
      <c r="K37" s="28">
        <f>IF(COUNTIFS(Data!$A:$A,$A37,Data!$F:$F,"price_electricity_residential_usd_kwh")=0,"",SUMIFS(Data!$G:$G,Data!$A:$A,$A37,Data!$F:$F,"price_electricity_residential_usd_kwh"))</f>
        <v/>
      </c>
      <c r="L37" s="28">
        <f>IF(COUNTIFS(Data!$A:$A,$A37,Data!$F:$F,"price_coal_power_usd_gj")=0,"",SUMIFS(Data!$G:$G,Data!$A:$A,$A37,Data!$F:$F,"price_coal_power_usd_gj"))</f>
        <v/>
      </c>
      <c r="M37" s="28">
        <f>IF(COUNTIFS(Data!$A:$A,$A37,Data!$F:$F,"price_gas_power_usd_gj")=0,"",SUMIFS(Data!$G:$G,Data!$A:$A,$A37,Data!$F:$F,"price_gas_power_usd_gj"))</f>
        <v/>
      </c>
      <c r="N37" s="28">
        <f>IF(COUNTIFS(Data!$A:$A,$A37,Data!$F:$F,"price_gas_industry_usd_gj")=0,"",SUMIFS(Data!$G:$G,Data!$A:$A,$A37,Data!$F:$F,"price_gas_industry_usd_gj"))</f>
        <v/>
      </c>
      <c r="O37" s="28">
        <f>IF(COUNTIFS(Data!$A:$A,$A37,Data!$F:$F,"power_market_structure")=0,"",SUMIFS(Data!$G:$G,Data!$A:$A,$A37,Data!$F:$F,"power_market_structure"))</f>
        <v/>
      </c>
      <c r="P37" s="28">
        <f>IF(COUNTIFS(Data!$A:$A,$A37,Data!$F:$F,"rise_renewable_energy_score")=0,"",SUMIFS(Data!$G:$G,Data!$A:$A,$A37,Data!$F:$F,"rise_renewable_energy_score"))</f>
        <v/>
      </c>
      <c r="Q37" s="16">
        <f>H37+I37+J37</f>
        <v/>
      </c>
      <c r="R37" s="28">
        <f>Q37/G37</f>
        <v/>
      </c>
      <c r="S37" s="28">
        <f>IF(D37&gt;0,H37/D37,0.85)</f>
        <v/>
      </c>
      <c r="T37" s="28">
        <f>IF(E37&gt;0,I37/E37,0.4)</f>
        <v/>
      </c>
      <c r="U37" s="28">
        <f>IF(D37+F37&gt;0,(H37+J37)/(D37+F37),0)</f>
        <v/>
      </c>
      <c r="V37" s="16">
        <f>K37*1000</f>
        <v/>
      </c>
      <c r="W37" s="15">
        <f>IF(O37=3,in_pt3,IF(O37=2,in_pt2,IF(O37=1,in_pt1,IF(C37="High income",in_pt_hi,in_pt_oth))))</f>
        <v/>
      </c>
      <c r="X37" s="28">
        <f>IF(Q37&gt;0,in_kappa*(in_rise_lo+(in_rise_hi-in_rise_lo)*IF(P37="",in_rise_miss,P37)/100)*(D37+F37)*MAX(U37-in_gas_rep*T37,0)/Q37,0)</f>
        <v/>
      </c>
      <c r="Y37" s="16">
        <f>IF(IF(M37="",N37,M37)="",MAX(in_sw_floor,in_sw_miss),MAX(in_sw_floor,(IF(M37="",N37,M37)*in_hr_gas-L37*in_hr_coal)/MAX(S37-T37,0.1)))</f>
        <v/>
      </c>
      <c r="Z37" s="28">
        <f>IF(C37="Low income",in_b40_li,IF(C37="Lower middle income",in_b40_lmi,IF(C37="Upper middle income",in_b40_umi,IF(C37="High income",in_b40_hi,0.03))))</f>
        <v/>
      </c>
      <c r="AA37" s="15">
        <f>(D37+F37)/G37</f>
        <v/>
      </c>
      <c r="AB37" s="28">
        <f>100*W37*R37/V37/in_phase</f>
        <v/>
      </c>
      <c r="AC37" s="29">
        <f>100*Z37*W37*R37/V37*(1-IF(W37&gt;0,MIN(in_rebate/(W37*in_res_sh*in_q40),1),1))</f>
        <v/>
      </c>
      <c r="AD37" s="28">
        <f>IF(AA37&gt;0,100*U37*(1-W37)/(in_whole_sh*V37),0)</f>
        <v/>
      </c>
      <c r="AE37" s="28">
        <f>IF(AA37&gt;0,100*MAX(U37-R37,0)/(in_whole_sh*V37),0)</f>
        <v/>
      </c>
      <c r="AF37" s="16">
        <f>IF(AB37&gt;0,in_f1/AB37,in_cap)</f>
        <v/>
      </c>
      <c r="AG37" s="16">
        <f>IF(AC37&gt;0,in_f2/AC37,in_cap)</f>
        <v/>
      </c>
      <c r="AH37" s="16">
        <f>IF(AD37&gt;0,in_f3/AD37,in_cap)</f>
        <v/>
      </c>
      <c r="AI37" s="16">
        <f>MIN(in_cap,AF37,AG37,AH37)</f>
        <v/>
      </c>
      <c r="AJ37" s="30">
        <f>100*(1-(1-X37*(1-EXP(-((AI37)+(0))/Y37)))*(1-MIN(ABS(in_elas)*W37*R37*(AI37)/V37,1)))</f>
        <v/>
      </c>
      <c r="AK37" s="17">
        <f>IF(AI37&gt;=in_cap-1E-9,"rate cap",TRIM(IF(ABS(AI37-AF37)&lt;1E-9,"F1 ","")&amp;IF(ABS(AI37-AG37)&lt;1E-9,"F2 ","")&amp;IF(ABS(AI37-AH37)&lt;1E-9,"F3","")))</f>
        <v/>
      </c>
      <c r="AL37" s="15">
        <f>100*(1-(1-X37*(1-EXP(-((MIN(in_cap,IF(AB37&gt;0,(in_f1+1)/AB37,in_cap),AG37,AH37))+(0))/Y37)))*(1-MIN(ABS(in_elas)*W37*R37*(MIN(in_cap,IF(AB37&gt;0,(in_f1+1)/AB37,in_cap),AG37,AH37))/V37,1)))-AJ37</f>
        <v/>
      </c>
      <c r="AM37" s="16">
        <f>MIN(in_cap,IF(AE37&gt;0,in_f3/AE37,in_cap))</f>
        <v/>
      </c>
      <c r="AN37" s="30">
        <f>100*(1-(1-X37*(1-EXP(-((0)+(AM37))/Y37)))*(1-MIN(ABS(in_elas)*W37*R37*(0)/V37,1)))</f>
        <v/>
      </c>
      <c r="AO37" s="17">
        <f>IF(AM37&gt;=in_cap-1E-9,"rate cap","F3")</f>
        <v/>
      </c>
      <c r="AP37" s="15">
        <f>100*(1-(1-X37*(1-EXP(-((50)+(0))/Y37)))*(1-MIN(ABS(in_elas)*W37*R37*(50)/V37,1)))</f>
        <v/>
      </c>
      <c r="AQ37" s="15">
        <f>100*(1-(1-X37*(1-EXP(-((0)+(50))/Y37)))*(1-MIN(ABS(in_elas)*W37*R37*(0)/V37,1)))</f>
        <v/>
      </c>
      <c r="AR37" s="15">
        <f>IF(AP37&gt;0,AQ37/AP37,"")</f>
        <v/>
      </c>
      <c r="AS37" s="16">
        <f>50*AB37</f>
        <v/>
      </c>
      <c r="AT37" s="30">
        <f>MAX(BM37:BW37)</f>
        <v/>
      </c>
      <c r="AU37" s="31">
        <f>AI37*(MATCH(AT37,BM37:BW37,0)-1)/10</f>
        <v/>
      </c>
      <c r="AV37" s="31">
        <f>INDEX(BB37:BL37,1,(MATCH(AT37,BM37:BW37,0)-1)+1)</f>
        <v/>
      </c>
      <c r="AW37" s="31">
        <f>AB37*AU37</f>
        <v/>
      </c>
      <c r="AX37" s="30">
        <f>AC37*AU37</f>
        <v/>
      </c>
      <c r="AY37" s="31">
        <f>AD37*AU37+AE37*AV37</f>
        <v/>
      </c>
      <c r="AZ37" s="32">
        <f>TRIM(IF(AND(AU37&gt;0,ABS(AU37-AF37)&lt;1E-6),"F1 ","")&amp;IF(AND(AU37&gt;0,ABS(AU37-AG37)&lt;1E-6),"F2 ","")&amp;IF(AY37&gt;=in_f3-1E-6,"F3 ","")&amp;IF(AV37&gt;=in_cap-1E-9,"rate cap",""))</f>
        <v/>
      </c>
      <c r="BA37" s="31">
        <f>Q37*AT37/100</f>
        <v/>
      </c>
      <c r="BB37" s="16">
        <f>MAX(0,MIN(in_cap,IF(AE37&gt;0,(in_f3-AD37*AI37*0/10)/AE37,in_cap)))</f>
        <v/>
      </c>
      <c r="BC37" s="16">
        <f>MAX(0,MIN(in_cap,IF(AE37&gt;0,(in_f3-AD37*AI37*1/10)/AE37,in_cap)))</f>
        <v/>
      </c>
      <c r="BD37" s="16">
        <f>MAX(0,MIN(in_cap,IF(AE37&gt;0,(in_f3-AD37*AI37*2/10)/AE37,in_cap)))</f>
        <v/>
      </c>
      <c r="BE37" s="16">
        <f>MAX(0,MIN(in_cap,IF(AE37&gt;0,(in_f3-AD37*AI37*3/10)/AE37,in_cap)))</f>
        <v/>
      </c>
      <c r="BF37" s="16">
        <f>MAX(0,MIN(in_cap,IF(AE37&gt;0,(in_f3-AD37*AI37*4/10)/AE37,in_cap)))</f>
        <v/>
      </c>
      <c r="BG37" s="16">
        <f>MAX(0,MIN(in_cap,IF(AE37&gt;0,(in_f3-AD37*AI37*5/10)/AE37,in_cap)))</f>
        <v/>
      </c>
      <c r="BH37" s="16">
        <f>MAX(0,MIN(in_cap,IF(AE37&gt;0,(in_f3-AD37*AI37*6/10)/AE37,in_cap)))</f>
        <v/>
      </c>
      <c r="BI37" s="16">
        <f>MAX(0,MIN(in_cap,IF(AE37&gt;0,(in_f3-AD37*AI37*7/10)/AE37,in_cap)))</f>
        <v/>
      </c>
      <c r="BJ37" s="16">
        <f>MAX(0,MIN(in_cap,IF(AE37&gt;0,(in_f3-AD37*AI37*8/10)/AE37,in_cap)))</f>
        <v/>
      </c>
      <c r="BK37" s="16">
        <f>MAX(0,MIN(in_cap,IF(AE37&gt;0,(in_f3-AD37*AI37*9/10)/AE37,in_cap)))</f>
        <v/>
      </c>
      <c r="BL37" s="16">
        <f>MAX(0,MIN(in_cap,IF(AE37&gt;0,(in_f3-AD37*AI37*10/10)/AE37,in_cap)))</f>
        <v/>
      </c>
      <c r="BM37" s="15">
        <f>100*(1-(1-X37*(1-EXP(-((AI37*0/10)+(BB37))/Y37)))*(1-MIN(ABS(in_elas)*W37*R37*(AI37*0/10)/V37,1)))</f>
        <v/>
      </c>
      <c r="BN37" s="15">
        <f>100*(1-(1-X37*(1-EXP(-((AI37*1/10)+(BC37))/Y37)))*(1-MIN(ABS(in_elas)*W37*R37*(AI37*1/10)/V37,1)))</f>
        <v/>
      </c>
      <c r="BO37" s="15">
        <f>100*(1-(1-X37*(1-EXP(-((AI37*2/10)+(BD37))/Y37)))*(1-MIN(ABS(in_elas)*W37*R37*(AI37*2/10)/V37,1)))</f>
        <v/>
      </c>
      <c r="BP37" s="15">
        <f>100*(1-(1-X37*(1-EXP(-((AI37*3/10)+(BE37))/Y37)))*(1-MIN(ABS(in_elas)*W37*R37*(AI37*3/10)/V37,1)))</f>
        <v/>
      </c>
      <c r="BQ37" s="15">
        <f>100*(1-(1-X37*(1-EXP(-((AI37*4/10)+(BF37))/Y37)))*(1-MIN(ABS(in_elas)*W37*R37*(AI37*4/10)/V37,1)))</f>
        <v/>
      </c>
      <c r="BR37" s="15">
        <f>100*(1-(1-X37*(1-EXP(-((AI37*5/10)+(BG37))/Y37)))*(1-MIN(ABS(in_elas)*W37*R37*(AI37*5/10)/V37,1)))</f>
        <v/>
      </c>
      <c r="BS37" s="15">
        <f>100*(1-(1-X37*(1-EXP(-((AI37*6/10)+(BH37))/Y37)))*(1-MIN(ABS(in_elas)*W37*R37*(AI37*6/10)/V37,1)))</f>
        <v/>
      </c>
      <c r="BT37" s="15">
        <f>100*(1-(1-X37*(1-EXP(-((AI37*7/10)+(BI37))/Y37)))*(1-MIN(ABS(in_elas)*W37*R37*(AI37*7/10)/V37,1)))</f>
        <v/>
      </c>
      <c r="BU37" s="15">
        <f>100*(1-(1-X37*(1-EXP(-((AI37*8/10)+(BJ37))/Y37)))*(1-MIN(ABS(in_elas)*W37*R37*(AI37*8/10)/V37,1)))</f>
        <v/>
      </c>
      <c r="BV37" s="15">
        <f>100*(1-(1-X37*(1-EXP(-((AI37*9/10)+(BK37))/Y37)))*(1-MIN(ABS(in_elas)*W37*R37*(AI37*9/10)/V37,1)))</f>
        <v/>
      </c>
      <c r="BW37" s="15">
        <f>100*(1-(1-X37*(1-EXP(-((AI37*10/10)+(BL37))/Y37)))*(1-MIN(ABS(in_elas)*W37*R37*(AI37*10/10)/V37,1)))</f>
        <v/>
      </c>
    </row>
    <row r="38">
      <c r="A38" s="17" t="inlineStr">
        <is>
          <t>COL</t>
        </is>
      </c>
      <c r="B38" s="17">
        <f>INDEX(Data!$B:$B,MATCH($A38,Data!$A:$A,0))</f>
        <v/>
      </c>
      <c r="C38" s="17">
        <f>INDEX(Data!$D:$D,MATCH($A38,Data!$A:$A,0))</f>
        <v/>
      </c>
      <c r="D38" s="16">
        <f>SUMIFS(Data!$G:$G,Data!$A:$A,$A38,Data!$F:$F,"gen_coal_twh")</f>
        <v/>
      </c>
      <c r="E38" s="16">
        <f>SUMIFS(Data!$G:$G,Data!$A:$A,$A38,Data!$F:$F,"gen_gas_twh")</f>
        <v/>
      </c>
      <c r="F38" s="16">
        <f>SUMIFS(Data!$G:$G,Data!$A:$A,$A38,Data!$F:$F,"gen_oil_twh")</f>
        <v/>
      </c>
      <c r="G38" s="16">
        <f>SUMIFS(Data!$G:$G,Data!$A:$A,$A38,Data!$F:$F,"gen_total_twh")</f>
        <v/>
      </c>
      <c r="H38" s="16">
        <f>SUMIFS(Data!$G:$G,Data!$A:$A,$A38,Data!$F:$F,"em_coal_mt")</f>
        <v/>
      </c>
      <c r="I38" s="16">
        <f>SUMIFS(Data!$G:$G,Data!$A:$A,$A38,Data!$F:$F,"em_gas_mt")</f>
        <v/>
      </c>
      <c r="J38" s="16">
        <f>SUMIFS(Data!$G:$G,Data!$A:$A,$A38,Data!$F:$F,"em_oil_mt")</f>
        <v/>
      </c>
      <c r="K38" s="28">
        <f>IF(COUNTIFS(Data!$A:$A,$A38,Data!$F:$F,"price_electricity_residential_usd_kwh")=0,"",SUMIFS(Data!$G:$G,Data!$A:$A,$A38,Data!$F:$F,"price_electricity_residential_usd_kwh"))</f>
        <v/>
      </c>
      <c r="L38" s="28">
        <f>IF(COUNTIFS(Data!$A:$A,$A38,Data!$F:$F,"price_coal_power_usd_gj")=0,"",SUMIFS(Data!$G:$G,Data!$A:$A,$A38,Data!$F:$F,"price_coal_power_usd_gj"))</f>
        <v/>
      </c>
      <c r="M38" s="28">
        <f>IF(COUNTIFS(Data!$A:$A,$A38,Data!$F:$F,"price_gas_power_usd_gj")=0,"",SUMIFS(Data!$G:$G,Data!$A:$A,$A38,Data!$F:$F,"price_gas_power_usd_gj"))</f>
        <v/>
      </c>
      <c r="N38" s="28">
        <f>IF(COUNTIFS(Data!$A:$A,$A38,Data!$F:$F,"price_gas_industry_usd_gj")=0,"",SUMIFS(Data!$G:$G,Data!$A:$A,$A38,Data!$F:$F,"price_gas_industry_usd_gj"))</f>
        <v/>
      </c>
      <c r="O38" s="28">
        <f>IF(COUNTIFS(Data!$A:$A,$A38,Data!$F:$F,"power_market_structure")=0,"",SUMIFS(Data!$G:$G,Data!$A:$A,$A38,Data!$F:$F,"power_market_structure"))</f>
        <v/>
      </c>
      <c r="P38" s="28">
        <f>IF(COUNTIFS(Data!$A:$A,$A38,Data!$F:$F,"rise_renewable_energy_score")=0,"",SUMIFS(Data!$G:$G,Data!$A:$A,$A38,Data!$F:$F,"rise_renewable_energy_score"))</f>
        <v/>
      </c>
      <c r="Q38" s="16">
        <f>H38+I38+J38</f>
        <v/>
      </c>
      <c r="R38" s="28">
        <f>Q38/G38</f>
        <v/>
      </c>
      <c r="S38" s="28">
        <f>IF(D38&gt;0,H38/D38,0.85)</f>
        <v/>
      </c>
      <c r="T38" s="28">
        <f>IF(E38&gt;0,I38/E38,0.4)</f>
        <v/>
      </c>
      <c r="U38" s="28">
        <f>IF(D38+F38&gt;0,(H38+J38)/(D38+F38),0)</f>
        <v/>
      </c>
      <c r="V38" s="16">
        <f>K38*1000</f>
        <v/>
      </c>
      <c r="W38" s="15">
        <f>IF(O38=3,in_pt3,IF(O38=2,in_pt2,IF(O38=1,in_pt1,IF(C38="High income",in_pt_hi,in_pt_oth))))</f>
        <v/>
      </c>
      <c r="X38" s="28">
        <f>IF(Q38&gt;0,in_kappa*(in_rise_lo+(in_rise_hi-in_rise_lo)*IF(P38="",in_rise_miss,P38)/100)*(D38+F38)*MAX(U38-in_gas_rep*T38,0)/Q38,0)</f>
        <v/>
      </c>
      <c r="Y38" s="16">
        <f>IF(IF(M38="",N38,M38)="",MAX(in_sw_floor,in_sw_miss),MAX(in_sw_floor,(IF(M38="",N38,M38)*in_hr_gas-L38*in_hr_coal)/MAX(S38-T38,0.1)))</f>
        <v/>
      </c>
      <c r="Z38" s="28">
        <f>IF(C38="Low income",in_b40_li,IF(C38="Lower middle income",in_b40_lmi,IF(C38="Upper middle income",in_b40_umi,IF(C38="High income",in_b40_hi,0.03))))</f>
        <v/>
      </c>
      <c r="AA38" s="15">
        <f>(D38+F38)/G38</f>
        <v/>
      </c>
      <c r="AB38" s="28">
        <f>100*W38*R38/V38/in_phase</f>
        <v/>
      </c>
      <c r="AC38" s="29">
        <f>100*Z38*W38*R38/V38*(1-IF(W38&gt;0,MIN(in_rebate/(W38*in_res_sh*in_q40),1),1))</f>
        <v/>
      </c>
      <c r="AD38" s="28">
        <f>IF(AA38&gt;0,100*U38*(1-W38)/(in_whole_sh*V38),0)</f>
        <v/>
      </c>
      <c r="AE38" s="28">
        <f>IF(AA38&gt;0,100*MAX(U38-R38,0)/(in_whole_sh*V38),0)</f>
        <v/>
      </c>
      <c r="AF38" s="16">
        <f>IF(AB38&gt;0,in_f1/AB38,in_cap)</f>
        <v/>
      </c>
      <c r="AG38" s="16">
        <f>IF(AC38&gt;0,in_f2/AC38,in_cap)</f>
        <v/>
      </c>
      <c r="AH38" s="16">
        <f>IF(AD38&gt;0,in_f3/AD38,in_cap)</f>
        <v/>
      </c>
      <c r="AI38" s="16">
        <f>MIN(in_cap,AF38,AG38,AH38)</f>
        <v/>
      </c>
      <c r="AJ38" s="30">
        <f>100*(1-(1-X38*(1-EXP(-((AI38)+(0))/Y38)))*(1-MIN(ABS(in_elas)*W38*R38*(AI38)/V38,1)))</f>
        <v/>
      </c>
      <c r="AK38" s="17">
        <f>IF(AI38&gt;=in_cap-1E-9,"rate cap",TRIM(IF(ABS(AI38-AF38)&lt;1E-9,"F1 ","")&amp;IF(ABS(AI38-AG38)&lt;1E-9,"F2 ","")&amp;IF(ABS(AI38-AH38)&lt;1E-9,"F3","")))</f>
        <v/>
      </c>
      <c r="AL38" s="15">
        <f>100*(1-(1-X38*(1-EXP(-((MIN(in_cap,IF(AB38&gt;0,(in_f1+1)/AB38,in_cap),AG38,AH38))+(0))/Y38)))*(1-MIN(ABS(in_elas)*W38*R38*(MIN(in_cap,IF(AB38&gt;0,(in_f1+1)/AB38,in_cap),AG38,AH38))/V38,1)))-AJ38</f>
        <v/>
      </c>
      <c r="AM38" s="16">
        <f>MIN(in_cap,IF(AE38&gt;0,in_f3/AE38,in_cap))</f>
        <v/>
      </c>
      <c r="AN38" s="30">
        <f>100*(1-(1-X38*(1-EXP(-((0)+(AM38))/Y38)))*(1-MIN(ABS(in_elas)*W38*R38*(0)/V38,1)))</f>
        <v/>
      </c>
      <c r="AO38" s="17">
        <f>IF(AM38&gt;=in_cap-1E-9,"rate cap","F3")</f>
        <v/>
      </c>
      <c r="AP38" s="15">
        <f>100*(1-(1-X38*(1-EXP(-((50)+(0))/Y38)))*(1-MIN(ABS(in_elas)*W38*R38*(50)/V38,1)))</f>
        <v/>
      </c>
      <c r="AQ38" s="15">
        <f>100*(1-(1-X38*(1-EXP(-((0)+(50))/Y38)))*(1-MIN(ABS(in_elas)*W38*R38*(0)/V38,1)))</f>
        <v/>
      </c>
      <c r="AR38" s="15">
        <f>IF(AP38&gt;0,AQ38/AP38,"")</f>
        <v/>
      </c>
      <c r="AS38" s="16">
        <f>50*AB38</f>
        <v/>
      </c>
      <c r="AT38" s="30">
        <f>MAX(BM38:BW38)</f>
        <v/>
      </c>
      <c r="AU38" s="31">
        <f>AI38*(MATCH(AT38,BM38:BW38,0)-1)/10</f>
        <v/>
      </c>
      <c r="AV38" s="31">
        <f>INDEX(BB38:BL38,1,(MATCH(AT38,BM38:BW38,0)-1)+1)</f>
        <v/>
      </c>
      <c r="AW38" s="31">
        <f>AB38*AU38</f>
        <v/>
      </c>
      <c r="AX38" s="30">
        <f>AC38*AU38</f>
        <v/>
      </c>
      <c r="AY38" s="31">
        <f>AD38*AU38+AE38*AV38</f>
        <v/>
      </c>
      <c r="AZ38" s="32">
        <f>TRIM(IF(AND(AU38&gt;0,ABS(AU38-AF38)&lt;1E-6),"F1 ","")&amp;IF(AND(AU38&gt;0,ABS(AU38-AG38)&lt;1E-6),"F2 ","")&amp;IF(AY38&gt;=in_f3-1E-6,"F3 ","")&amp;IF(AV38&gt;=in_cap-1E-9,"rate cap",""))</f>
        <v/>
      </c>
      <c r="BA38" s="31">
        <f>Q38*AT38/100</f>
        <v/>
      </c>
      <c r="BB38" s="16">
        <f>MAX(0,MIN(in_cap,IF(AE38&gt;0,(in_f3-AD38*AI38*0/10)/AE38,in_cap)))</f>
        <v/>
      </c>
      <c r="BC38" s="16">
        <f>MAX(0,MIN(in_cap,IF(AE38&gt;0,(in_f3-AD38*AI38*1/10)/AE38,in_cap)))</f>
        <v/>
      </c>
      <c r="BD38" s="16">
        <f>MAX(0,MIN(in_cap,IF(AE38&gt;0,(in_f3-AD38*AI38*2/10)/AE38,in_cap)))</f>
        <v/>
      </c>
      <c r="BE38" s="16">
        <f>MAX(0,MIN(in_cap,IF(AE38&gt;0,(in_f3-AD38*AI38*3/10)/AE38,in_cap)))</f>
        <v/>
      </c>
      <c r="BF38" s="16">
        <f>MAX(0,MIN(in_cap,IF(AE38&gt;0,(in_f3-AD38*AI38*4/10)/AE38,in_cap)))</f>
        <v/>
      </c>
      <c r="BG38" s="16">
        <f>MAX(0,MIN(in_cap,IF(AE38&gt;0,(in_f3-AD38*AI38*5/10)/AE38,in_cap)))</f>
        <v/>
      </c>
      <c r="BH38" s="16">
        <f>MAX(0,MIN(in_cap,IF(AE38&gt;0,(in_f3-AD38*AI38*6/10)/AE38,in_cap)))</f>
        <v/>
      </c>
      <c r="BI38" s="16">
        <f>MAX(0,MIN(in_cap,IF(AE38&gt;0,(in_f3-AD38*AI38*7/10)/AE38,in_cap)))</f>
        <v/>
      </c>
      <c r="BJ38" s="16">
        <f>MAX(0,MIN(in_cap,IF(AE38&gt;0,(in_f3-AD38*AI38*8/10)/AE38,in_cap)))</f>
        <v/>
      </c>
      <c r="BK38" s="16">
        <f>MAX(0,MIN(in_cap,IF(AE38&gt;0,(in_f3-AD38*AI38*9/10)/AE38,in_cap)))</f>
        <v/>
      </c>
      <c r="BL38" s="16">
        <f>MAX(0,MIN(in_cap,IF(AE38&gt;0,(in_f3-AD38*AI38*10/10)/AE38,in_cap)))</f>
        <v/>
      </c>
      <c r="BM38" s="15">
        <f>100*(1-(1-X38*(1-EXP(-((AI38*0/10)+(BB38))/Y38)))*(1-MIN(ABS(in_elas)*W38*R38*(AI38*0/10)/V38,1)))</f>
        <v/>
      </c>
      <c r="BN38" s="15">
        <f>100*(1-(1-X38*(1-EXP(-((AI38*1/10)+(BC38))/Y38)))*(1-MIN(ABS(in_elas)*W38*R38*(AI38*1/10)/V38,1)))</f>
        <v/>
      </c>
      <c r="BO38" s="15">
        <f>100*(1-(1-X38*(1-EXP(-((AI38*2/10)+(BD38))/Y38)))*(1-MIN(ABS(in_elas)*W38*R38*(AI38*2/10)/V38,1)))</f>
        <v/>
      </c>
      <c r="BP38" s="15">
        <f>100*(1-(1-X38*(1-EXP(-((AI38*3/10)+(BE38))/Y38)))*(1-MIN(ABS(in_elas)*W38*R38*(AI38*3/10)/V38,1)))</f>
        <v/>
      </c>
      <c r="BQ38" s="15">
        <f>100*(1-(1-X38*(1-EXP(-((AI38*4/10)+(BF38))/Y38)))*(1-MIN(ABS(in_elas)*W38*R38*(AI38*4/10)/V38,1)))</f>
        <v/>
      </c>
      <c r="BR38" s="15">
        <f>100*(1-(1-X38*(1-EXP(-((AI38*5/10)+(BG38))/Y38)))*(1-MIN(ABS(in_elas)*W38*R38*(AI38*5/10)/V38,1)))</f>
        <v/>
      </c>
      <c r="BS38" s="15">
        <f>100*(1-(1-X38*(1-EXP(-((AI38*6/10)+(BH38))/Y38)))*(1-MIN(ABS(in_elas)*W38*R38*(AI38*6/10)/V38,1)))</f>
        <v/>
      </c>
      <c r="BT38" s="15">
        <f>100*(1-(1-X38*(1-EXP(-((AI38*7/10)+(BI38))/Y38)))*(1-MIN(ABS(in_elas)*W38*R38*(AI38*7/10)/V38,1)))</f>
        <v/>
      </c>
      <c r="BU38" s="15">
        <f>100*(1-(1-X38*(1-EXP(-((AI38*8/10)+(BJ38))/Y38)))*(1-MIN(ABS(in_elas)*W38*R38*(AI38*8/10)/V38,1)))</f>
        <v/>
      </c>
      <c r="BV38" s="15">
        <f>100*(1-(1-X38*(1-EXP(-((AI38*9/10)+(BK38))/Y38)))*(1-MIN(ABS(in_elas)*W38*R38*(AI38*9/10)/V38,1)))</f>
        <v/>
      </c>
      <c r="BW38" s="15">
        <f>100*(1-(1-X38*(1-EXP(-((AI38*10/10)+(BL38))/Y38)))*(1-MIN(ABS(in_elas)*W38*R38*(AI38*10/10)/V38,1)))</f>
        <v/>
      </c>
    </row>
    <row r="39">
      <c r="A39" s="17" t="inlineStr">
        <is>
          <t>CPV</t>
        </is>
      </c>
      <c r="B39" s="17">
        <f>INDEX(Data!$B:$B,MATCH($A39,Data!$A:$A,0))</f>
        <v/>
      </c>
      <c r="C39" s="17">
        <f>INDEX(Data!$D:$D,MATCH($A39,Data!$A:$A,0))</f>
        <v/>
      </c>
      <c r="D39" s="16">
        <f>SUMIFS(Data!$G:$G,Data!$A:$A,$A39,Data!$F:$F,"gen_coal_twh")</f>
        <v/>
      </c>
      <c r="E39" s="16">
        <f>SUMIFS(Data!$G:$G,Data!$A:$A,$A39,Data!$F:$F,"gen_gas_twh")</f>
        <v/>
      </c>
      <c r="F39" s="16">
        <f>SUMIFS(Data!$G:$G,Data!$A:$A,$A39,Data!$F:$F,"gen_oil_twh")</f>
        <v/>
      </c>
      <c r="G39" s="16">
        <f>SUMIFS(Data!$G:$G,Data!$A:$A,$A39,Data!$F:$F,"gen_total_twh")</f>
        <v/>
      </c>
      <c r="H39" s="16">
        <f>SUMIFS(Data!$G:$G,Data!$A:$A,$A39,Data!$F:$F,"em_coal_mt")</f>
        <v/>
      </c>
      <c r="I39" s="16">
        <f>SUMIFS(Data!$G:$G,Data!$A:$A,$A39,Data!$F:$F,"em_gas_mt")</f>
        <v/>
      </c>
      <c r="J39" s="16">
        <f>SUMIFS(Data!$G:$G,Data!$A:$A,$A39,Data!$F:$F,"em_oil_mt")</f>
        <v/>
      </c>
      <c r="K39" s="28">
        <f>IF(COUNTIFS(Data!$A:$A,$A39,Data!$F:$F,"price_electricity_residential_usd_kwh")=0,"",SUMIFS(Data!$G:$G,Data!$A:$A,$A39,Data!$F:$F,"price_electricity_residential_usd_kwh"))</f>
        <v/>
      </c>
      <c r="L39" s="28">
        <f>IF(COUNTIFS(Data!$A:$A,$A39,Data!$F:$F,"price_coal_power_usd_gj")=0,"",SUMIFS(Data!$G:$G,Data!$A:$A,$A39,Data!$F:$F,"price_coal_power_usd_gj"))</f>
        <v/>
      </c>
      <c r="M39" s="28">
        <f>IF(COUNTIFS(Data!$A:$A,$A39,Data!$F:$F,"price_gas_power_usd_gj")=0,"",SUMIFS(Data!$G:$G,Data!$A:$A,$A39,Data!$F:$F,"price_gas_power_usd_gj"))</f>
        <v/>
      </c>
      <c r="N39" s="28">
        <f>IF(COUNTIFS(Data!$A:$A,$A39,Data!$F:$F,"price_gas_industry_usd_gj")=0,"",SUMIFS(Data!$G:$G,Data!$A:$A,$A39,Data!$F:$F,"price_gas_industry_usd_gj"))</f>
        <v/>
      </c>
      <c r="O39" s="28">
        <f>IF(COUNTIFS(Data!$A:$A,$A39,Data!$F:$F,"power_market_structure")=0,"",SUMIFS(Data!$G:$G,Data!$A:$A,$A39,Data!$F:$F,"power_market_structure"))</f>
        <v/>
      </c>
      <c r="P39" s="28">
        <f>IF(COUNTIFS(Data!$A:$A,$A39,Data!$F:$F,"rise_renewable_energy_score")=0,"",SUMIFS(Data!$G:$G,Data!$A:$A,$A39,Data!$F:$F,"rise_renewable_energy_score"))</f>
        <v/>
      </c>
      <c r="Q39" s="16">
        <f>H39+I39+J39</f>
        <v/>
      </c>
      <c r="R39" s="28">
        <f>Q39/G39</f>
        <v/>
      </c>
      <c r="S39" s="28">
        <f>IF(D39&gt;0,H39/D39,0.85)</f>
        <v/>
      </c>
      <c r="T39" s="28">
        <f>IF(E39&gt;0,I39/E39,0.4)</f>
        <v/>
      </c>
      <c r="U39" s="28">
        <f>IF(D39+F39&gt;0,(H39+J39)/(D39+F39),0)</f>
        <v/>
      </c>
      <c r="V39" s="16">
        <f>K39*1000</f>
        <v/>
      </c>
      <c r="W39" s="15">
        <f>IF(O39=3,in_pt3,IF(O39=2,in_pt2,IF(O39=1,in_pt1,IF(C39="High income",in_pt_hi,in_pt_oth))))</f>
        <v/>
      </c>
      <c r="X39" s="28">
        <f>IF(Q39&gt;0,in_kappa*(in_rise_lo+(in_rise_hi-in_rise_lo)*IF(P39="",in_rise_miss,P39)/100)*(D39+F39)*MAX(U39-in_gas_rep*T39,0)/Q39,0)</f>
        <v/>
      </c>
      <c r="Y39" s="16">
        <f>IF(IF(M39="",N39,M39)="",MAX(in_sw_floor,in_sw_miss),MAX(in_sw_floor,(IF(M39="",N39,M39)*in_hr_gas-L39*in_hr_coal)/MAX(S39-T39,0.1)))</f>
        <v/>
      </c>
      <c r="Z39" s="28">
        <f>IF(C39="Low income",in_b40_li,IF(C39="Lower middle income",in_b40_lmi,IF(C39="Upper middle income",in_b40_umi,IF(C39="High income",in_b40_hi,0.03))))</f>
        <v/>
      </c>
      <c r="AA39" s="15">
        <f>(D39+F39)/G39</f>
        <v/>
      </c>
      <c r="AB39" s="28">
        <f>100*W39*R39/V39/in_phase</f>
        <v/>
      </c>
      <c r="AC39" s="29">
        <f>100*Z39*W39*R39/V39*(1-IF(W39&gt;0,MIN(in_rebate/(W39*in_res_sh*in_q40),1),1))</f>
        <v/>
      </c>
      <c r="AD39" s="28">
        <f>IF(AA39&gt;0,100*U39*(1-W39)/(in_whole_sh*V39),0)</f>
        <v/>
      </c>
      <c r="AE39" s="28">
        <f>IF(AA39&gt;0,100*MAX(U39-R39,0)/(in_whole_sh*V39),0)</f>
        <v/>
      </c>
      <c r="AF39" s="16">
        <f>IF(AB39&gt;0,in_f1/AB39,in_cap)</f>
        <v/>
      </c>
      <c r="AG39" s="16">
        <f>IF(AC39&gt;0,in_f2/AC39,in_cap)</f>
        <v/>
      </c>
      <c r="AH39" s="16">
        <f>IF(AD39&gt;0,in_f3/AD39,in_cap)</f>
        <v/>
      </c>
      <c r="AI39" s="16">
        <f>MIN(in_cap,AF39,AG39,AH39)</f>
        <v/>
      </c>
      <c r="AJ39" s="30">
        <f>100*(1-(1-X39*(1-EXP(-((AI39)+(0))/Y39)))*(1-MIN(ABS(in_elas)*W39*R39*(AI39)/V39,1)))</f>
        <v/>
      </c>
      <c r="AK39" s="17">
        <f>IF(AI39&gt;=in_cap-1E-9,"rate cap",TRIM(IF(ABS(AI39-AF39)&lt;1E-9,"F1 ","")&amp;IF(ABS(AI39-AG39)&lt;1E-9,"F2 ","")&amp;IF(ABS(AI39-AH39)&lt;1E-9,"F3","")))</f>
        <v/>
      </c>
      <c r="AL39" s="15">
        <f>100*(1-(1-X39*(1-EXP(-((MIN(in_cap,IF(AB39&gt;0,(in_f1+1)/AB39,in_cap),AG39,AH39))+(0))/Y39)))*(1-MIN(ABS(in_elas)*W39*R39*(MIN(in_cap,IF(AB39&gt;0,(in_f1+1)/AB39,in_cap),AG39,AH39))/V39,1)))-AJ39</f>
        <v/>
      </c>
      <c r="AM39" s="16">
        <f>MIN(in_cap,IF(AE39&gt;0,in_f3/AE39,in_cap))</f>
        <v/>
      </c>
      <c r="AN39" s="30">
        <f>100*(1-(1-X39*(1-EXP(-((0)+(AM39))/Y39)))*(1-MIN(ABS(in_elas)*W39*R39*(0)/V39,1)))</f>
        <v/>
      </c>
      <c r="AO39" s="17">
        <f>IF(AM39&gt;=in_cap-1E-9,"rate cap","F3")</f>
        <v/>
      </c>
      <c r="AP39" s="15">
        <f>100*(1-(1-X39*(1-EXP(-((50)+(0))/Y39)))*(1-MIN(ABS(in_elas)*W39*R39*(50)/V39,1)))</f>
        <v/>
      </c>
      <c r="AQ39" s="15">
        <f>100*(1-(1-X39*(1-EXP(-((0)+(50))/Y39)))*(1-MIN(ABS(in_elas)*W39*R39*(0)/V39,1)))</f>
        <v/>
      </c>
      <c r="AR39" s="15">
        <f>IF(AP39&gt;0,AQ39/AP39,"")</f>
        <v/>
      </c>
      <c r="AS39" s="16">
        <f>50*AB39</f>
        <v/>
      </c>
      <c r="AT39" s="30">
        <f>MAX(BM39:BW39)</f>
        <v/>
      </c>
      <c r="AU39" s="31">
        <f>AI39*(MATCH(AT39,BM39:BW39,0)-1)/10</f>
        <v/>
      </c>
      <c r="AV39" s="31">
        <f>INDEX(BB39:BL39,1,(MATCH(AT39,BM39:BW39,0)-1)+1)</f>
        <v/>
      </c>
      <c r="AW39" s="31">
        <f>AB39*AU39</f>
        <v/>
      </c>
      <c r="AX39" s="30">
        <f>AC39*AU39</f>
        <v/>
      </c>
      <c r="AY39" s="31">
        <f>AD39*AU39+AE39*AV39</f>
        <v/>
      </c>
      <c r="AZ39" s="32">
        <f>TRIM(IF(AND(AU39&gt;0,ABS(AU39-AF39)&lt;1E-6),"F1 ","")&amp;IF(AND(AU39&gt;0,ABS(AU39-AG39)&lt;1E-6),"F2 ","")&amp;IF(AY39&gt;=in_f3-1E-6,"F3 ","")&amp;IF(AV39&gt;=in_cap-1E-9,"rate cap",""))</f>
        <v/>
      </c>
      <c r="BA39" s="31">
        <f>Q39*AT39/100</f>
        <v/>
      </c>
      <c r="BB39" s="16">
        <f>MAX(0,MIN(in_cap,IF(AE39&gt;0,(in_f3-AD39*AI39*0/10)/AE39,in_cap)))</f>
        <v/>
      </c>
      <c r="BC39" s="16">
        <f>MAX(0,MIN(in_cap,IF(AE39&gt;0,(in_f3-AD39*AI39*1/10)/AE39,in_cap)))</f>
        <v/>
      </c>
      <c r="BD39" s="16">
        <f>MAX(0,MIN(in_cap,IF(AE39&gt;0,(in_f3-AD39*AI39*2/10)/AE39,in_cap)))</f>
        <v/>
      </c>
      <c r="BE39" s="16">
        <f>MAX(0,MIN(in_cap,IF(AE39&gt;0,(in_f3-AD39*AI39*3/10)/AE39,in_cap)))</f>
        <v/>
      </c>
      <c r="BF39" s="16">
        <f>MAX(0,MIN(in_cap,IF(AE39&gt;0,(in_f3-AD39*AI39*4/10)/AE39,in_cap)))</f>
        <v/>
      </c>
      <c r="BG39" s="16">
        <f>MAX(0,MIN(in_cap,IF(AE39&gt;0,(in_f3-AD39*AI39*5/10)/AE39,in_cap)))</f>
        <v/>
      </c>
      <c r="BH39" s="16">
        <f>MAX(0,MIN(in_cap,IF(AE39&gt;0,(in_f3-AD39*AI39*6/10)/AE39,in_cap)))</f>
        <v/>
      </c>
      <c r="BI39" s="16">
        <f>MAX(0,MIN(in_cap,IF(AE39&gt;0,(in_f3-AD39*AI39*7/10)/AE39,in_cap)))</f>
        <v/>
      </c>
      <c r="BJ39" s="16">
        <f>MAX(0,MIN(in_cap,IF(AE39&gt;0,(in_f3-AD39*AI39*8/10)/AE39,in_cap)))</f>
        <v/>
      </c>
      <c r="BK39" s="16">
        <f>MAX(0,MIN(in_cap,IF(AE39&gt;0,(in_f3-AD39*AI39*9/10)/AE39,in_cap)))</f>
        <v/>
      </c>
      <c r="BL39" s="16">
        <f>MAX(0,MIN(in_cap,IF(AE39&gt;0,(in_f3-AD39*AI39*10/10)/AE39,in_cap)))</f>
        <v/>
      </c>
      <c r="BM39" s="15">
        <f>100*(1-(1-X39*(1-EXP(-((AI39*0/10)+(BB39))/Y39)))*(1-MIN(ABS(in_elas)*W39*R39*(AI39*0/10)/V39,1)))</f>
        <v/>
      </c>
      <c r="BN39" s="15">
        <f>100*(1-(1-X39*(1-EXP(-((AI39*1/10)+(BC39))/Y39)))*(1-MIN(ABS(in_elas)*W39*R39*(AI39*1/10)/V39,1)))</f>
        <v/>
      </c>
      <c r="BO39" s="15">
        <f>100*(1-(1-X39*(1-EXP(-((AI39*2/10)+(BD39))/Y39)))*(1-MIN(ABS(in_elas)*W39*R39*(AI39*2/10)/V39,1)))</f>
        <v/>
      </c>
      <c r="BP39" s="15">
        <f>100*(1-(1-X39*(1-EXP(-((AI39*3/10)+(BE39))/Y39)))*(1-MIN(ABS(in_elas)*W39*R39*(AI39*3/10)/V39,1)))</f>
        <v/>
      </c>
      <c r="BQ39" s="15">
        <f>100*(1-(1-X39*(1-EXP(-((AI39*4/10)+(BF39))/Y39)))*(1-MIN(ABS(in_elas)*W39*R39*(AI39*4/10)/V39,1)))</f>
        <v/>
      </c>
      <c r="BR39" s="15">
        <f>100*(1-(1-X39*(1-EXP(-((AI39*5/10)+(BG39))/Y39)))*(1-MIN(ABS(in_elas)*W39*R39*(AI39*5/10)/V39,1)))</f>
        <v/>
      </c>
      <c r="BS39" s="15">
        <f>100*(1-(1-X39*(1-EXP(-((AI39*6/10)+(BH39))/Y39)))*(1-MIN(ABS(in_elas)*W39*R39*(AI39*6/10)/V39,1)))</f>
        <v/>
      </c>
      <c r="BT39" s="15">
        <f>100*(1-(1-X39*(1-EXP(-((AI39*7/10)+(BI39))/Y39)))*(1-MIN(ABS(in_elas)*W39*R39*(AI39*7/10)/V39,1)))</f>
        <v/>
      </c>
      <c r="BU39" s="15">
        <f>100*(1-(1-X39*(1-EXP(-((AI39*8/10)+(BJ39))/Y39)))*(1-MIN(ABS(in_elas)*W39*R39*(AI39*8/10)/V39,1)))</f>
        <v/>
      </c>
      <c r="BV39" s="15">
        <f>100*(1-(1-X39*(1-EXP(-((AI39*9/10)+(BK39))/Y39)))*(1-MIN(ABS(in_elas)*W39*R39*(AI39*9/10)/V39,1)))</f>
        <v/>
      </c>
      <c r="BW39" s="15">
        <f>100*(1-(1-X39*(1-EXP(-((AI39*10/10)+(BL39))/Y39)))*(1-MIN(ABS(in_elas)*W39*R39*(AI39*10/10)/V39,1)))</f>
        <v/>
      </c>
    </row>
    <row r="40">
      <c r="A40" s="17" t="inlineStr">
        <is>
          <t>CRI</t>
        </is>
      </c>
      <c r="B40" s="17">
        <f>INDEX(Data!$B:$B,MATCH($A40,Data!$A:$A,0))</f>
        <v/>
      </c>
      <c r="C40" s="17">
        <f>INDEX(Data!$D:$D,MATCH($A40,Data!$A:$A,0))</f>
        <v/>
      </c>
      <c r="D40" s="16">
        <f>SUMIFS(Data!$G:$G,Data!$A:$A,$A40,Data!$F:$F,"gen_coal_twh")</f>
        <v/>
      </c>
      <c r="E40" s="16">
        <f>SUMIFS(Data!$G:$G,Data!$A:$A,$A40,Data!$F:$F,"gen_gas_twh")</f>
        <v/>
      </c>
      <c r="F40" s="16">
        <f>SUMIFS(Data!$G:$G,Data!$A:$A,$A40,Data!$F:$F,"gen_oil_twh")</f>
        <v/>
      </c>
      <c r="G40" s="16">
        <f>SUMIFS(Data!$G:$G,Data!$A:$A,$A40,Data!$F:$F,"gen_total_twh")</f>
        <v/>
      </c>
      <c r="H40" s="16">
        <f>SUMIFS(Data!$G:$G,Data!$A:$A,$A40,Data!$F:$F,"em_coal_mt")</f>
        <v/>
      </c>
      <c r="I40" s="16">
        <f>SUMIFS(Data!$G:$G,Data!$A:$A,$A40,Data!$F:$F,"em_gas_mt")</f>
        <v/>
      </c>
      <c r="J40" s="16">
        <f>SUMIFS(Data!$G:$G,Data!$A:$A,$A40,Data!$F:$F,"em_oil_mt")</f>
        <v/>
      </c>
      <c r="K40" s="28">
        <f>IF(COUNTIFS(Data!$A:$A,$A40,Data!$F:$F,"price_electricity_residential_usd_kwh")=0,"",SUMIFS(Data!$G:$G,Data!$A:$A,$A40,Data!$F:$F,"price_electricity_residential_usd_kwh"))</f>
        <v/>
      </c>
      <c r="L40" s="28">
        <f>IF(COUNTIFS(Data!$A:$A,$A40,Data!$F:$F,"price_coal_power_usd_gj")=0,"",SUMIFS(Data!$G:$G,Data!$A:$A,$A40,Data!$F:$F,"price_coal_power_usd_gj"))</f>
        <v/>
      </c>
      <c r="M40" s="28">
        <f>IF(COUNTIFS(Data!$A:$A,$A40,Data!$F:$F,"price_gas_power_usd_gj")=0,"",SUMIFS(Data!$G:$G,Data!$A:$A,$A40,Data!$F:$F,"price_gas_power_usd_gj"))</f>
        <v/>
      </c>
      <c r="N40" s="28">
        <f>IF(COUNTIFS(Data!$A:$A,$A40,Data!$F:$F,"price_gas_industry_usd_gj")=0,"",SUMIFS(Data!$G:$G,Data!$A:$A,$A40,Data!$F:$F,"price_gas_industry_usd_gj"))</f>
        <v/>
      </c>
      <c r="O40" s="28">
        <f>IF(COUNTIFS(Data!$A:$A,$A40,Data!$F:$F,"power_market_structure")=0,"",SUMIFS(Data!$G:$G,Data!$A:$A,$A40,Data!$F:$F,"power_market_structure"))</f>
        <v/>
      </c>
      <c r="P40" s="28">
        <f>IF(COUNTIFS(Data!$A:$A,$A40,Data!$F:$F,"rise_renewable_energy_score")=0,"",SUMIFS(Data!$G:$G,Data!$A:$A,$A40,Data!$F:$F,"rise_renewable_energy_score"))</f>
        <v/>
      </c>
      <c r="Q40" s="16">
        <f>H40+I40+J40</f>
        <v/>
      </c>
      <c r="R40" s="28">
        <f>Q40/G40</f>
        <v/>
      </c>
      <c r="S40" s="28">
        <f>IF(D40&gt;0,H40/D40,0.85)</f>
        <v/>
      </c>
      <c r="T40" s="28">
        <f>IF(E40&gt;0,I40/E40,0.4)</f>
        <v/>
      </c>
      <c r="U40" s="28">
        <f>IF(D40+F40&gt;0,(H40+J40)/(D40+F40),0)</f>
        <v/>
      </c>
      <c r="V40" s="16">
        <f>K40*1000</f>
        <v/>
      </c>
      <c r="W40" s="15">
        <f>IF(O40=3,in_pt3,IF(O40=2,in_pt2,IF(O40=1,in_pt1,IF(C40="High income",in_pt_hi,in_pt_oth))))</f>
        <v/>
      </c>
      <c r="X40" s="28">
        <f>IF(Q40&gt;0,in_kappa*(in_rise_lo+(in_rise_hi-in_rise_lo)*IF(P40="",in_rise_miss,P40)/100)*(D40+F40)*MAX(U40-in_gas_rep*T40,0)/Q40,0)</f>
        <v/>
      </c>
      <c r="Y40" s="16">
        <f>IF(IF(M40="",N40,M40)="",MAX(in_sw_floor,in_sw_miss),MAX(in_sw_floor,(IF(M40="",N40,M40)*in_hr_gas-L40*in_hr_coal)/MAX(S40-T40,0.1)))</f>
        <v/>
      </c>
      <c r="Z40" s="28">
        <f>IF(C40="Low income",in_b40_li,IF(C40="Lower middle income",in_b40_lmi,IF(C40="Upper middle income",in_b40_umi,IF(C40="High income",in_b40_hi,0.03))))</f>
        <v/>
      </c>
      <c r="AA40" s="15">
        <f>(D40+F40)/G40</f>
        <v/>
      </c>
      <c r="AB40" s="28">
        <f>100*W40*R40/V40/in_phase</f>
        <v/>
      </c>
      <c r="AC40" s="29">
        <f>100*Z40*W40*R40/V40*(1-IF(W40&gt;0,MIN(in_rebate/(W40*in_res_sh*in_q40),1),1))</f>
        <v/>
      </c>
      <c r="AD40" s="28">
        <f>IF(AA40&gt;0,100*U40*(1-W40)/(in_whole_sh*V40),0)</f>
        <v/>
      </c>
      <c r="AE40" s="28">
        <f>IF(AA40&gt;0,100*MAX(U40-R40,0)/(in_whole_sh*V40),0)</f>
        <v/>
      </c>
      <c r="AF40" s="16">
        <f>IF(AB40&gt;0,in_f1/AB40,in_cap)</f>
        <v/>
      </c>
      <c r="AG40" s="16">
        <f>IF(AC40&gt;0,in_f2/AC40,in_cap)</f>
        <v/>
      </c>
      <c r="AH40" s="16">
        <f>IF(AD40&gt;0,in_f3/AD40,in_cap)</f>
        <v/>
      </c>
      <c r="AI40" s="16">
        <f>MIN(in_cap,AF40,AG40,AH40)</f>
        <v/>
      </c>
      <c r="AJ40" s="30">
        <f>100*(1-(1-X40*(1-EXP(-((AI40)+(0))/Y40)))*(1-MIN(ABS(in_elas)*W40*R40*(AI40)/V40,1)))</f>
        <v/>
      </c>
      <c r="AK40" s="17">
        <f>IF(AI40&gt;=in_cap-1E-9,"rate cap",TRIM(IF(ABS(AI40-AF40)&lt;1E-9,"F1 ","")&amp;IF(ABS(AI40-AG40)&lt;1E-9,"F2 ","")&amp;IF(ABS(AI40-AH40)&lt;1E-9,"F3","")))</f>
        <v/>
      </c>
      <c r="AL40" s="15">
        <f>100*(1-(1-X40*(1-EXP(-((MIN(in_cap,IF(AB40&gt;0,(in_f1+1)/AB40,in_cap),AG40,AH40))+(0))/Y40)))*(1-MIN(ABS(in_elas)*W40*R40*(MIN(in_cap,IF(AB40&gt;0,(in_f1+1)/AB40,in_cap),AG40,AH40))/V40,1)))-AJ40</f>
        <v/>
      </c>
      <c r="AM40" s="16">
        <f>MIN(in_cap,IF(AE40&gt;0,in_f3/AE40,in_cap))</f>
        <v/>
      </c>
      <c r="AN40" s="30">
        <f>100*(1-(1-X40*(1-EXP(-((0)+(AM40))/Y40)))*(1-MIN(ABS(in_elas)*W40*R40*(0)/V40,1)))</f>
        <v/>
      </c>
      <c r="AO40" s="17">
        <f>IF(AM40&gt;=in_cap-1E-9,"rate cap","F3")</f>
        <v/>
      </c>
      <c r="AP40" s="15">
        <f>100*(1-(1-X40*(1-EXP(-((50)+(0))/Y40)))*(1-MIN(ABS(in_elas)*W40*R40*(50)/V40,1)))</f>
        <v/>
      </c>
      <c r="AQ40" s="15">
        <f>100*(1-(1-X40*(1-EXP(-((0)+(50))/Y40)))*(1-MIN(ABS(in_elas)*W40*R40*(0)/V40,1)))</f>
        <v/>
      </c>
      <c r="AR40" s="15">
        <f>IF(AP40&gt;0,AQ40/AP40,"")</f>
        <v/>
      </c>
      <c r="AS40" s="16">
        <f>50*AB40</f>
        <v/>
      </c>
      <c r="AT40" s="30">
        <f>MAX(BM40:BW40)</f>
        <v/>
      </c>
      <c r="AU40" s="31">
        <f>AI40*(MATCH(AT40,BM40:BW40,0)-1)/10</f>
        <v/>
      </c>
      <c r="AV40" s="31">
        <f>INDEX(BB40:BL40,1,(MATCH(AT40,BM40:BW40,0)-1)+1)</f>
        <v/>
      </c>
      <c r="AW40" s="31">
        <f>AB40*AU40</f>
        <v/>
      </c>
      <c r="AX40" s="30">
        <f>AC40*AU40</f>
        <v/>
      </c>
      <c r="AY40" s="31">
        <f>AD40*AU40+AE40*AV40</f>
        <v/>
      </c>
      <c r="AZ40" s="32">
        <f>TRIM(IF(AND(AU40&gt;0,ABS(AU40-AF40)&lt;1E-6),"F1 ","")&amp;IF(AND(AU40&gt;0,ABS(AU40-AG40)&lt;1E-6),"F2 ","")&amp;IF(AY40&gt;=in_f3-1E-6,"F3 ","")&amp;IF(AV40&gt;=in_cap-1E-9,"rate cap",""))</f>
        <v/>
      </c>
      <c r="BA40" s="31">
        <f>Q40*AT40/100</f>
        <v/>
      </c>
      <c r="BB40" s="16">
        <f>MAX(0,MIN(in_cap,IF(AE40&gt;0,(in_f3-AD40*AI40*0/10)/AE40,in_cap)))</f>
        <v/>
      </c>
      <c r="BC40" s="16">
        <f>MAX(0,MIN(in_cap,IF(AE40&gt;0,(in_f3-AD40*AI40*1/10)/AE40,in_cap)))</f>
        <v/>
      </c>
      <c r="BD40" s="16">
        <f>MAX(0,MIN(in_cap,IF(AE40&gt;0,(in_f3-AD40*AI40*2/10)/AE40,in_cap)))</f>
        <v/>
      </c>
      <c r="BE40" s="16">
        <f>MAX(0,MIN(in_cap,IF(AE40&gt;0,(in_f3-AD40*AI40*3/10)/AE40,in_cap)))</f>
        <v/>
      </c>
      <c r="BF40" s="16">
        <f>MAX(0,MIN(in_cap,IF(AE40&gt;0,(in_f3-AD40*AI40*4/10)/AE40,in_cap)))</f>
        <v/>
      </c>
      <c r="BG40" s="16">
        <f>MAX(0,MIN(in_cap,IF(AE40&gt;0,(in_f3-AD40*AI40*5/10)/AE40,in_cap)))</f>
        <v/>
      </c>
      <c r="BH40" s="16">
        <f>MAX(0,MIN(in_cap,IF(AE40&gt;0,(in_f3-AD40*AI40*6/10)/AE40,in_cap)))</f>
        <v/>
      </c>
      <c r="BI40" s="16">
        <f>MAX(0,MIN(in_cap,IF(AE40&gt;0,(in_f3-AD40*AI40*7/10)/AE40,in_cap)))</f>
        <v/>
      </c>
      <c r="BJ40" s="16">
        <f>MAX(0,MIN(in_cap,IF(AE40&gt;0,(in_f3-AD40*AI40*8/10)/AE40,in_cap)))</f>
        <v/>
      </c>
      <c r="BK40" s="16">
        <f>MAX(0,MIN(in_cap,IF(AE40&gt;0,(in_f3-AD40*AI40*9/10)/AE40,in_cap)))</f>
        <v/>
      </c>
      <c r="BL40" s="16">
        <f>MAX(0,MIN(in_cap,IF(AE40&gt;0,(in_f3-AD40*AI40*10/10)/AE40,in_cap)))</f>
        <v/>
      </c>
      <c r="BM40" s="15">
        <f>100*(1-(1-X40*(1-EXP(-((AI40*0/10)+(BB40))/Y40)))*(1-MIN(ABS(in_elas)*W40*R40*(AI40*0/10)/V40,1)))</f>
        <v/>
      </c>
      <c r="BN40" s="15">
        <f>100*(1-(1-X40*(1-EXP(-((AI40*1/10)+(BC40))/Y40)))*(1-MIN(ABS(in_elas)*W40*R40*(AI40*1/10)/V40,1)))</f>
        <v/>
      </c>
      <c r="BO40" s="15">
        <f>100*(1-(1-X40*(1-EXP(-((AI40*2/10)+(BD40))/Y40)))*(1-MIN(ABS(in_elas)*W40*R40*(AI40*2/10)/V40,1)))</f>
        <v/>
      </c>
      <c r="BP40" s="15">
        <f>100*(1-(1-X40*(1-EXP(-((AI40*3/10)+(BE40))/Y40)))*(1-MIN(ABS(in_elas)*W40*R40*(AI40*3/10)/V40,1)))</f>
        <v/>
      </c>
      <c r="BQ40" s="15">
        <f>100*(1-(1-X40*(1-EXP(-((AI40*4/10)+(BF40))/Y40)))*(1-MIN(ABS(in_elas)*W40*R40*(AI40*4/10)/V40,1)))</f>
        <v/>
      </c>
      <c r="BR40" s="15">
        <f>100*(1-(1-X40*(1-EXP(-((AI40*5/10)+(BG40))/Y40)))*(1-MIN(ABS(in_elas)*W40*R40*(AI40*5/10)/V40,1)))</f>
        <v/>
      </c>
      <c r="BS40" s="15">
        <f>100*(1-(1-X40*(1-EXP(-((AI40*6/10)+(BH40))/Y40)))*(1-MIN(ABS(in_elas)*W40*R40*(AI40*6/10)/V40,1)))</f>
        <v/>
      </c>
      <c r="BT40" s="15">
        <f>100*(1-(1-X40*(1-EXP(-((AI40*7/10)+(BI40))/Y40)))*(1-MIN(ABS(in_elas)*W40*R40*(AI40*7/10)/V40,1)))</f>
        <v/>
      </c>
      <c r="BU40" s="15">
        <f>100*(1-(1-X40*(1-EXP(-((AI40*8/10)+(BJ40))/Y40)))*(1-MIN(ABS(in_elas)*W40*R40*(AI40*8/10)/V40,1)))</f>
        <v/>
      </c>
      <c r="BV40" s="15">
        <f>100*(1-(1-X40*(1-EXP(-((AI40*9/10)+(BK40))/Y40)))*(1-MIN(ABS(in_elas)*W40*R40*(AI40*9/10)/V40,1)))</f>
        <v/>
      </c>
      <c r="BW40" s="15">
        <f>100*(1-(1-X40*(1-EXP(-((AI40*10/10)+(BL40))/Y40)))*(1-MIN(ABS(in_elas)*W40*R40*(AI40*10/10)/V40,1)))</f>
        <v/>
      </c>
    </row>
    <row r="41">
      <c r="A41" s="17" t="inlineStr">
        <is>
          <t>CYP</t>
        </is>
      </c>
      <c r="B41" s="17">
        <f>INDEX(Data!$B:$B,MATCH($A41,Data!$A:$A,0))</f>
        <v/>
      </c>
      <c r="C41" s="17">
        <f>INDEX(Data!$D:$D,MATCH($A41,Data!$A:$A,0))</f>
        <v/>
      </c>
      <c r="D41" s="16">
        <f>SUMIFS(Data!$G:$G,Data!$A:$A,$A41,Data!$F:$F,"gen_coal_twh")</f>
        <v/>
      </c>
      <c r="E41" s="16">
        <f>SUMIFS(Data!$G:$G,Data!$A:$A,$A41,Data!$F:$F,"gen_gas_twh")</f>
        <v/>
      </c>
      <c r="F41" s="16">
        <f>SUMIFS(Data!$G:$G,Data!$A:$A,$A41,Data!$F:$F,"gen_oil_twh")</f>
        <v/>
      </c>
      <c r="G41" s="16">
        <f>SUMIFS(Data!$G:$G,Data!$A:$A,$A41,Data!$F:$F,"gen_total_twh")</f>
        <v/>
      </c>
      <c r="H41" s="16">
        <f>SUMIFS(Data!$G:$G,Data!$A:$A,$A41,Data!$F:$F,"em_coal_mt")</f>
        <v/>
      </c>
      <c r="I41" s="16">
        <f>SUMIFS(Data!$G:$G,Data!$A:$A,$A41,Data!$F:$F,"em_gas_mt")</f>
        <v/>
      </c>
      <c r="J41" s="16">
        <f>SUMIFS(Data!$G:$G,Data!$A:$A,$A41,Data!$F:$F,"em_oil_mt")</f>
        <v/>
      </c>
      <c r="K41" s="28">
        <f>IF(COUNTIFS(Data!$A:$A,$A41,Data!$F:$F,"price_electricity_residential_usd_kwh")=0,"",SUMIFS(Data!$G:$G,Data!$A:$A,$A41,Data!$F:$F,"price_electricity_residential_usd_kwh"))</f>
        <v/>
      </c>
      <c r="L41" s="28">
        <f>IF(COUNTIFS(Data!$A:$A,$A41,Data!$F:$F,"price_coal_power_usd_gj")=0,"",SUMIFS(Data!$G:$G,Data!$A:$A,$A41,Data!$F:$F,"price_coal_power_usd_gj"))</f>
        <v/>
      </c>
      <c r="M41" s="28">
        <f>IF(COUNTIFS(Data!$A:$A,$A41,Data!$F:$F,"price_gas_power_usd_gj")=0,"",SUMIFS(Data!$G:$G,Data!$A:$A,$A41,Data!$F:$F,"price_gas_power_usd_gj"))</f>
        <v/>
      </c>
      <c r="N41" s="28">
        <f>IF(COUNTIFS(Data!$A:$A,$A41,Data!$F:$F,"price_gas_industry_usd_gj")=0,"",SUMIFS(Data!$G:$G,Data!$A:$A,$A41,Data!$F:$F,"price_gas_industry_usd_gj"))</f>
        <v/>
      </c>
      <c r="O41" s="28">
        <f>IF(COUNTIFS(Data!$A:$A,$A41,Data!$F:$F,"power_market_structure")=0,"",SUMIFS(Data!$G:$G,Data!$A:$A,$A41,Data!$F:$F,"power_market_structure"))</f>
        <v/>
      </c>
      <c r="P41" s="28">
        <f>IF(COUNTIFS(Data!$A:$A,$A41,Data!$F:$F,"rise_renewable_energy_score")=0,"",SUMIFS(Data!$G:$G,Data!$A:$A,$A41,Data!$F:$F,"rise_renewable_energy_score"))</f>
        <v/>
      </c>
      <c r="Q41" s="16">
        <f>H41+I41+J41</f>
        <v/>
      </c>
      <c r="R41" s="28">
        <f>Q41/G41</f>
        <v/>
      </c>
      <c r="S41" s="28">
        <f>IF(D41&gt;0,H41/D41,0.85)</f>
        <v/>
      </c>
      <c r="T41" s="28">
        <f>IF(E41&gt;0,I41/E41,0.4)</f>
        <v/>
      </c>
      <c r="U41" s="28">
        <f>IF(D41+F41&gt;0,(H41+J41)/(D41+F41),0)</f>
        <v/>
      </c>
      <c r="V41" s="16">
        <f>K41*1000</f>
        <v/>
      </c>
      <c r="W41" s="15">
        <f>IF(O41=3,in_pt3,IF(O41=2,in_pt2,IF(O41=1,in_pt1,IF(C41="High income",in_pt_hi,in_pt_oth))))</f>
        <v/>
      </c>
      <c r="X41" s="28">
        <f>IF(Q41&gt;0,in_kappa*(in_rise_lo+(in_rise_hi-in_rise_lo)*IF(P41="",in_rise_miss,P41)/100)*(D41+F41)*MAX(U41-in_gas_rep*T41,0)/Q41,0)</f>
        <v/>
      </c>
      <c r="Y41" s="16">
        <f>IF(IF(M41="",N41,M41)="",MAX(in_sw_floor,in_sw_miss),MAX(in_sw_floor,(IF(M41="",N41,M41)*in_hr_gas-L41*in_hr_coal)/MAX(S41-T41,0.1)))</f>
        <v/>
      </c>
      <c r="Z41" s="28">
        <f>IF(C41="Low income",in_b40_li,IF(C41="Lower middle income",in_b40_lmi,IF(C41="Upper middle income",in_b40_umi,IF(C41="High income",in_b40_hi,0.03))))</f>
        <v/>
      </c>
      <c r="AA41" s="15">
        <f>(D41+F41)/G41</f>
        <v/>
      </c>
      <c r="AB41" s="28">
        <f>100*W41*R41/V41/in_phase</f>
        <v/>
      </c>
      <c r="AC41" s="29">
        <f>100*Z41*W41*R41/V41*(1-IF(W41&gt;0,MIN(in_rebate/(W41*in_res_sh*in_q40),1),1))</f>
        <v/>
      </c>
      <c r="AD41" s="28">
        <f>IF(AA41&gt;0,100*U41*(1-W41)/(in_whole_sh*V41),0)</f>
        <v/>
      </c>
      <c r="AE41" s="28">
        <f>IF(AA41&gt;0,100*MAX(U41-R41,0)/(in_whole_sh*V41),0)</f>
        <v/>
      </c>
      <c r="AF41" s="16">
        <f>IF(AB41&gt;0,in_f1/AB41,in_cap)</f>
        <v/>
      </c>
      <c r="AG41" s="16">
        <f>IF(AC41&gt;0,in_f2/AC41,in_cap)</f>
        <v/>
      </c>
      <c r="AH41" s="16">
        <f>IF(AD41&gt;0,in_f3/AD41,in_cap)</f>
        <v/>
      </c>
      <c r="AI41" s="16">
        <f>MIN(in_cap,AF41,AG41,AH41)</f>
        <v/>
      </c>
      <c r="AJ41" s="30">
        <f>100*(1-(1-X41*(1-EXP(-((AI41)+(0))/Y41)))*(1-MIN(ABS(in_elas)*W41*R41*(AI41)/V41,1)))</f>
        <v/>
      </c>
      <c r="AK41" s="17">
        <f>IF(AI41&gt;=in_cap-1E-9,"rate cap",TRIM(IF(ABS(AI41-AF41)&lt;1E-9,"F1 ","")&amp;IF(ABS(AI41-AG41)&lt;1E-9,"F2 ","")&amp;IF(ABS(AI41-AH41)&lt;1E-9,"F3","")))</f>
        <v/>
      </c>
      <c r="AL41" s="15">
        <f>100*(1-(1-X41*(1-EXP(-((MIN(in_cap,IF(AB41&gt;0,(in_f1+1)/AB41,in_cap),AG41,AH41))+(0))/Y41)))*(1-MIN(ABS(in_elas)*W41*R41*(MIN(in_cap,IF(AB41&gt;0,(in_f1+1)/AB41,in_cap),AG41,AH41))/V41,1)))-AJ41</f>
        <v/>
      </c>
      <c r="AM41" s="16">
        <f>MIN(in_cap,IF(AE41&gt;0,in_f3/AE41,in_cap))</f>
        <v/>
      </c>
      <c r="AN41" s="30">
        <f>100*(1-(1-X41*(1-EXP(-((0)+(AM41))/Y41)))*(1-MIN(ABS(in_elas)*W41*R41*(0)/V41,1)))</f>
        <v/>
      </c>
      <c r="AO41" s="17">
        <f>IF(AM41&gt;=in_cap-1E-9,"rate cap","F3")</f>
        <v/>
      </c>
      <c r="AP41" s="15">
        <f>100*(1-(1-X41*(1-EXP(-((50)+(0))/Y41)))*(1-MIN(ABS(in_elas)*W41*R41*(50)/V41,1)))</f>
        <v/>
      </c>
      <c r="AQ41" s="15">
        <f>100*(1-(1-X41*(1-EXP(-((0)+(50))/Y41)))*(1-MIN(ABS(in_elas)*W41*R41*(0)/V41,1)))</f>
        <v/>
      </c>
      <c r="AR41" s="15">
        <f>IF(AP41&gt;0,AQ41/AP41,"")</f>
        <v/>
      </c>
      <c r="AS41" s="16">
        <f>50*AB41</f>
        <v/>
      </c>
      <c r="AT41" s="30">
        <f>MAX(BM41:BW41)</f>
        <v/>
      </c>
      <c r="AU41" s="31">
        <f>AI41*(MATCH(AT41,BM41:BW41,0)-1)/10</f>
        <v/>
      </c>
      <c r="AV41" s="31">
        <f>INDEX(BB41:BL41,1,(MATCH(AT41,BM41:BW41,0)-1)+1)</f>
        <v/>
      </c>
      <c r="AW41" s="31">
        <f>AB41*AU41</f>
        <v/>
      </c>
      <c r="AX41" s="30">
        <f>AC41*AU41</f>
        <v/>
      </c>
      <c r="AY41" s="31">
        <f>AD41*AU41+AE41*AV41</f>
        <v/>
      </c>
      <c r="AZ41" s="32">
        <f>TRIM(IF(AND(AU41&gt;0,ABS(AU41-AF41)&lt;1E-6),"F1 ","")&amp;IF(AND(AU41&gt;0,ABS(AU41-AG41)&lt;1E-6),"F2 ","")&amp;IF(AY41&gt;=in_f3-1E-6,"F3 ","")&amp;IF(AV41&gt;=in_cap-1E-9,"rate cap",""))</f>
        <v/>
      </c>
      <c r="BA41" s="31">
        <f>Q41*AT41/100</f>
        <v/>
      </c>
      <c r="BB41" s="16">
        <f>MAX(0,MIN(in_cap,IF(AE41&gt;0,(in_f3-AD41*AI41*0/10)/AE41,in_cap)))</f>
        <v/>
      </c>
      <c r="BC41" s="16">
        <f>MAX(0,MIN(in_cap,IF(AE41&gt;0,(in_f3-AD41*AI41*1/10)/AE41,in_cap)))</f>
        <v/>
      </c>
      <c r="BD41" s="16">
        <f>MAX(0,MIN(in_cap,IF(AE41&gt;0,(in_f3-AD41*AI41*2/10)/AE41,in_cap)))</f>
        <v/>
      </c>
      <c r="BE41" s="16">
        <f>MAX(0,MIN(in_cap,IF(AE41&gt;0,(in_f3-AD41*AI41*3/10)/AE41,in_cap)))</f>
        <v/>
      </c>
      <c r="BF41" s="16">
        <f>MAX(0,MIN(in_cap,IF(AE41&gt;0,(in_f3-AD41*AI41*4/10)/AE41,in_cap)))</f>
        <v/>
      </c>
      <c r="BG41" s="16">
        <f>MAX(0,MIN(in_cap,IF(AE41&gt;0,(in_f3-AD41*AI41*5/10)/AE41,in_cap)))</f>
        <v/>
      </c>
      <c r="BH41" s="16">
        <f>MAX(0,MIN(in_cap,IF(AE41&gt;0,(in_f3-AD41*AI41*6/10)/AE41,in_cap)))</f>
        <v/>
      </c>
      <c r="BI41" s="16">
        <f>MAX(0,MIN(in_cap,IF(AE41&gt;0,(in_f3-AD41*AI41*7/10)/AE41,in_cap)))</f>
        <v/>
      </c>
      <c r="BJ41" s="16">
        <f>MAX(0,MIN(in_cap,IF(AE41&gt;0,(in_f3-AD41*AI41*8/10)/AE41,in_cap)))</f>
        <v/>
      </c>
      <c r="BK41" s="16">
        <f>MAX(0,MIN(in_cap,IF(AE41&gt;0,(in_f3-AD41*AI41*9/10)/AE41,in_cap)))</f>
        <v/>
      </c>
      <c r="BL41" s="16">
        <f>MAX(0,MIN(in_cap,IF(AE41&gt;0,(in_f3-AD41*AI41*10/10)/AE41,in_cap)))</f>
        <v/>
      </c>
      <c r="BM41" s="15">
        <f>100*(1-(1-X41*(1-EXP(-((AI41*0/10)+(BB41))/Y41)))*(1-MIN(ABS(in_elas)*W41*R41*(AI41*0/10)/V41,1)))</f>
        <v/>
      </c>
      <c r="BN41" s="15">
        <f>100*(1-(1-X41*(1-EXP(-((AI41*1/10)+(BC41))/Y41)))*(1-MIN(ABS(in_elas)*W41*R41*(AI41*1/10)/V41,1)))</f>
        <v/>
      </c>
      <c r="BO41" s="15">
        <f>100*(1-(1-X41*(1-EXP(-((AI41*2/10)+(BD41))/Y41)))*(1-MIN(ABS(in_elas)*W41*R41*(AI41*2/10)/V41,1)))</f>
        <v/>
      </c>
      <c r="BP41" s="15">
        <f>100*(1-(1-X41*(1-EXP(-((AI41*3/10)+(BE41))/Y41)))*(1-MIN(ABS(in_elas)*W41*R41*(AI41*3/10)/V41,1)))</f>
        <v/>
      </c>
      <c r="BQ41" s="15">
        <f>100*(1-(1-X41*(1-EXP(-((AI41*4/10)+(BF41))/Y41)))*(1-MIN(ABS(in_elas)*W41*R41*(AI41*4/10)/V41,1)))</f>
        <v/>
      </c>
      <c r="BR41" s="15">
        <f>100*(1-(1-X41*(1-EXP(-((AI41*5/10)+(BG41))/Y41)))*(1-MIN(ABS(in_elas)*W41*R41*(AI41*5/10)/V41,1)))</f>
        <v/>
      </c>
      <c r="BS41" s="15">
        <f>100*(1-(1-X41*(1-EXP(-((AI41*6/10)+(BH41))/Y41)))*(1-MIN(ABS(in_elas)*W41*R41*(AI41*6/10)/V41,1)))</f>
        <v/>
      </c>
      <c r="BT41" s="15">
        <f>100*(1-(1-X41*(1-EXP(-((AI41*7/10)+(BI41))/Y41)))*(1-MIN(ABS(in_elas)*W41*R41*(AI41*7/10)/V41,1)))</f>
        <v/>
      </c>
      <c r="BU41" s="15">
        <f>100*(1-(1-X41*(1-EXP(-((AI41*8/10)+(BJ41))/Y41)))*(1-MIN(ABS(in_elas)*W41*R41*(AI41*8/10)/V41,1)))</f>
        <v/>
      </c>
      <c r="BV41" s="15">
        <f>100*(1-(1-X41*(1-EXP(-((AI41*9/10)+(BK41))/Y41)))*(1-MIN(ABS(in_elas)*W41*R41*(AI41*9/10)/V41,1)))</f>
        <v/>
      </c>
      <c r="BW41" s="15">
        <f>100*(1-(1-X41*(1-EXP(-((AI41*10/10)+(BL41))/Y41)))*(1-MIN(ABS(in_elas)*W41*R41*(AI41*10/10)/V41,1)))</f>
        <v/>
      </c>
    </row>
    <row r="42">
      <c r="A42" s="17" t="inlineStr">
        <is>
          <t>CZE</t>
        </is>
      </c>
      <c r="B42" s="17">
        <f>INDEX(Data!$B:$B,MATCH($A42,Data!$A:$A,0))</f>
        <v/>
      </c>
      <c r="C42" s="17">
        <f>INDEX(Data!$D:$D,MATCH($A42,Data!$A:$A,0))</f>
        <v/>
      </c>
      <c r="D42" s="16">
        <f>SUMIFS(Data!$G:$G,Data!$A:$A,$A42,Data!$F:$F,"gen_coal_twh")</f>
        <v/>
      </c>
      <c r="E42" s="16">
        <f>SUMIFS(Data!$G:$G,Data!$A:$A,$A42,Data!$F:$F,"gen_gas_twh")</f>
        <v/>
      </c>
      <c r="F42" s="16">
        <f>SUMIFS(Data!$G:$G,Data!$A:$A,$A42,Data!$F:$F,"gen_oil_twh")</f>
        <v/>
      </c>
      <c r="G42" s="16">
        <f>SUMIFS(Data!$G:$G,Data!$A:$A,$A42,Data!$F:$F,"gen_total_twh")</f>
        <v/>
      </c>
      <c r="H42" s="16">
        <f>SUMIFS(Data!$G:$G,Data!$A:$A,$A42,Data!$F:$F,"em_coal_mt")</f>
        <v/>
      </c>
      <c r="I42" s="16">
        <f>SUMIFS(Data!$G:$G,Data!$A:$A,$A42,Data!$F:$F,"em_gas_mt")</f>
        <v/>
      </c>
      <c r="J42" s="16">
        <f>SUMIFS(Data!$G:$G,Data!$A:$A,$A42,Data!$F:$F,"em_oil_mt")</f>
        <v/>
      </c>
      <c r="K42" s="28">
        <f>IF(COUNTIFS(Data!$A:$A,$A42,Data!$F:$F,"price_electricity_residential_usd_kwh")=0,"",SUMIFS(Data!$G:$G,Data!$A:$A,$A42,Data!$F:$F,"price_electricity_residential_usd_kwh"))</f>
        <v/>
      </c>
      <c r="L42" s="28">
        <f>IF(COUNTIFS(Data!$A:$A,$A42,Data!$F:$F,"price_coal_power_usd_gj")=0,"",SUMIFS(Data!$G:$G,Data!$A:$A,$A42,Data!$F:$F,"price_coal_power_usd_gj"))</f>
        <v/>
      </c>
      <c r="M42" s="28">
        <f>IF(COUNTIFS(Data!$A:$A,$A42,Data!$F:$F,"price_gas_power_usd_gj")=0,"",SUMIFS(Data!$G:$G,Data!$A:$A,$A42,Data!$F:$F,"price_gas_power_usd_gj"))</f>
        <v/>
      </c>
      <c r="N42" s="28">
        <f>IF(COUNTIFS(Data!$A:$A,$A42,Data!$F:$F,"price_gas_industry_usd_gj")=0,"",SUMIFS(Data!$G:$G,Data!$A:$A,$A42,Data!$F:$F,"price_gas_industry_usd_gj"))</f>
        <v/>
      </c>
      <c r="O42" s="28">
        <f>IF(COUNTIFS(Data!$A:$A,$A42,Data!$F:$F,"power_market_structure")=0,"",SUMIFS(Data!$G:$G,Data!$A:$A,$A42,Data!$F:$F,"power_market_structure"))</f>
        <v/>
      </c>
      <c r="P42" s="28">
        <f>IF(COUNTIFS(Data!$A:$A,$A42,Data!$F:$F,"rise_renewable_energy_score")=0,"",SUMIFS(Data!$G:$G,Data!$A:$A,$A42,Data!$F:$F,"rise_renewable_energy_score"))</f>
        <v/>
      </c>
      <c r="Q42" s="16">
        <f>H42+I42+J42</f>
        <v/>
      </c>
      <c r="R42" s="28">
        <f>Q42/G42</f>
        <v/>
      </c>
      <c r="S42" s="28">
        <f>IF(D42&gt;0,H42/D42,0.85)</f>
        <v/>
      </c>
      <c r="T42" s="28">
        <f>IF(E42&gt;0,I42/E42,0.4)</f>
        <v/>
      </c>
      <c r="U42" s="28">
        <f>IF(D42+F42&gt;0,(H42+J42)/(D42+F42),0)</f>
        <v/>
      </c>
      <c r="V42" s="16">
        <f>K42*1000</f>
        <v/>
      </c>
      <c r="W42" s="15">
        <f>IF(O42=3,in_pt3,IF(O42=2,in_pt2,IF(O42=1,in_pt1,IF(C42="High income",in_pt_hi,in_pt_oth))))</f>
        <v/>
      </c>
      <c r="X42" s="28">
        <f>IF(Q42&gt;0,in_kappa*(in_rise_lo+(in_rise_hi-in_rise_lo)*IF(P42="",in_rise_miss,P42)/100)*(D42+F42)*MAX(U42-in_gas_rep*T42,0)/Q42,0)</f>
        <v/>
      </c>
      <c r="Y42" s="16">
        <f>IF(IF(M42="",N42,M42)="",MAX(in_sw_floor,in_sw_miss),MAX(in_sw_floor,(IF(M42="",N42,M42)*in_hr_gas-L42*in_hr_coal)/MAX(S42-T42,0.1)))</f>
        <v/>
      </c>
      <c r="Z42" s="28">
        <f>IF(C42="Low income",in_b40_li,IF(C42="Lower middle income",in_b40_lmi,IF(C42="Upper middle income",in_b40_umi,IF(C42="High income",in_b40_hi,0.03))))</f>
        <v/>
      </c>
      <c r="AA42" s="15">
        <f>(D42+F42)/G42</f>
        <v/>
      </c>
      <c r="AB42" s="28">
        <f>100*W42*R42/V42/in_phase</f>
        <v/>
      </c>
      <c r="AC42" s="29">
        <f>100*Z42*W42*R42/V42*(1-IF(W42&gt;0,MIN(in_rebate/(W42*in_res_sh*in_q40),1),1))</f>
        <v/>
      </c>
      <c r="AD42" s="28">
        <f>IF(AA42&gt;0,100*U42*(1-W42)/(in_whole_sh*V42),0)</f>
        <v/>
      </c>
      <c r="AE42" s="28">
        <f>IF(AA42&gt;0,100*MAX(U42-R42,0)/(in_whole_sh*V42),0)</f>
        <v/>
      </c>
      <c r="AF42" s="16">
        <f>IF(AB42&gt;0,in_f1/AB42,in_cap)</f>
        <v/>
      </c>
      <c r="AG42" s="16">
        <f>IF(AC42&gt;0,in_f2/AC42,in_cap)</f>
        <v/>
      </c>
      <c r="AH42" s="16">
        <f>IF(AD42&gt;0,in_f3/AD42,in_cap)</f>
        <v/>
      </c>
      <c r="AI42" s="16">
        <f>MIN(in_cap,AF42,AG42,AH42)</f>
        <v/>
      </c>
      <c r="AJ42" s="30">
        <f>100*(1-(1-X42*(1-EXP(-((AI42)+(0))/Y42)))*(1-MIN(ABS(in_elas)*W42*R42*(AI42)/V42,1)))</f>
        <v/>
      </c>
      <c r="AK42" s="17">
        <f>IF(AI42&gt;=in_cap-1E-9,"rate cap",TRIM(IF(ABS(AI42-AF42)&lt;1E-9,"F1 ","")&amp;IF(ABS(AI42-AG42)&lt;1E-9,"F2 ","")&amp;IF(ABS(AI42-AH42)&lt;1E-9,"F3","")))</f>
        <v/>
      </c>
      <c r="AL42" s="15">
        <f>100*(1-(1-X42*(1-EXP(-((MIN(in_cap,IF(AB42&gt;0,(in_f1+1)/AB42,in_cap),AG42,AH42))+(0))/Y42)))*(1-MIN(ABS(in_elas)*W42*R42*(MIN(in_cap,IF(AB42&gt;0,(in_f1+1)/AB42,in_cap),AG42,AH42))/V42,1)))-AJ42</f>
        <v/>
      </c>
      <c r="AM42" s="16">
        <f>MIN(in_cap,IF(AE42&gt;0,in_f3/AE42,in_cap))</f>
        <v/>
      </c>
      <c r="AN42" s="30">
        <f>100*(1-(1-X42*(1-EXP(-((0)+(AM42))/Y42)))*(1-MIN(ABS(in_elas)*W42*R42*(0)/V42,1)))</f>
        <v/>
      </c>
      <c r="AO42" s="17">
        <f>IF(AM42&gt;=in_cap-1E-9,"rate cap","F3")</f>
        <v/>
      </c>
      <c r="AP42" s="15">
        <f>100*(1-(1-X42*(1-EXP(-((50)+(0))/Y42)))*(1-MIN(ABS(in_elas)*W42*R42*(50)/V42,1)))</f>
        <v/>
      </c>
      <c r="AQ42" s="15">
        <f>100*(1-(1-X42*(1-EXP(-((0)+(50))/Y42)))*(1-MIN(ABS(in_elas)*W42*R42*(0)/V42,1)))</f>
        <v/>
      </c>
      <c r="AR42" s="15">
        <f>IF(AP42&gt;0,AQ42/AP42,"")</f>
        <v/>
      </c>
      <c r="AS42" s="16">
        <f>50*AB42</f>
        <v/>
      </c>
      <c r="AT42" s="30">
        <f>MAX(BM42:BW42)</f>
        <v/>
      </c>
      <c r="AU42" s="31">
        <f>AI42*(MATCH(AT42,BM42:BW42,0)-1)/10</f>
        <v/>
      </c>
      <c r="AV42" s="31">
        <f>INDEX(BB42:BL42,1,(MATCH(AT42,BM42:BW42,0)-1)+1)</f>
        <v/>
      </c>
      <c r="AW42" s="31">
        <f>AB42*AU42</f>
        <v/>
      </c>
      <c r="AX42" s="30">
        <f>AC42*AU42</f>
        <v/>
      </c>
      <c r="AY42" s="31">
        <f>AD42*AU42+AE42*AV42</f>
        <v/>
      </c>
      <c r="AZ42" s="32">
        <f>TRIM(IF(AND(AU42&gt;0,ABS(AU42-AF42)&lt;1E-6),"F1 ","")&amp;IF(AND(AU42&gt;0,ABS(AU42-AG42)&lt;1E-6),"F2 ","")&amp;IF(AY42&gt;=in_f3-1E-6,"F3 ","")&amp;IF(AV42&gt;=in_cap-1E-9,"rate cap",""))</f>
        <v/>
      </c>
      <c r="BA42" s="31">
        <f>Q42*AT42/100</f>
        <v/>
      </c>
      <c r="BB42" s="16">
        <f>MAX(0,MIN(in_cap,IF(AE42&gt;0,(in_f3-AD42*AI42*0/10)/AE42,in_cap)))</f>
        <v/>
      </c>
      <c r="BC42" s="16">
        <f>MAX(0,MIN(in_cap,IF(AE42&gt;0,(in_f3-AD42*AI42*1/10)/AE42,in_cap)))</f>
        <v/>
      </c>
      <c r="BD42" s="16">
        <f>MAX(0,MIN(in_cap,IF(AE42&gt;0,(in_f3-AD42*AI42*2/10)/AE42,in_cap)))</f>
        <v/>
      </c>
      <c r="BE42" s="16">
        <f>MAX(0,MIN(in_cap,IF(AE42&gt;0,(in_f3-AD42*AI42*3/10)/AE42,in_cap)))</f>
        <v/>
      </c>
      <c r="BF42" s="16">
        <f>MAX(0,MIN(in_cap,IF(AE42&gt;0,(in_f3-AD42*AI42*4/10)/AE42,in_cap)))</f>
        <v/>
      </c>
      <c r="BG42" s="16">
        <f>MAX(0,MIN(in_cap,IF(AE42&gt;0,(in_f3-AD42*AI42*5/10)/AE42,in_cap)))</f>
        <v/>
      </c>
      <c r="BH42" s="16">
        <f>MAX(0,MIN(in_cap,IF(AE42&gt;0,(in_f3-AD42*AI42*6/10)/AE42,in_cap)))</f>
        <v/>
      </c>
      <c r="BI42" s="16">
        <f>MAX(0,MIN(in_cap,IF(AE42&gt;0,(in_f3-AD42*AI42*7/10)/AE42,in_cap)))</f>
        <v/>
      </c>
      <c r="BJ42" s="16">
        <f>MAX(0,MIN(in_cap,IF(AE42&gt;0,(in_f3-AD42*AI42*8/10)/AE42,in_cap)))</f>
        <v/>
      </c>
      <c r="BK42" s="16">
        <f>MAX(0,MIN(in_cap,IF(AE42&gt;0,(in_f3-AD42*AI42*9/10)/AE42,in_cap)))</f>
        <v/>
      </c>
      <c r="BL42" s="16">
        <f>MAX(0,MIN(in_cap,IF(AE42&gt;0,(in_f3-AD42*AI42*10/10)/AE42,in_cap)))</f>
        <v/>
      </c>
      <c r="BM42" s="15">
        <f>100*(1-(1-X42*(1-EXP(-((AI42*0/10)+(BB42))/Y42)))*(1-MIN(ABS(in_elas)*W42*R42*(AI42*0/10)/V42,1)))</f>
        <v/>
      </c>
      <c r="BN42" s="15">
        <f>100*(1-(1-X42*(1-EXP(-((AI42*1/10)+(BC42))/Y42)))*(1-MIN(ABS(in_elas)*W42*R42*(AI42*1/10)/V42,1)))</f>
        <v/>
      </c>
      <c r="BO42" s="15">
        <f>100*(1-(1-X42*(1-EXP(-((AI42*2/10)+(BD42))/Y42)))*(1-MIN(ABS(in_elas)*W42*R42*(AI42*2/10)/V42,1)))</f>
        <v/>
      </c>
      <c r="BP42" s="15">
        <f>100*(1-(1-X42*(1-EXP(-((AI42*3/10)+(BE42))/Y42)))*(1-MIN(ABS(in_elas)*W42*R42*(AI42*3/10)/V42,1)))</f>
        <v/>
      </c>
      <c r="BQ42" s="15">
        <f>100*(1-(1-X42*(1-EXP(-((AI42*4/10)+(BF42))/Y42)))*(1-MIN(ABS(in_elas)*W42*R42*(AI42*4/10)/V42,1)))</f>
        <v/>
      </c>
      <c r="BR42" s="15">
        <f>100*(1-(1-X42*(1-EXP(-((AI42*5/10)+(BG42))/Y42)))*(1-MIN(ABS(in_elas)*W42*R42*(AI42*5/10)/V42,1)))</f>
        <v/>
      </c>
      <c r="BS42" s="15">
        <f>100*(1-(1-X42*(1-EXP(-((AI42*6/10)+(BH42))/Y42)))*(1-MIN(ABS(in_elas)*W42*R42*(AI42*6/10)/V42,1)))</f>
        <v/>
      </c>
      <c r="BT42" s="15">
        <f>100*(1-(1-X42*(1-EXP(-((AI42*7/10)+(BI42))/Y42)))*(1-MIN(ABS(in_elas)*W42*R42*(AI42*7/10)/V42,1)))</f>
        <v/>
      </c>
      <c r="BU42" s="15">
        <f>100*(1-(1-X42*(1-EXP(-((AI42*8/10)+(BJ42))/Y42)))*(1-MIN(ABS(in_elas)*W42*R42*(AI42*8/10)/V42,1)))</f>
        <v/>
      </c>
      <c r="BV42" s="15">
        <f>100*(1-(1-X42*(1-EXP(-((AI42*9/10)+(BK42))/Y42)))*(1-MIN(ABS(in_elas)*W42*R42*(AI42*9/10)/V42,1)))</f>
        <v/>
      </c>
      <c r="BW42" s="15">
        <f>100*(1-(1-X42*(1-EXP(-((AI42*10/10)+(BL42))/Y42)))*(1-MIN(ABS(in_elas)*W42*R42*(AI42*10/10)/V42,1)))</f>
        <v/>
      </c>
    </row>
    <row r="43">
      <c r="A43" s="17" t="inlineStr">
        <is>
          <t>DEU</t>
        </is>
      </c>
      <c r="B43" s="17">
        <f>INDEX(Data!$B:$B,MATCH($A43,Data!$A:$A,0))</f>
        <v/>
      </c>
      <c r="C43" s="17">
        <f>INDEX(Data!$D:$D,MATCH($A43,Data!$A:$A,0))</f>
        <v/>
      </c>
      <c r="D43" s="16">
        <f>SUMIFS(Data!$G:$G,Data!$A:$A,$A43,Data!$F:$F,"gen_coal_twh")</f>
        <v/>
      </c>
      <c r="E43" s="16">
        <f>SUMIFS(Data!$G:$G,Data!$A:$A,$A43,Data!$F:$F,"gen_gas_twh")</f>
        <v/>
      </c>
      <c r="F43" s="16">
        <f>SUMIFS(Data!$G:$G,Data!$A:$A,$A43,Data!$F:$F,"gen_oil_twh")</f>
        <v/>
      </c>
      <c r="G43" s="16">
        <f>SUMIFS(Data!$G:$G,Data!$A:$A,$A43,Data!$F:$F,"gen_total_twh")</f>
        <v/>
      </c>
      <c r="H43" s="16">
        <f>SUMIFS(Data!$G:$G,Data!$A:$A,$A43,Data!$F:$F,"em_coal_mt")</f>
        <v/>
      </c>
      <c r="I43" s="16">
        <f>SUMIFS(Data!$G:$G,Data!$A:$A,$A43,Data!$F:$F,"em_gas_mt")</f>
        <v/>
      </c>
      <c r="J43" s="16">
        <f>SUMIFS(Data!$G:$G,Data!$A:$A,$A43,Data!$F:$F,"em_oil_mt")</f>
        <v/>
      </c>
      <c r="K43" s="28">
        <f>IF(COUNTIFS(Data!$A:$A,$A43,Data!$F:$F,"price_electricity_residential_usd_kwh")=0,"",SUMIFS(Data!$G:$G,Data!$A:$A,$A43,Data!$F:$F,"price_electricity_residential_usd_kwh"))</f>
        <v/>
      </c>
      <c r="L43" s="28">
        <f>IF(COUNTIFS(Data!$A:$A,$A43,Data!$F:$F,"price_coal_power_usd_gj")=0,"",SUMIFS(Data!$G:$G,Data!$A:$A,$A43,Data!$F:$F,"price_coal_power_usd_gj"))</f>
        <v/>
      </c>
      <c r="M43" s="28">
        <f>IF(COUNTIFS(Data!$A:$A,$A43,Data!$F:$F,"price_gas_power_usd_gj")=0,"",SUMIFS(Data!$G:$G,Data!$A:$A,$A43,Data!$F:$F,"price_gas_power_usd_gj"))</f>
        <v/>
      </c>
      <c r="N43" s="28">
        <f>IF(COUNTIFS(Data!$A:$A,$A43,Data!$F:$F,"price_gas_industry_usd_gj")=0,"",SUMIFS(Data!$G:$G,Data!$A:$A,$A43,Data!$F:$F,"price_gas_industry_usd_gj"))</f>
        <v/>
      </c>
      <c r="O43" s="28">
        <f>IF(COUNTIFS(Data!$A:$A,$A43,Data!$F:$F,"power_market_structure")=0,"",SUMIFS(Data!$G:$G,Data!$A:$A,$A43,Data!$F:$F,"power_market_structure"))</f>
        <v/>
      </c>
      <c r="P43" s="28">
        <f>IF(COUNTIFS(Data!$A:$A,$A43,Data!$F:$F,"rise_renewable_energy_score")=0,"",SUMIFS(Data!$G:$G,Data!$A:$A,$A43,Data!$F:$F,"rise_renewable_energy_score"))</f>
        <v/>
      </c>
      <c r="Q43" s="16">
        <f>H43+I43+J43</f>
        <v/>
      </c>
      <c r="R43" s="28">
        <f>Q43/G43</f>
        <v/>
      </c>
      <c r="S43" s="28">
        <f>IF(D43&gt;0,H43/D43,0.85)</f>
        <v/>
      </c>
      <c r="T43" s="28">
        <f>IF(E43&gt;0,I43/E43,0.4)</f>
        <v/>
      </c>
      <c r="U43" s="28">
        <f>IF(D43+F43&gt;0,(H43+J43)/(D43+F43),0)</f>
        <v/>
      </c>
      <c r="V43" s="16">
        <f>K43*1000</f>
        <v/>
      </c>
      <c r="W43" s="15">
        <f>IF(O43=3,in_pt3,IF(O43=2,in_pt2,IF(O43=1,in_pt1,IF(C43="High income",in_pt_hi,in_pt_oth))))</f>
        <v/>
      </c>
      <c r="X43" s="28">
        <f>IF(Q43&gt;0,in_kappa*(in_rise_lo+(in_rise_hi-in_rise_lo)*IF(P43="",in_rise_miss,P43)/100)*(D43+F43)*MAX(U43-in_gas_rep*T43,0)/Q43,0)</f>
        <v/>
      </c>
      <c r="Y43" s="16">
        <f>IF(IF(M43="",N43,M43)="",MAX(in_sw_floor,in_sw_miss),MAX(in_sw_floor,(IF(M43="",N43,M43)*in_hr_gas-L43*in_hr_coal)/MAX(S43-T43,0.1)))</f>
        <v/>
      </c>
      <c r="Z43" s="28">
        <f>IF(C43="Low income",in_b40_li,IF(C43="Lower middle income",in_b40_lmi,IF(C43="Upper middle income",in_b40_umi,IF(C43="High income",in_b40_hi,0.03))))</f>
        <v/>
      </c>
      <c r="AA43" s="15">
        <f>(D43+F43)/G43</f>
        <v/>
      </c>
      <c r="AB43" s="28">
        <f>100*W43*R43/V43/in_phase</f>
        <v/>
      </c>
      <c r="AC43" s="29">
        <f>100*Z43*W43*R43/V43*(1-IF(W43&gt;0,MIN(in_rebate/(W43*in_res_sh*in_q40),1),1))</f>
        <v/>
      </c>
      <c r="AD43" s="28">
        <f>IF(AA43&gt;0,100*U43*(1-W43)/(in_whole_sh*V43),0)</f>
        <v/>
      </c>
      <c r="AE43" s="28">
        <f>IF(AA43&gt;0,100*MAX(U43-R43,0)/(in_whole_sh*V43),0)</f>
        <v/>
      </c>
      <c r="AF43" s="16">
        <f>IF(AB43&gt;0,in_f1/AB43,in_cap)</f>
        <v/>
      </c>
      <c r="AG43" s="16">
        <f>IF(AC43&gt;0,in_f2/AC43,in_cap)</f>
        <v/>
      </c>
      <c r="AH43" s="16">
        <f>IF(AD43&gt;0,in_f3/AD43,in_cap)</f>
        <v/>
      </c>
      <c r="AI43" s="16">
        <f>MIN(in_cap,AF43,AG43,AH43)</f>
        <v/>
      </c>
      <c r="AJ43" s="30">
        <f>100*(1-(1-X43*(1-EXP(-((AI43)+(0))/Y43)))*(1-MIN(ABS(in_elas)*W43*R43*(AI43)/V43,1)))</f>
        <v/>
      </c>
      <c r="AK43" s="17">
        <f>IF(AI43&gt;=in_cap-1E-9,"rate cap",TRIM(IF(ABS(AI43-AF43)&lt;1E-9,"F1 ","")&amp;IF(ABS(AI43-AG43)&lt;1E-9,"F2 ","")&amp;IF(ABS(AI43-AH43)&lt;1E-9,"F3","")))</f>
        <v/>
      </c>
      <c r="AL43" s="15">
        <f>100*(1-(1-X43*(1-EXP(-((MIN(in_cap,IF(AB43&gt;0,(in_f1+1)/AB43,in_cap),AG43,AH43))+(0))/Y43)))*(1-MIN(ABS(in_elas)*W43*R43*(MIN(in_cap,IF(AB43&gt;0,(in_f1+1)/AB43,in_cap),AG43,AH43))/V43,1)))-AJ43</f>
        <v/>
      </c>
      <c r="AM43" s="16">
        <f>MIN(in_cap,IF(AE43&gt;0,in_f3/AE43,in_cap))</f>
        <v/>
      </c>
      <c r="AN43" s="30">
        <f>100*(1-(1-X43*(1-EXP(-((0)+(AM43))/Y43)))*(1-MIN(ABS(in_elas)*W43*R43*(0)/V43,1)))</f>
        <v/>
      </c>
      <c r="AO43" s="17">
        <f>IF(AM43&gt;=in_cap-1E-9,"rate cap","F3")</f>
        <v/>
      </c>
      <c r="AP43" s="15">
        <f>100*(1-(1-X43*(1-EXP(-((50)+(0))/Y43)))*(1-MIN(ABS(in_elas)*W43*R43*(50)/V43,1)))</f>
        <v/>
      </c>
      <c r="AQ43" s="15">
        <f>100*(1-(1-X43*(1-EXP(-((0)+(50))/Y43)))*(1-MIN(ABS(in_elas)*W43*R43*(0)/V43,1)))</f>
        <v/>
      </c>
      <c r="AR43" s="15">
        <f>IF(AP43&gt;0,AQ43/AP43,"")</f>
        <v/>
      </c>
      <c r="AS43" s="16">
        <f>50*AB43</f>
        <v/>
      </c>
      <c r="AT43" s="30">
        <f>MAX(BM43:BW43)</f>
        <v/>
      </c>
      <c r="AU43" s="31">
        <f>AI43*(MATCH(AT43,BM43:BW43,0)-1)/10</f>
        <v/>
      </c>
      <c r="AV43" s="31">
        <f>INDEX(BB43:BL43,1,(MATCH(AT43,BM43:BW43,0)-1)+1)</f>
        <v/>
      </c>
      <c r="AW43" s="31">
        <f>AB43*AU43</f>
        <v/>
      </c>
      <c r="AX43" s="30">
        <f>AC43*AU43</f>
        <v/>
      </c>
      <c r="AY43" s="31">
        <f>AD43*AU43+AE43*AV43</f>
        <v/>
      </c>
      <c r="AZ43" s="32">
        <f>TRIM(IF(AND(AU43&gt;0,ABS(AU43-AF43)&lt;1E-6),"F1 ","")&amp;IF(AND(AU43&gt;0,ABS(AU43-AG43)&lt;1E-6),"F2 ","")&amp;IF(AY43&gt;=in_f3-1E-6,"F3 ","")&amp;IF(AV43&gt;=in_cap-1E-9,"rate cap",""))</f>
        <v/>
      </c>
      <c r="BA43" s="31">
        <f>Q43*AT43/100</f>
        <v/>
      </c>
      <c r="BB43" s="16">
        <f>MAX(0,MIN(in_cap,IF(AE43&gt;0,(in_f3-AD43*AI43*0/10)/AE43,in_cap)))</f>
        <v/>
      </c>
      <c r="BC43" s="16">
        <f>MAX(0,MIN(in_cap,IF(AE43&gt;0,(in_f3-AD43*AI43*1/10)/AE43,in_cap)))</f>
        <v/>
      </c>
      <c r="BD43" s="16">
        <f>MAX(0,MIN(in_cap,IF(AE43&gt;0,(in_f3-AD43*AI43*2/10)/AE43,in_cap)))</f>
        <v/>
      </c>
      <c r="BE43" s="16">
        <f>MAX(0,MIN(in_cap,IF(AE43&gt;0,(in_f3-AD43*AI43*3/10)/AE43,in_cap)))</f>
        <v/>
      </c>
      <c r="BF43" s="16">
        <f>MAX(0,MIN(in_cap,IF(AE43&gt;0,(in_f3-AD43*AI43*4/10)/AE43,in_cap)))</f>
        <v/>
      </c>
      <c r="BG43" s="16">
        <f>MAX(0,MIN(in_cap,IF(AE43&gt;0,(in_f3-AD43*AI43*5/10)/AE43,in_cap)))</f>
        <v/>
      </c>
      <c r="BH43" s="16">
        <f>MAX(0,MIN(in_cap,IF(AE43&gt;0,(in_f3-AD43*AI43*6/10)/AE43,in_cap)))</f>
        <v/>
      </c>
      <c r="BI43" s="16">
        <f>MAX(0,MIN(in_cap,IF(AE43&gt;0,(in_f3-AD43*AI43*7/10)/AE43,in_cap)))</f>
        <v/>
      </c>
      <c r="BJ43" s="16">
        <f>MAX(0,MIN(in_cap,IF(AE43&gt;0,(in_f3-AD43*AI43*8/10)/AE43,in_cap)))</f>
        <v/>
      </c>
      <c r="BK43" s="16">
        <f>MAX(0,MIN(in_cap,IF(AE43&gt;0,(in_f3-AD43*AI43*9/10)/AE43,in_cap)))</f>
        <v/>
      </c>
      <c r="BL43" s="16">
        <f>MAX(0,MIN(in_cap,IF(AE43&gt;0,(in_f3-AD43*AI43*10/10)/AE43,in_cap)))</f>
        <v/>
      </c>
      <c r="BM43" s="15">
        <f>100*(1-(1-X43*(1-EXP(-((AI43*0/10)+(BB43))/Y43)))*(1-MIN(ABS(in_elas)*W43*R43*(AI43*0/10)/V43,1)))</f>
        <v/>
      </c>
      <c r="BN43" s="15">
        <f>100*(1-(1-X43*(1-EXP(-((AI43*1/10)+(BC43))/Y43)))*(1-MIN(ABS(in_elas)*W43*R43*(AI43*1/10)/V43,1)))</f>
        <v/>
      </c>
      <c r="BO43" s="15">
        <f>100*(1-(1-X43*(1-EXP(-((AI43*2/10)+(BD43))/Y43)))*(1-MIN(ABS(in_elas)*W43*R43*(AI43*2/10)/V43,1)))</f>
        <v/>
      </c>
      <c r="BP43" s="15">
        <f>100*(1-(1-X43*(1-EXP(-((AI43*3/10)+(BE43))/Y43)))*(1-MIN(ABS(in_elas)*W43*R43*(AI43*3/10)/V43,1)))</f>
        <v/>
      </c>
      <c r="BQ43" s="15">
        <f>100*(1-(1-X43*(1-EXP(-((AI43*4/10)+(BF43))/Y43)))*(1-MIN(ABS(in_elas)*W43*R43*(AI43*4/10)/V43,1)))</f>
        <v/>
      </c>
      <c r="BR43" s="15">
        <f>100*(1-(1-X43*(1-EXP(-((AI43*5/10)+(BG43))/Y43)))*(1-MIN(ABS(in_elas)*W43*R43*(AI43*5/10)/V43,1)))</f>
        <v/>
      </c>
      <c r="BS43" s="15">
        <f>100*(1-(1-X43*(1-EXP(-((AI43*6/10)+(BH43))/Y43)))*(1-MIN(ABS(in_elas)*W43*R43*(AI43*6/10)/V43,1)))</f>
        <v/>
      </c>
      <c r="BT43" s="15">
        <f>100*(1-(1-X43*(1-EXP(-((AI43*7/10)+(BI43))/Y43)))*(1-MIN(ABS(in_elas)*W43*R43*(AI43*7/10)/V43,1)))</f>
        <v/>
      </c>
      <c r="BU43" s="15">
        <f>100*(1-(1-X43*(1-EXP(-((AI43*8/10)+(BJ43))/Y43)))*(1-MIN(ABS(in_elas)*W43*R43*(AI43*8/10)/V43,1)))</f>
        <v/>
      </c>
      <c r="BV43" s="15">
        <f>100*(1-(1-X43*(1-EXP(-((AI43*9/10)+(BK43))/Y43)))*(1-MIN(ABS(in_elas)*W43*R43*(AI43*9/10)/V43,1)))</f>
        <v/>
      </c>
      <c r="BW43" s="15">
        <f>100*(1-(1-X43*(1-EXP(-((AI43*10/10)+(BL43))/Y43)))*(1-MIN(ABS(in_elas)*W43*R43*(AI43*10/10)/V43,1)))</f>
        <v/>
      </c>
    </row>
    <row r="44">
      <c r="A44" s="17" t="inlineStr">
        <is>
          <t>DJI</t>
        </is>
      </c>
      <c r="B44" s="17">
        <f>INDEX(Data!$B:$B,MATCH($A44,Data!$A:$A,0))</f>
        <v/>
      </c>
      <c r="C44" s="17">
        <f>INDEX(Data!$D:$D,MATCH($A44,Data!$A:$A,0))</f>
        <v/>
      </c>
      <c r="D44" s="16">
        <f>SUMIFS(Data!$G:$G,Data!$A:$A,$A44,Data!$F:$F,"gen_coal_twh")</f>
        <v/>
      </c>
      <c r="E44" s="16">
        <f>SUMIFS(Data!$G:$G,Data!$A:$A,$A44,Data!$F:$F,"gen_gas_twh")</f>
        <v/>
      </c>
      <c r="F44" s="16">
        <f>SUMIFS(Data!$G:$G,Data!$A:$A,$A44,Data!$F:$F,"gen_oil_twh")</f>
        <v/>
      </c>
      <c r="G44" s="16">
        <f>SUMIFS(Data!$G:$G,Data!$A:$A,$A44,Data!$F:$F,"gen_total_twh")</f>
        <v/>
      </c>
      <c r="H44" s="16">
        <f>SUMIFS(Data!$G:$G,Data!$A:$A,$A44,Data!$F:$F,"em_coal_mt")</f>
        <v/>
      </c>
      <c r="I44" s="16">
        <f>SUMIFS(Data!$G:$G,Data!$A:$A,$A44,Data!$F:$F,"em_gas_mt")</f>
        <v/>
      </c>
      <c r="J44" s="16">
        <f>SUMIFS(Data!$G:$G,Data!$A:$A,$A44,Data!$F:$F,"em_oil_mt")</f>
        <v/>
      </c>
      <c r="K44" s="28">
        <f>IF(COUNTIFS(Data!$A:$A,$A44,Data!$F:$F,"price_electricity_residential_usd_kwh")=0,"",SUMIFS(Data!$G:$G,Data!$A:$A,$A44,Data!$F:$F,"price_electricity_residential_usd_kwh"))</f>
        <v/>
      </c>
      <c r="L44" s="28">
        <f>IF(COUNTIFS(Data!$A:$A,$A44,Data!$F:$F,"price_coal_power_usd_gj")=0,"",SUMIFS(Data!$G:$G,Data!$A:$A,$A44,Data!$F:$F,"price_coal_power_usd_gj"))</f>
        <v/>
      </c>
      <c r="M44" s="28">
        <f>IF(COUNTIFS(Data!$A:$A,$A44,Data!$F:$F,"price_gas_power_usd_gj")=0,"",SUMIFS(Data!$G:$G,Data!$A:$A,$A44,Data!$F:$F,"price_gas_power_usd_gj"))</f>
        <v/>
      </c>
      <c r="N44" s="28">
        <f>IF(COUNTIFS(Data!$A:$A,$A44,Data!$F:$F,"price_gas_industry_usd_gj")=0,"",SUMIFS(Data!$G:$G,Data!$A:$A,$A44,Data!$F:$F,"price_gas_industry_usd_gj"))</f>
        <v/>
      </c>
      <c r="O44" s="28">
        <f>IF(COUNTIFS(Data!$A:$A,$A44,Data!$F:$F,"power_market_structure")=0,"",SUMIFS(Data!$G:$G,Data!$A:$A,$A44,Data!$F:$F,"power_market_structure"))</f>
        <v/>
      </c>
      <c r="P44" s="28">
        <f>IF(COUNTIFS(Data!$A:$A,$A44,Data!$F:$F,"rise_renewable_energy_score")=0,"",SUMIFS(Data!$G:$G,Data!$A:$A,$A44,Data!$F:$F,"rise_renewable_energy_score"))</f>
        <v/>
      </c>
      <c r="Q44" s="16">
        <f>H44+I44+J44</f>
        <v/>
      </c>
      <c r="R44" s="28">
        <f>Q44/G44</f>
        <v/>
      </c>
      <c r="S44" s="28">
        <f>IF(D44&gt;0,H44/D44,0.85)</f>
        <v/>
      </c>
      <c r="T44" s="28">
        <f>IF(E44&gt;0,I44/E44,0.4)</f>
        <v/>
      </c>
      <c r="U44" s="28">
        <f>IF(D44+F44&gt;0,(H44+J44)/(D44+F44),0)</f>
        <v/>
      </c>
      <c r="V44" s="16">
        <f>K44*1000</f>
        <v/>
      </c>
      <c r="W44" s="15">
        <f>IF(O44=3,in_pt3,IF(O44=2,in_pt2,IF(O44=1,in_pt1,IF(C44="High income",in_pt_hi,in_pt_oth))))</f>
        <v/>
      </c>
      <c r="X44" s="28">
        <f>IF(Q44&gt;0,in_kappa*(in_rise_lo+(in_rise_hi-in_rise_lo)*IF(P44="",in_rise_miss,P44)/100)*(D44+F44)*MAX(U44-in_gas_rep*T44,0)/Q44,0)</f>
        <v/>
      </c>
      <c r="Y44" s="16">
        <f>IF(IF(M44="",N44,M44)="",MAX(in_sw_floor,in_sw_miss),MAX(in_sw_floor,(IF(M44="",N44,M44)*in_hr_gas-L44*in_hr_coal)/MAX(S44-T44,0.1)))</f>
        <v/>
      </c>
      <c r="Z44" s="28">
        <f>IF(C44="Low income",in_b40_li,IF(C44="Lower middle income",in_b40_lmi,IF(C44="Upper middle income",in_b40_umi,IF(C44="High income",in_b40_hi,0.03))))</f>
        <v/>
      </c>
      <c r="AA44" s="15">
        <f>(D44+F44)/G44</f>
        <v/>
      </c>
      <c r="AB44" s="28">
        <f>100*W44*R44/V44/in_phase</f>
        <v/>
      </c>
      <c r="AC44" s="29">
        <f>100*Z44*W44*R44/V44*(1-IF(W44&gt;0,MIN(in_rebate/(W44*in_res_sh*in_q40),1),1))</f>
        <v/>
      </c>
      <c r="AD44" s="28">
        <f>IF(AA44&gt;0,100*U44*(1-W44)/(in_whole_sh*V44),0)</f>
        <v/>
      </c>
      <c r="AE44" s="28">
        <f>IF(AA44&gt;0,100*MAX(U44-R44,0)/(in_whole_sh*V44),0)</f>
        <v/>
      </c>
      <c r="AF44" s="16">
        <f>IF(AB44&gt;0,in_f1/AB44,in_cap)</f>
        <v/>
      </c>
      <c r="AG44" s="16">
        <f>IF(AC44&gt;0,in_f2/AC44,in_cap)</f>
        <v/>
      </c>
      <c r="AH44" s="16">
        <f>IF(AD44&gt;0,in_f3/AD44,in_cap)</f>
        <v/>
      </c>
      <c r="AI44" s="16">
        <f>MIN(in_cap,AF44,AG44,AH44)</f>
        <v/>
      </c>
      <c r="AJ44" s="30">
        <f>100*(1-(1-X44*(1-EXP(-((AI44)+(0))/Y44)))*(1-MIN(ABS(in_elas)*W44*R44*(AI44)/V44,1)))</f>
        <v/>
      </c>
      <c r="AK44" s="17">
        <f>IF(AI44&gt;=in_cap-1E-9,"rate cap",TRIM(IF(ABS(AI44-AF44)&lt;1E-9,"F1 ","")&amp;IF(ABS(AI44-AG44)&lt;1E-9,"F2 ","")&amp;IF(ABS(AI44-AH44)&lt;1E-9,"F3","")))</f>
        <v/>
      </c>
      <c r="AL44" s="15">
        <f>100*(1-(1-X44*(1-EXP(-((MIN(in_cap,IF(AB44&gt;0,(in_f1+1)/AB44,in_cap),AG44,AH44))+(0))/Y44)))*(1-MIN(ABS(in_elas)*W44*R44*(MIN(in_cap,IF(AB44&gt;0,(in_f1+1)/AB44,in_cap),AG44,AH44))/V44,1)))-AJ44</f>
        <v/>
      </c>
      <c r="AM44" s="16">
        <f>MIN(in_cap,IF(AE44&gt;0,in_f3/AE44,in_cap))</f>
        <v/>
      </c>
      <c r="AN44" s="30">
        <f>100*(1-(1-X44*(1-EXP(-((0)+(AM44))/Y44)))*(1-MIN(ABS(in_elas)*W44*R44*(0)/V44,1)))</f>
        <v/>
      </c>
      <c r="AO44" s="17">
        <f>IF(AM44&gt;=in_cap-1E-9,"rate cap","F3")</f>
        <v/>
      </c>
      <c r="AP44" s="15">
        <f>100*(1-(1-X44*(1-EXP(-((50)+(0))/Y44)))*(1-MIN(ABS(in_elas)*W44*R44*(50)/V44,1)))</f>
        <v/>
      </c>
      <c r="AQ44" s="15">
        <f>100*(1-(1-X44*(1-EXP(-((0)+(50))/Y44)))*(1-MIN(ABS(in_elas)*W44*R44*(0)/V44,1)))</f>
        <v/>
      </c>
      <c r="AR44" s="15">
        <f>IF(AP44&gt;0,AQ44/AP44,"")</f>
        <v/>
      </c>
      <c r="AS44" s="16">
        <f>50*AB44</f>
        <v/>
      </c>
      <c r="AT44" s="30">
        <f>MAX(BM44:BW44)</f>
        <v/>
      </c>
      <c r="AU44" s="31">
        <f>AI44*(MATCH(AT44,BM44:BW44,0)-1)/10</f>
        <v/>
      </c>
      <c r="AV44" s="31">
        <f>INDEX(BB44:BL44,1,(MATCH(AT44,BM44:BW44,0)-1)+1)</f>
        <v/>
      </c>
      <c r="AW44" s="31">
        <f>AB44*AU44</f>
        <v/>
      </c>
      <c r="AX44" s="30">
        <f>AC44*AU44</f>
        <v/>
      </c>
      <c r="AY44" s="31">
        <f>AD44*AU44+AE44*AV44</f>
        <v/>
      </c>
      <c r="AZ44" s="32">
        <f>TRIM(IF(AND(AU44&gt;0,ABS(AU44-AF44)&lt;1E-6),"F1 ","")&amp;IF(AND(AU44&gt;0,ABS(AU44-AG44)&lt;1E-6),"F2 ","")&amp;IF(AY44&gt;=in_f3-1E-6,"F3 ","")&amp;IF(AV44&gt;=in_cap-1E-9,"rate cap",""))</f>
        <v/>
      </c>
      <c r="BA44" s="31">
        <f>Q44*AT44/100</f>
        <v/>
      </c>
      <c r="BB44" s="16">
        <f>MAX(0,MIN(in_cap,IF(AE44&gt;0,(in_f3-AD44*AI44*0/10)/AE44,in_cap)))</f>
        <v/>
      </c>
      <c r="BC44" s="16">
        <f>MAX(0,MIN(in_cap,IF(AE44&gt;0,(in_f3-AD44*AI44*1/10)/AE44,in_cap)))</f>
        <v/>
      </c>
      <c r="BD44" s="16">
        <f>MAX(0,MIN(in_cap,IF(AE44&gt;0,(in_f3-AD44*AI44*2/10)/AE44,in_cap)))</f>
        <v/>
      </c>
      <c r="BE44" s="16">
        <f>MAX(0,MIN(in_cap,IF(AE44&gt;0,(in_f3-AD44*AI44*3/10)/AE44,in_cap)))</f>
        <v/>
      </c>
      <c r="BF44" s="16">
        <f>MAX(0,MIN(in_cap,IF(AE44&gt;0,(in_f3-AD44*AI44*4/10)/AE44,in_cap)))</f>
        <v/>
      </c>
      <c r="BG44" s="16">
        <f>MAX(0,MIN(in_cap,IF(AE44&gt;0,(in_f3-AD44*AI44*5/10)/AE44,in_cap)))</f>
        <v/>
      </c>
      <c r="BH44" s="16">
        <f>MAX(0,MIN(in_cap,IF(AE44&gt;0,(in_f3-AD44*AI44*6/10)/AE44,in_cap)))</f>
        <v/>
      </c>
      <c r="BI44" s="16">
        <f>MAX(0,MIN(in_cap,IF(AE44&gt;0,(in_f3-AD44*AI44*7/10)/AE44,in_cap)))</f>
        <v/>
      </c>
      <c r="BJ44" s="16">
        <f>MAX(0,MIN(in_cap,IF(AE44&gt;0,(in_f3-AD44*AI44*8/10)/AE44,in_cap)))</f>
        <v/>
      </c>
      <c r="BK44" s="16">
        <f>MAX(0,MIN(in_cap,IF(AE44&gt;0,(in_f3-AD44*AI44*9/10)/AE44,in_cap)))</f>
        <v/>
      </c>
      <c r="BL44" s="16">
        <f>MAX(0,MIN(in_cap,IF(AE44&gt;0,(in_f3-AD44*AI44*10/10)/AE44,in_cap)))</f>
        <v/>
      </c>
      <c r="BM44" s="15">
        <f>100*(1-(1-X44*(1-EXP(-((AI44*0/10)+(BB44))/Y44)))*(1-MIN(ABS(in_elas)*W44*R44*(AI44*0/10)/V44,1)))</f>
        <v/>
      </c>
      <c r="BN44" s="15">
        <f>100*(1-(1-X44*(1-EXP(-((AI44*1/10)+(BC44))/Y44)))*(1-MIN(ABS(in_elas)*W44*R44*(AI44*1/10)/V44,1)))</f>
        <v/>
      </c>
      <c r="BO44" s="15">
        <f>100*(1-(1-X44*(1-EXP(-((AI44*2/10)+(BD44))/Y44)))*(1-MIN(ABS(in_elas)*W44*R44*(AI44*2/10)/V44,1)))</f>
        <v/>
      </c>
      <c r="BP44" s="15">
        <f>100*(1-(1-X44*(1-EXP(-((AI44*3/10)+(BE44))/Y44)))*(1-MIN(ABS(in_elas)*W44*R44*(AI44*3/10)/V44,1)))</f>
        <v/>
      </c>
      <c r="BQ44" s="15">
        <f>100*(1-(1-X44*(1-EXP(-((AI44*4/10)+(BF44))/Y44)))*(1-MIN(ABS(in_elas)*W44*R44*(AI44*4/10)/V44,1)))</f>
        <v/>
      </c>
      <c r="BR44" s="15">
        <f>100*(1-(1-X44*(1-EXP(-((AI44*5/10)+(BG44))/Y44)))*(1-MIN(ABS(in_elas)*W44*R44*(AI44*5/10)/V44,1)))</f>
        <v/>
      </c>
      <c r="BS44" s="15">
        <f>100*(1-(1-X44*(1-EXP(-((AI44*6/10)+(BH44))/Y44)))*(1-MIN(ABS(in_elas)*W44*R44*(AI44*6/10)/V44,1)))</f>
        <v/>
      </c>
      <c r="BT44" s="15">
        <f>100*(1-(1-X44*(1-EXP(-((AI44*7/10)+(BI44))/Y44)))*(1-MIN(ABS(in_elas)*W44*R44*(AI44*7/10)/V44,1)))</f>
        <v/>
      </c>
      <c r="BU44" s="15">
        <f>100*(1-(1-X44*(1-EXP(-((AI44*8/10)+(BJ44))/Y44)))*(1-MIN(ABS(in_elas)*W44*R44*(AI44*8/10)/V44,1)))</f>
        <v/>
      </c>
      <c r="BV44" s="15">
        <f>100*(1-(1-X44*(1-EXP(-((AI44*9/10)+(BK44))/Y44)))*(1-MIN(ABS(in_elas)*W44*R44*(AI44*9/10)/V44,1)))</f>
        <v/>
      </c>
      <c r="BW44" s="15">
        <f>100*(1-(1-X44*(1-EXP(-((AI44*10/10)+(BL44))/Y44)))*(1-MIN(ABS(in_elas)*W44*R44*(AI44*10/10)/V44,1)))</f>
        <v/>
      </c>
    </row>
    <row r="45">
      <c r="A45" s="17" t="inlineStr">
        <is>
          <t>DNK</t>
        </is>
      </c>
      <c r="B45" s="17">
        <f>INDEX(Data!$B:$B,MATCH($A45,Data!$A:$A,0))</f>
        <v/>
      </c>
      <c r="C45" s="17">
        <f>INDEX(Data!$D:$D,MATCH($A45,Data!$A:$A,0))</f>
        <v/>
      </c>
      <c r="D45" s="16">
        <f>SUMIFS(Data!$G:$G,Data!$A:$A,$A45,Data!$F:$F,"gen_coal_twh")</f>
        <v/>
      </c>
      <c r="E45" s="16">
        <f>SUMIFS(Data!$G:$G,Data!$A:$A,$A45,Data!$F:$F,"gen_gas_twh")</f>
        <v/>
      </c>
      <c r="F45" s="16">
        <f>SUMIFS(Data!$G:$G,Data!$A:$A,$A45,Data!$F:$F,"gen_oil_twh")</f>
        <v/>
      </c>
      <c r="G45" s="16">
        <f>SUMIFS(Data!$G:$G,Data!$A:$A,$A45,Data!$F:$F,"gen_total_twh")</f>
        <v/>
      </c>
      <c r="H45" s="16">
        <f>SUMIFS(Data!$G:$G,Data!$A:$A,$A45,Data!$F:$F,"em_coal_mt")</f>
        <v/>
      </c>
      <c r="I45" s="16">
        <f>SUMIFS(Data!$G:$G,Data!$A:$A,$A45,Data!$F:$F,"em_gas_mt")</f>
        <v/>
      </c>
      <c r="J45" s="16">
        <f>SUMIFS(Data!$G:$G,Data!$A:$A,$A45,Data!$F:$F,"em_oil_mt")</f>
        <v/>
      </c>
      <c r="K45" s="28">
        <f>IF(COUNTIFS(Data!$A:$A,$A45,Data!$F:$F,"price_electricity_residential_usd_kwh")=0,"",SUMIFS(Data!$G:$G,Data!$A:$A,$A45,Data!$F:$F,"price_electricity_residential_usd_kwh"))</f>
        <v/>
      </c>
      <c r="L45" s="28">
        <f>IF(COUNTIFS(Data!$A:$A,$A45,Data!$F:$F,"price_coal_power_usd_gj")=0,"",SUMIFS(Data!$G:$G,Data!$A:$A,$A45,Data!$F:$F,"price_coal_power_usd_gj"))</f>
        <v/>
      </c>
      <c r="M45" s="28">
        <f>IF(COUNTIFS(Data!$A:$A,$A45,Data!$F:$F,"price_gas_power_usd_gj")=0,"",SUMIFS(Data!$G:$G,Data!$A:$A,$A45,Data!$F:$F,"price_gas_power_usd_gj"))</f>
        <v/>
      </c>
      <c r="N45" s="28">
        <f>IF(COUNTIFS(Data!$A:$A,$A45,Data!$F:$F,"price_gas_industry_usd_gj")=0,"",SUMIFS(Data!$G:$G,Data!$A:$A,$A45,Data!$F:$F,"price_gas_industry_usd_gj"))</f>
        <v/>
      </c>
      <c r="O45" s="28">
        <f>IF(COUNTIFS(Data!$A:$A,$A45,Data!$F:$F,"power_market_structure")=0,"",SUMIFS(Data!$G:$G,Data!$A:$A,$A45,Data!$F:$F,"power_market_structure"))</f>
        <v/>
      </c>
      <c r="P45" s="28">
        <f>IF(COUNTIFS(Data!$A:$A,$A45,Data!$F:$F,"rise_renewable_energy_score")=0,"",SUMIFS(Data!$G:$G,Data!$A:$A,$A45,Data!$F:$F,"rise_renewable_energy_score"))</f>
        <v/>
      </c>
      <c r="Q45" s="16">
        <f>H45+I45+J45</f>
        <v/>
      </c>
      <c r="R45" s="28">
        <f>Q45/G45</f>
        <v/>
      </c>
      <c r="S45" s="28">
        <f>IF(D45&gt;0,H45/D45,0.85)</f>
        <v/>
      </c>
      <c r="T45" s="28">
        <f>IF(E45&gt;0,I45/E45,0.4)</f>
        <v/>
      </c>
      <c r="U45" s="28">
        <f>IF(D45+F45&gt;0,(H45+J45)/(D45+F45),0)</f>
        <v/>
      </c>
      <c r="V45" s="16">
        <f>K45*1000</f>
        <v/>
      </c>
      <c r="W45" s="15">
        <f>IF(O45=3,in_pt3,IF(O45=2,in_pt2,IF(O45=1,in_pt1,IF(C45="High income",in_pt_hi,in_pt_oth))))</f>
        <v/>
      </c>
      <c r="X45" s="28">
        <f>IF(Q45&gt;0,in_kappa*(in_rise_lo+(in_rise_hi-in_rise_lo)*IF(P45="",in_rise_miss,P45)/100)*(D45+F45)*MAX(U45-in_gas_rep*T45,0)/Q45,0)</f>
        <v/>
      </c>
      <c r="Y45" s="16">
        <f>IF(IF(M45="",N45,M45)="",MAX(in_sw_floor,in_sw_miss),MAX(in_sw_floor,(IF(M45="",N45,M45)*in_hr_gas-L45*in_hr_coal)/MAX(S45-T45,0.1)))</f>
        <v/>
      </c>
      <c r="Z45" s="28">
        <f>IF(C45="Low income",in_b40_li,IF(C45="Lower middle income",in_b40_lmi,IF(C45="Upper middle income",in_b40_umi,IF(C45="High income",in_b40_hi,0.03))))</f>
        <v/>
      </c>
      <c r="AA45" s="15">
        <f>(D45+F45)/G45</f>
        <v/>
      </c>
      <c r="AB45" s="28">
        <f>100*W45*R45/V45/in_phase</f>
        <v/>
      </c>
      <c r="AC45" s="29">
        <f>100*Z45*W45*R45/V45*(1-IF(W45&gt;0,MIN(in_rebate/(W45*in_res_sh*in_q40),1),1))</f>
        <v/>
      </c>
      <c r="AD45" s="28">
        <f>IF(AA45&gt;0,100*U45*(1-W45)/(in_whole_sh*V45),0)</f>
        <v/>
      </c>
      <c r="AE45" s="28">
        <f>IF(AA45&gt;0,100*MAX(U45-R45,0)/(in_whole_sh*V45),0)</f>
        <v/>
      </c>
      <c r="AF45" s="16">
        <f>IF(AB45&gt;0,in_f1/AB45,in_cap)</f>
        <v/>
      </c>
      <c r="AG45" s="16">
        <f>IF(AC45&gt;0,in_f2/AC45,in_cap)</f>
        <v/>
      </c>
      <c r="AH45" s="16">
        <f>IF(AD45&gt;0,in_f3/AD45,in_cap)</f>
        <v/>
      </c>
      <c r="AI45" s="16">
        <f>MIN(in_cap,AF45,AG45,AH45)</f>
        <v/>
      </c>
      <c r="AJ45" s="30">
        <f>100*(1-(1-X45*(1-EXP(-((AI45)+(0))/Y45)))*(1-MIN(ABS(in_elas)*W45*R45*(AI45)/V45,1)))</f>
        <v/>
      </c>
      <c r="AK45" s="17">
        <f>IF(AI45&gt;=in_cap-1E-9,"rate cap",TRIM(IF(ABS(AI45-AF45)&lt;1E-9,"F1 ","")&amp;IF(ABS(AI45-AG45)&lt;1E-9,"F2 ","")&amp;IF(ABS(AI45-AH45)&lt;1E-9,"F3","")))</f>
        <v/>
      </c>
      <c r="AL45" s="15">
        <f>100*(1-(1-X45*(1-EXP(-((MIN(in_cap,IF(AB45&gt;0,(in_f1+1)/AB45,in_cap),AG45,AH45))+(0))/Y45)))*(1-MIN(ABS(in_elas)*W45*R45*(MIN(in_cap,IF(AB45&gt;0,(in_f1+1)/AB45,in_cap),AG45,AH45))/V45,1)))-AJ45</f>
        <v/>
      </c>
      <c r="AM45" s="16">
        <f>MIN(in_cap,IF(AE45&gt;0,in_f3/AE45,in_cap))</f>
        <v/>
      </c>
      <c r="AN45" s="30">
        <f>100*(1-(1-X45*(1-EXP(-((0)+(AM45))/Y45)))*(1-MIN(ABS(in_elas)*W45*R45*(0)/V45,1)))</f>
        <v/>
      </c>
      <c r="AO45" s="17">
        <f>IF(AM45&gt;=in_cap-1E-9,"rate cap","F3")</f>
        <v/>
      </c>
      <c r="AP45" s="15">
        <f>100*(1-(1-X45*(1-EXP(-((50)+(0))/Y45)))*(1-MIN(ABS(in_elas)*W45*R45*(50)/V45,1)))</f>
        <v/>
      </c>
      <c r="AQ45" s="15">
        <f>100*(1-(1-X45*(1-EXP(-((0)+(50))/Y45)))*(1-MIN(ABS(in_elas)*W45*R45*(0)/V45,1)))</f>
        <v/>
      </c>
      <c r="AR45" s="15">
        <f>IF(AP45&gt;0,AQ45/AP45,"")</f>
        <v/>
      </c>
      <c r="AS45" s="16">
        <f>50*AB45</f>
        <v/>
      </c>
      <c r="AT45" s="30">
        <f>MAX(BM45:BW45)</f>
        <v/>
      </c>
      <c r="AU45" s="31">
        <f>AI45*(MATCH(AT45,BM45:BW45,0)-1)/10</f>
        <v/>
      </c>
      <c r="AV45" s="31">
        <f>INDEX(BB45:BL45,1,(MATCH(AT45,BM45:BW45,0)-1)+1)</f>
        <v/>
      </c>
      <c r="AW45" s="31">
        <f>AB45*AU45</f>
        <v/>
      </c>
      <c r="AX45" s="30">
        <f>AC45*AU45</f>
        <v/>
      </c>
      <c r="AY45" s="31">
        <f>AD45*AU45+AE45*AV45</f>
        <v/>
      </c>
      <c r="AZ45" s="32">
        <f>TRIM(IF(AND(AU45&gt;0,ABS(AU45-AF45)&lt;1E-6),"F1 ","")&amp;IF(AND(AU45&gt;0,ABS(AU45-AG45)&lt;1E-6),"F2 ","")&amp;IF(AY45&gt;=in_f3-1E-6,"F3 ","")&amp;IF(AV45&gt;=in_cap-1E-9,"rate cap",""))</f>
        <v/>
      </c>
      <c r="BA45" s="31">
        <f>Q45*AT45/100</f>
        <v/>
      </c>
      <c r="BB45" s="16">
        <f>MAX(0,MIN(in_cap,IF(AE45&gt;0,(in_f3-AD45*AI45*0/10)/AE45,in_cap)))</f>
        <v/>
      </c>
      <c r="BC45" s="16">
        <f>MAX(0,MIN(in_cap,IF(AE45&gt;0,(in_f3-AD45*AI45*1/10)/AE45,in_cap)))</f>
        <v/>
      </c>
      <c r="BD45" s="16">
        <f>MAX(0,MIN(in_cap,IF(AE45&gt;0,(in_f3-AD45*AI45*2/10)/AE45,in_cap)))</f>
        <v/>
      </c>
      <c r="BE45" s="16">
        <f>MAX(0,MIN(in_cap,IF(AE45&gt;0,(in_f3-AD45*AI45*3/10)/AE45,in_cap)))</f>
        <v/>
      </c>
      <c r="BF45" s="16">
        <f>MAX(0,MIN(in_cap,IF(AE45&gt;0,(in_f3-AD45*AI45*4/10)/AE45,in_cap)))</f>
        <v/>
      </c>
      <c r="BG45" s="16">
        <f>MAX(0,MIN(in_cap,IF(AE45&gt;0,(in_f3-AD45*AI45*5/10)/AE45,in_cap)))</f>
        <v/>
      </c>
      <c r="BH45" s="16">
        <f>MAX(0,MIN(in_cap,IF(AE45&gt;0,(in_f3-AD45*AI45*6/10)/AE45,in_cap)))</f>
        <v/>
      </c>
      <c r="BI45" s="16">
        <f>MAX(0,MIN(in_cap,IF(AE45&gt;0,(in_f3-AD45*AI45*7/10)/AE45,in_cap)))</f>
        <v/>
      </c>
      <c r="BJ45" s="16">
        <f>MAX(0,MIN(in_cap,IF(AE45&gt;0,(in_f3-AD45*AI45*8/10)/AE45,in_cap)))</f>
        <v/>
      </c>
      <c r="BK45" s="16">
        <f>MAX(0,MIN(in_cap,IF(AE45&gt;0,(in_f3-AD45*AI45*9/10)/AE45,in_cap)))</f>
        <v/>
      </c>
      <c r="BL45" s="16">
        <f>MAX(0,MIN(in_cap,IF(AE45&gt;0,(in_f3-AD45*AI45*10/10)/AE45,in_cap)))</f>
        <v/>
      </c>
      <c r="BM45" s="15">
        <f>100*(1-(1-X45*(1-EXP(-((AI45*0/10)+(BB45))/Y45)))*(1-MIN(ABS(in_elas)*W45*R45*(AI45*0/10)/V45,1)))</f>
        <v/>
      </c>
      <c r="BN45" s="15">
        <f>100*(1-(1-X45*(1-EXP(-((AI45*1/10)+(BC45))/Y45)))*(1-MIN(ABS(in_elas)*W45*R45*(AI45*1/10)/V45,1)))</f>
        <v/>
      </c>
      <c r="BO45" s="15">
        <f>100*(1-(1-X45*(1-EXP(-((AI45*2/10)+(BD45))/Y45)))*(1-MIN(ABS(in_elas)*W45*R45*(AI45*2/10)/V45,1)))</f>
        <v/>
      </c>
      <c r="BP45" s="15">
        <f>100*(1-(1-X45*(1-EXP(-((AI45*3/10)+(BE45))/Y45)))*(1-MIN(ABS(in_elas)*W45*R45*(AI45*3/10)/V45,1)))</f>
        <v/>
      </c>
      <c r="BQ45" s="15">
        <f>100*(1-(1-X45*(1-EXP(-((AI45*4/10)+(BF45))/Y45)))*(1-MIN(ABS(in_elas)*W45*R45*(AI45*4/10)/V45,1)))</f>
        <v/>
      </c>
      <c r="BR45" s="15">
        <f>100*(1-(1-X45*(1-EXP(-((AI45*5/10)+(BG45))/Y45)))*(1-MIN(ABS(in_elas)*W45*R45*(AI45*5/10)/V45,1)))</f>
        <v/>
      </c>
      <c r="BS45" s="15">
        <f>100*(1-(1-X45*(1-EXP(-((AI45*6/10)+(BH45))/Y45)))*(1-MIN(ABS(in_elas)*W45*R45*(AI45*6/10)/V45,1)))</f>
        <v/>
      </c>
      <c r="BT45" s="15">
        <f>100*(1-(1-X45*(1-EXP(-((AI45*7/10)+(BI45))/Y45)))*(1-MIN(ABS(in_elas)*W45*R45*(AI45*7/10)/V45,1)))</f>
        <v/>
      </c>
      <c r="BU45" s="15">
        <f>100*(1-(1-X45*(1-EXP(-((AI45*8/10)+(BJ45))/Y45)))*(1-MIN(ABS(in_elas)*W45*R45*(AI45*8/10)/V45,1)))</f>
        <v/>
      </c>
      <c r="BV45" s="15">
        <f>100*(1-(1-X45*(1-EXP(-((AI45*9/10)+(BK45))/Y45)))*(1-MIN(ABS(in_elas)*W45*R45*(AI45*9/10)/V45,1)))</f>
        <v/>
      </c>
      <c r="BW45" s="15">
        <f>100*(1-(1-X45*(1-EXP(-((AI45*10/10)+(BL45))/Y45)))*(1-MIN(ABS(in_elas)*W45*R45*(AI45*10/10)/V45,1)))</f>
        <v/>
      </c>
    </row>
    <row r="46">
      <c r="A46" s="17" t="inlineStr">
        <is>
          <t>DOM</t>
        </is>
      </c>
      <c r="B46" s="17">
        <f>INDEX(Data!$B:$B,MATCH($A46,Data!$A:$A,0))</f>
        <v/>
      </c>
      <c r="C46" s="17">
        <f>INDEX(Data!$D:$D,MATCH($A46,Data!$A:$A,0))</f>
        <v/>
      </c>
      <c r="D46" s="16">
        <f>SUMIFS(Data!$G:$G,Data!$A:$A,$A46,Data!$F:$F,"gen_coal_twh")</f>
        <v/>
      </c>
      <c r="E46" s="16">
        <f>SUMIFS(Data!$G:$G,Data!$A:$A,$A46,Data!$F:$F,"gen_gas_twh")</f>
        <v/>
      </c>
      <c r="F46" s="16">
        <f>SUMIFS(Data!$G:$G,Data!$A:$A,$A46,Data!$F:$F,"gen_oil_twh")</f>
        <v/>
      </c>
      <c r="G46" s="16">
        <f>SUMIFS(Data!$G:$G,Data!$A:$A,$A46,Data!$F:$F,"gen_total_twh")</f>
        <v/>
      </c>
      <c r="H46" s="16">
        <f>SUMIFS(Data!$G:$G,Data!$A:$A,$A46,Data!$F:$F,"em_coal_mt")</f>
        <v/>
      </c>
      <c r="I46" s="16">
        <f>SUMIFS(Data!$G:$G,Data!$A:$A,$A46,Data!$F:$F,"em_gas_mt")</f>
        <v/>
      </c>
      <c r="J46" s="16">
        <f>SUMIFS(Data!$G:$G,Data!$A:$A,$A46,Data!$F:$F,"em_oil_mt")</f>
        <v/>
      </c>
      <c r="K46" s="28">
        <f>IF(COUNTIFS(Data!$A:$A,$A46,Data!$F:$F,"price_electricity_residential_usd_kwh")=0,"",SUMIFS(Data!$G:$G,Data!$A:$A,$A46,Data!$F:$F,"price_electricity_residential_usd_kwh"))</f>
        <v/>
      </c>
      <c r="L46" s="28">
        <f>IF(COUNTIFS(Data!$A:$A,$A46,Data!$F:$F,"price_coal_power_usd_gj")=0,"",SUMIFS(Data!$G:$G,Data!$A:$A,$A46,Data!$F:$F,"price_coal_power_usd_gj"))</f>
        <v/>
      </c>
      <c r="M46" s="28">
        <f>IF(COUNTIFS(Data!$A:$A,$A46,Data!$F:$F,"price_gas_power_usd_gj")=0,"",SUMIFS(Data!$G:$G,Data!$A:$A,$A46,Data!$F:$F,"price_gas_power_usd_gj"))</f>
        <v/>
      </c>
      <c r="N46" s="28">
        <f>IF(COUNTIFS(Data!$A:$A,$A46,Data!$F:$F,"price_gas_industry_usd_gj")=0,"",SUMIFS(Data!$G:$G,Data!$A:$A,$A46,Data!$F:$F,"price_gas_industry_usd_gj"))</f>
        <v/>
      </c>
      <c r="O46" s="28">
        <f>IF(COUNTIFS(Data!$A:$A,$A46,Data!$F:$F,"power_market_structure")=0,"",SUMIFS(Data!$G:$G,Data!$A:$A,$A46,Data!$F:$F,"power_market_structure"))</f>
        <v/>
      </c>
      <c r="P46" s="28">
        <f>IF(COUNTIFS(Data!$A:$A,$A46,Data!$F:$F,"rise_renewable_energy_score")=0,"",SUMIFS(Data!$G:$G,Data!$A:$A,$A46,Data!$F:$F,"rise_renewable_energy_score"))</f>
        <v/>
      </c>
      <c r="Q46" s="16">
        <f>H46+I46+J46</f>
        <v/>
      </c>
      <c r="R46" s="28">
        <f>Q46/G46</f>
        <v/>
      </c>
      <c r="S46" s="28">
        <f>IF(D46&gt;0,H46/D46,0.85)</f>
        <v/>
      </c>
      <c r="T46" s="28">
        <f>IF(E46&gt;0,I46/E46,0.4)</f>
        <v/>
      </c>
      <c r="U46" s="28">
        <f>IF(D46+F46&gt;0,(H46+J46)/(D46+F46),0)</f>
        <v/>
      </c>
      <c r="V46" s="16">
        <f>K46*1000</f>
        <v/>
      </c>
      <c r="W46" s="15">
        <f>IF(O46=3,in_pt3,IF(O46=2,in_pt2,IF(O46=1,in_pt1,IF(C46="High income",in_pt_hi,in_pt_oth))))</f>
        <v/>
      </c>
      <c r="X46" s="28">
        <f>IF(Q46&gt;0,in_kappa*(in_rise_lo+(in_rise_hi-in_rise_lo)*IF(P46="",in_rise_miss,P46)/100)*(D46+F46)*MAX(U46-in_gas_rep*T46,0)/Q46,0)</f>
        <v/>
      </c>
      <c r="Y46" s="16">
        <f>IF(IF(M46="",N46,M46)="",MAX(in_sw_floor,in_sw_miss),MAX(in_sw_floor,(IF(M46="",N46,M46)*in_hr_gas-L46*in_hr_coal)/MAX(S46-T46,0.1)))</f>
        <v/>
      </c>
      <c r="Z46" s="28">
        <f>IF(C46="Low income",in_b40_li,IF(C46="Lower middle income",in_b40_lmi,IF(C46="Upper middle income",in_b40_umi,IF(C46="High income",in_b40_hi,0.03))))</f>
        <v/>
      </c>
      <c r="AA46" s="15">
        <f>(D46+F46)/G46</f>
        <v/>
      </c>
      <c r="AB46" s="28">
        <f>100*W46*R46/V46/in_phase</f>
        <v/>
      </c>
      <c r="AC46" s="29">
        <f>100*Z46*W46*R46/V46*(1-IF(W46&gt;0,MIN(in_rebate/(W46*in_res_sh*in_q40),1),1))</f>
        <v/>
      </c>
      <c r="AD46" s="28">
        <f>IF(AA46&gt;0,100*U46*(1-W46)/(in_whole_sh*V46),0)</f>
        <v/>
      </c>
      <c r="AE46" s="28">
        <f>IF(AA46&gt;0,100*MAX(U46-R46,0)/(in_whole_sh*V46),0)</f>
        <v/>
      </c>
      <c r="AF46" s="16">
        <f>IF(AB46&gt;0,in_f1/AB46,in_cap)</f>
        <v/>
      </c>
      <c r="AG46" s="16">
        <f>IF(AC46&gt;0,in_f2/AC46,in_cap)</f>
        <v/>
      </c>
      <c r="AH46" s="16">
        <f>IF(AD46&gt;0,in_f3/AD46,in_cap)</f>
        <v/>
      </c>
      <c r="AI46" s="16">
        <f>MIN(in_cap,AF46,AG46,AH46)</f>
        <v/>
      </c>
      <c r="AJ46" s="30">
        <f>100*(1-(1-X46*(1-EXP(-((AI46)+(0))/Y46)))*(1-MIN(ABS(in_elas)*W46*R46*(AI46)/V46,1)))</f>
        <v/>
      </c>
      <c r="AK46" s="17">
        <f>IF(AI46&gt;=in_cap-1E-9,"rate cap",TRIM(IF(ABS(AI46-AF46)&lt;1E-9,"F1 ","")&amp;IF(ABS(AI46-AG46)&lt;1E-9,"F2 ","")&amp;IF(ABS(AI46-AH46)&lt;1E-9,"F3","")))</f>
        <v/>
      </c>
      <c r="AL46" s="15">
        <f>100*(1-(1-X46*(1-EXP(-((MIN(in_cap,IF(AB46&gt;0,(in_f1+1)/AB46,in_cap),AG46,AH46))+(0))/Y46)))*(1-MIN(ABS(in_elas)*W46*R46*(MIN(in_cap,IF(AB46&gt;0,(in_f1+1)/AB46,in_cap),AG46,AH46))/V46,1)))-AJ46</f>
        <v/>
      </c>
      <c r="AM46" s="16">
        <f>MIN(in_cap,IF(AE46&gt;0,in_f3/AE46,in_cap))</f>
        <v/>
      </c>
      <c r="AN46" s="30">
        <f>100*(1-(1-X46*(1-EXP(-((0)+(AM46))/Y46)))*(1-MIN(ABS(in_elas)*W46*R46*(0)/V46,1)))</f>
        <v/>
      </c>
      <c r="AO46" s="17">
        <f>IF(AM46&gt;=in_cap-1E-9,"rate cap","F3")</f>
        <v/>
      </c>
      <c r="AP46" s="15">
        <f>100*(1-(1-X46*(1-EXP(-((50)+(0))/Y46)))*(1-MIN(ABS(in_elas)*W46*R46*(50)/V46,1)))</f>
        <v/>
      </c>
      <c r="AQ46" s="15">
        <f>100*(1-(1-X46*(1-EXP(-((0)+(50))/Y46)))*(1-MIN(ABS(in_elas)*W46*R46*(0)/V46,1)))</f>
        <v/>
      </c>
      <c r="AR46" s="15">
        <f>IF(AP46&gt;0,AQ46/AP46,"")</f>
        <v/>
      </c>
      <c r="AS46" s="16">
        <f>50*AB46</f>
        <v/>
      </c>
      <c r="AT46" s="30">
        <f>MAX(BM46:BW46)</f>
        <v/>
      </c>
      <c r="AU46" s="31">
        <f>AI46*(MATCH(AT46,BM46:BW46,0)-1)/10</f>
        <v/>
      </c>
      <c r="AV46" s="31">
        <f>INDEX(BB46:BL46,1,(MATCH(AT46,BM46:BW46,0)-1)+1)</f>
        <v/>
      </c>
      <c r="AW46" s="31">
        <f>AB46*AU46</f>
        <v/>
      </c>
      <c r="AX46" s="30">
        <f>AC46*AU46</f>
        <v/>
      </c>
      <c r="AY46" s="31">
        <f>AD46*AU46+AE46*AV46</f>
        <v/>
      </c>
      <c r="AZ46" s="32">
        <f>TRIM(IF(AND(AU46&gt;0,ABS(AU46-AF46)&lt;1E-6),"F1 ","")&amp;IF(AND(AU46&gt;0,ABS(AU46-AG46)&lt;1E-6),"F2 ","")&amp;IF(AY46&gt;=in_f3-1E-6,"F3 ","")&amp;IF(AV46&gt;=in_cap-1E-9,"rate cap",""))</f>
        <v/>
      </c>
      <c r="BA46" s="31">
        <f>Q46*AT46/100</f>
        <v/>
      </c>
      <c r="BB46" s="16">
        <f>MAX(0,MIN(in_cap,IF(AE46&gt;0,(in_f3-AD46*AI46*0/10)/AE46,in_cap)))</f>
        <v/>
      </c>
      <c r="BC46" s="16">
        <f>MAX(0,MIN(in_cap,IF(AE46&gt;0,(in_f3-AD46*AI46*1/10)/AE46,in_cap)))</f>
        <v/>
      </c>
      <c r="BD46" s="16">
        <f>MAX(0,MIN(in_cap,IF(AE46&gt;0,(in_f3-AD46*AI46*2/10)/AE46,in_cap)))</f>
        <v/>
      </c>
      <c r="BE46" s="16">
        <f>MAX(0,MIN(in_cap,IF(AE46&gt;0,(in_f3-AD46*AI46*3/10)/AE46,in_cap)))</f>
        <v/>
      </c>
      <c r="BF46" s="16">
        <f>MAX(0,MIN(in_cap,IF(AE46&gt;0,(in_f3-AD46*AI46*4/10)/AE46,in_cap)))</f>
        <v/>
      </c>
      <c r="BG46" s="16">
        <f>MAX(0,MIN(in_cap,IF(AE46&gt;0,(in_f3-AD46*AI46*5/10)/AE46,in_cap)))</f>
        <v/>
      </c>
      <c r="BH46" s="16">
        <f>MAX(0,MIN(in_cap,IF(AE46&gt;0,(in_f3-AD46*AI46*6/10)/AE46,in_cap)))</f>
        <v/>
      </c>
      <c r="BI46" s="16">
        <f>MAX(0,MIN(in_cap,IF(AE46&gt;0,(in_f3-AD46*AI46*7/10)/AE46,in_cap)))</f>
        <v/>
      </c>
      <c r="BJ46" s="16">
        <f>MAX(0,MIN(in_cap,IF(AE46&gt;0,(in_f3-AD46*AI46*8/10)/AE46,in_cap)))</f>
        <v/>
      </c>
      <c r="BK46" s="16">
        <f>MAX(0,MIN(in_cap,IF(AE46&gt;0,(in_f3-AD46*AI46*9/10)/AE46,in_cap)))</f>
        <v/>
      </c>
      <c r="BL46" s="16">
        <f>MAX(0,MIN(in_cap,IF(AE46&gt;0,(in_f3-AD46*AI46*10/10)/AE46,in_cap)))</f>
        <v/>
      </c>
      <c r="BM46" s="15">
        <f>100*(1-(1-X46*(1-EXP(-((AI46*0/10)+(BB46))/Y46)))*(1-MIN(ABS(in_elas)*W46*R46*(AI46*0/10)/V46,1)))</f>
        <v/>
      </c>
      <c r="BN46" s="15">
        <f>100*(1-(1-X46*(1-EXP(-((AI46*1/10)+(BC46))/Y46)))*(1-MIN(ABS(in_elas)*W46*R46*(AI46*1/10)/V46,1)))</f>
        <v/>
      </c>
      <c r="BO46" s="15">
        <f>100*(1-(1-X46*(1-EXP(-((AI46*2/10)+(BD46))/Y46)))*(1-MIN(ABS(in_elas)*W46*R46*(AI46*2/10)/V46,1)))</f>
        <v/>
      </c>
      <c r="BP46" s="15">
        <f>100*(1-(1-X46*(1-EXP(-((AI46*3/10)+(BE46))/Y46)))*(1-MIN(ABS(in_elas)*W46*R46*(AI46*3/10)/V46,1)))</f>
        <v/>
      </c>
      <c r="BQ46" s="15">
        <f>100*(1-(1-X46*(1-EXP(-((AI46*4/10)+(BF46))/Y46)))*(1-MIN(ABS(in_elas)*W46*R46*(AI46*4/10)/V46,1)))</f>
        <v/>
      </c>
      <c r="BR46" s="15">
        <f>100*(1-(1-X46*(1-EXP(-((AI46*5/10)+(BG46))/Y46)))*(1-MIN(ABS(in_elas)*W46*R46*(AI46*5/10)/V46,1)))</f>
        <v/>
      </c>
      <c r="BS46" s="15">
        <f>100*(1-(1-X46*(1-EXP(-((AI46*6/10)+(BH46))/Y46)))*(1-MIN(ABS(in_elas)*W46*R46*(AI46*6/10)/V46,1)))</f>
        <v/>
      </c>
      <c r="BT46" s="15">
        <f>100*(1-(1-X46*(1-EXP(-((AI46*7/10)+(BI46))/Y46)))*(1-MIN(ABS(in_elas)*W46*R46*(AI46*7/10)/V46,1)))</f>
        <v/>
      </c>
      <c r="BU46" s="15">
        <f>100*(1-(1-X46*(1-EXP(-((AI46*8/10)+(BJ46))/Y46)))*(1-MIN(ABS(in_elas)*W46*R46*(AI46*8/10)/V46,1)))</f>
        <v/>
      </c>
      <c r="BV46" s="15">
        <f>100*(1-(1-X46*(1-EXP(-((AI46*9/10)+(BK46))/Y46)))*(1-MIN(ABS(in_elas)*W46*R46*(AI46*9/10)/V46,1)))</f>
        <v/>
      </c>
      <c r="BW46" s="15">
        <f>100*(1-(1-X46*(1-EXP(-((AI46*10/10)+(BL46))/Y46)))*(1-MIN(ABS(in_elas)*W46*R46*(AI46*10/10)/V46,1)))</f>
        <v/>
      </c>
    </row>
    <row r="47">
      <c r="A47" s="17" t="inlineStr">
        <is>
          <t>DZA</t>
        </is>
      </c>
      <c r="B47" s="17">
        <f>INDEX(Data!$B:$B,MATCH($A47,Data!$A:$A,0))</f>
        <v/>
      </c>
      <c r="C47" s="17">
        <f>INDEX(Data!$D:$D,MATCH($A47,Data!$A:$A,0))</f>
        <v/>
      </c>
      <c r="D47" s="16">
        <f>SUMIFS(Data!$G:$G,Data!$A:$A,$A47,Data!$F:$F,"gen_coal_twh")</f>
        <v/>
      </c>
      <c r="E47" s="16">
        <f>SUMIFS(Data!$G:$G,Data!$A:$A,$A47,Data!$F:$F,"gen_gas_twh")</f>
        <v/>
      </c>
      <c r="F47" s="16">
        <f>SUMIFS(Data!$G:$G,Data!$A:$A,$A47,Data!$F:$F,"gen_oil_twh")</f>
        <v/>
      </c>
      <c r="G47" s="16">
        <f>SUMIFS(Data!$G:$G,Data!$A:$A,$A47,Data!$F:$F,"gen_total_twh")</f>
        <v/>
      </c>
      <c r="H47" s="16">
        <f>SUMIFS(Data!$G:$G,Data!$A:$A,$A47,Data!$F:$F,"em_coal_mt")</f>
        <v/>
      </c>
      <c r="I47" s="16">
        <f>SUMIFS(Data!$G:$G,Data!$A:$A,$A47,Data!$F:$F,"em_gas_mt")</f>
        <v/>
      </c>
      <c r="J47" s="16">
        <f>SUMIFS(Data!$G:$G,Data!$A:$A,$A47,Data!$F:$F,"em_oil_mt")</f>
        <v/>
      </c>
      <c r="K47" s="28">
        <f>IF(COUNTIFS(Data!$A:$A,$A47,Data!$F:$F,"price_electricity_residential_usd_kwh")=0,"",SUMIFS(Data!$G:$G,Data!$A:$A,$A47,Data!$F:$F,"price_electricity_residential_usd_kwh"))</f>
        <v/>
      </c>
      <c r="L47" s="28">
        <f>IF(COUNTIFS(Data!$A:$A,$A47,Data!$F:$F,"price_coal_power_usd_gj")=0,"",SUMIFS(Data!$G:$G,Data!$A:$A,$A47,Data!$F:$F,"price_coal_power_usd_gj"))</f>
        <v/>
      </c>
      <c r="M47" s="28">
        <f>IF(COUNTIFS(Data!$A:$A,$A47,Data!$F:$F,"price_gas_power_usd_gj")=0,"",SUMIFS(Data!$G:$G,Data!$A:$A,$A47,Data!$F:$F,"price_gas_power_usd_gj"))</f>
        <v/>
      </c>
      <c r="N47" s="28">
        <f>IF(COUNTIFS(Data!$A:$A,$A47,Data!$F:$F,"price_gas_industry_usd_gj")=0,"",SUMIFS(Data!$G:$G,Data!$A:$A,$A47,Data!$F:$F,"price_gas_industry_usd_gj"))</f>
        <v/>
      </c>
      <c r="O47" s="28">
        <f>IF(COUNTIFS(Data!$A:$A,$A47,Data!$F:$F,"power_market_structure")=0,"",SUMIFS(Data!$G:$G,Data!$A:$A,$A47,Data!$F:$F,"power_market_structure"))</f>
        <v/>
      </c>
      <c r="P47" s="28">
        <f>IF(COUNTIFS(Data!$A:$A,$A47,Data!$F:$F,"rise_renewable_energy_score")=0,"",SUMIFS(Data!$G:$G,Data!$A:$A,$A47,Data!$F:$F,"rise_renewable_energy_score"))</f>
        <v/>
      </c>
      <c r="Q47" s="16">
        <f>H47+I47+J47</f>
        <v/>
      </c>
      <c r="R47" s="28">
        <f>Q47/G47</f>
        <v/>
      </c>
      <c r="S47" s="28">
        <f>IF(D47&gt;0,H47/D47,0.85)</f>
        <v/>
      </c>
      <c r="T47" s="28">
        <f>IF(E47&gt;0,I47/E47,0.4)</f>
        <v/>
      </c>
      <c r="U47" s="28">
        <f>IF(D47+F47&gt;0,(H47+J47)/(D47+F47),0)</f>
        <v/>
      </c>
      <c r="V47" s="16">
        <f>K47*1000</f>
        <v/>
      </c>
      <c r="W47" s="15">
        <f>IF(O47=3,in_pt3,IF(O47=2,in_pt2,IF(O47=1,in_pt1,IF(C47="High income",in_pt_hi,in_pt_oth))))</f>
        <v/>
      </c>
      <c r="X47" s="28">
        <f>IF(Q47&gt;0,in_kappa*(in_rise_lo+(in_rise_hi-in_rise_lo)*IF(P47="",in_rise_miss,P47)/100)*(D47+F47)*MAX(U47-in_gas_rep*T47,0)/Q47,0)</f>
        <v/>
      </c>
      <c r="Y47" s="16">
        <f>IF(IF(M47="",N47,M47)="",MAX(in_sw_floor,in_sw_miss),MAX(in_sw_floor,(IF(M47="",N47,M47)*in_hr_gas-L47*in_hr_coal)/MAX(S47-T47,0.1)))</f>
        <v/>
      </c>
      <c r="Z47" s="28">
        <f>IF(C47="Low income",in_b40_li,IF(C47="Lower middle income",in_b40_lmi,IF(C47="Upper middle income",in_b40_umi,IF(C47="High income",in_b40_hi,0.03))))</f>
        <v/>
      </c>
      <c r="AA47" s="15">
        <f>(D47+F47)/G47</f>
        <v/>
      </c>
      <c r="AB47" s="28">
        <f>100*W47*R47/V47/in_phase</f>
        <v/>
      </c>
      <c r="AC47" s="29">
        <f>100*Z47*W47*R47/V47*(1-IF(W47&gt;0,MIN(in_rebate/(W47*in_res_sh*in_q40),1),1))</f>
        <v/>
      </c>
      <c r="AD47" s="28">
        <f>IF(AA47&gt;0,100*U47*(1-W47)/(in_whole_sh*V47),0)</f>
        <v/>
      </c>
      <c r="AE47" s="28">
        <f>IF(AA47&gt;0,100*MAX(U47-R47,0)/(in_whole_sh*V47),0)</f>
        <v/>
      </c>
      <c r="AF47" s="16">
        <f>IF(AB47&gt;0,in_f1/AB47,in_cap)</f>
        <v/>
      </c>
      <c r="AG47" s="16">
        <f>IF(AC47&gt;0,in_f2/AC47,in_cap)</f>
        <v/>
      </c>
      <c r="AH47" s="16">
        <f>IF(AD47&gt;0,in_f3/AD47,in_cap)</f>
        <v/>
      </c>
      <c r="AI47" s="16">
        <f>MIN(in_cap,AF47,AG47,AH47)</f>
        <v/>
      </c>
      <c r="AJ47" s="30">
        <f>100*(1-(1-X47*(1-EXP(-((AI47)+(0))/Y47)))*(1-MIN(ABS(in_elas)*W47*R47*(AI47)/V47,1)))</f>
        <v/>
      </c>
      <c r="AK47" s="17">
        <f>IF(AI47&gt;=in_cap-1E-9,"rate cap",TRIM(IF(ABS(AI47-AF47)&lt;1E-9,"F1 ","")&amp;IF(ABS(AI47-AG47)&lt;1E-9,"F2 ","")&amp;IF(ABS(AI47-AH47)&lt;1E-9,"F3","")))</f>
        <v/>
      </c>
      <c r="AL47" s="15">
        <f>100*(1-(1-X47*(1-EXP(-((MIN(in_cap,IF(AB47&gt;0,(in_f1+1)/AB47,in_cap),AG47,AH47))+(0))/Y47)))*(1-MIN(ABS(in_elas)*W47*R47*(MIN(in_cap,IF(AB47&gt;0,(in_f1+1)/AB47,in_cap),AG47,AH47))/V47,1)))-AJ47</f>
        <v/>
      </c>
      <c r="AM47" s="16">
        <f>MIN(in_cap,IF(AE47&gt;0,in_f3/AE47,in_cap))</f>
        <v/>
      </c>
      <c r="AN47" s="30">
        <f>100*(1-(1-X47*(1-EXP(-((0)+(AM47))/Y47)))*(1-MIN(ABS(in_elas)*W47*R47*(0)/V47,1)))</f>
        <v/>
      </c>
      <c r="AO47" s="17">
        <f>IF(AM47&gt;=in_cap-1E-9,"rate cap","F3")</f>
        <v/>
      </c>
      <c r="AP47" s="15">
        <f>100*(1-(1-X47*(1-EXP(-((50)+(0))/Y47)))*(1-MIN(ABS(in_elas)*W47*R47*(50)/V47,1)))</f>
        <v/>
      </c>
      <c r="AQ47" s="15">
        <f>100*(1-(1-X47*(1-EXP(-((0)+(50))/Y47)))*(1-MIN(ABS(in_elas)*W47*R47*(0)/V47,1)))</f>
        <v/>
      </c>
      <c r="AR47" s="15">
        <f>IF(AP47&gt;0,AQ47/AP47,"")</f>
        <v/>
      </c>
      <c r="AS47" s="16">
        <f>50*AB47</f>
        <v/>
      </c>
      <c r="AT47" s="30">
        <f>MAX(BM47:BW47)</f>
        <v/>
      </c>
      <c r="AU47" s="31">
        <f>AI47*(MATCH(AT47,BM47:BW47,0)-1)/10</f>
        <v/>
      </c>
      <c r="AV47" s="31">
        <f>INDEX(BB47:BL47,1,(MATCH(AT47,BM47:BW47,0)-1)+1)</f>
        <v/>
      </c>
      <c r="AW47" s="31">
        <f>AB47*AU47</f>
        <v/>
      </c>
      <c r="AX47" s="30">
        <f>AC47*AU47</f>
        <v/>
      </c>
      <c r="AY47" s="31">
        <f>AD47*AU47+AE47*AV47</f>
        <v/>
      </c>
      <c r="AZ47" s="32">
        <f>TRIM(IF(AND(AU47&gt;0,ABS(AU47-AF47)&lt;1E-6),"F1 ","")&amp;IF(AND(AU47&gt;0,ABS(AU47-AG47)&lt;1E-6),"F2 ","")&amp;IF(AY47&gt;=in_f3-1E-6,"F3 ","")&amp;IF(AV47&gt;=in_cap-1E-9,"rate cap",""))</f>
        <v/>
      </c>
      <c r="BA47" s="31">
        <f>Q47*AT47/100</f>
        <v/>
      </c>
      <c r="BB47" s="16">
        <f>MAX(0,MIN(in_cap,IF(AE47&gt;0,(in_f3-AD47*AI47*0/10)/AE47,in_cap)))</f>
        <v/>
      </c>
      <c r="BC47" s="16">
        <f>MAX(0,MIN(in_cap,IF(AE47&gt;0,(in_f3-AD47*AI47*1/10)/AE47,in_cap)))</f>
        <v/>
      </c>
      <c r="BD47" s="16">
        <f>MAX(0,MIN(in_cap,IF(AE47&gt;0,(in_f3-AD47*AI47*2/10)/AE47,in_cap)))</f>
        <v/>
      </c>
      <c r="BE47" s="16">
        <f>MAX(0,MIN(in_cap,IF(AE47&gt;0,(in_f3-AD47*AI47*3/10)/AE47,in_cap)))</f>
        <v/>
      </c>
      <c r="BF47" s="16">
        <f>MAX(0,MIN(in_cap,IF(AE47&gt;0,(in_f3-AD47*AI47*4/10)/AE47,in_cap)))</f>
        <v/>
      </c>
      <c r="BG47" s="16">
        <f>MAX(0,MIN(in_cap,IF(AE47&gt;0,(in_f3-AD47*AI47*5/10)/AE47,in_cap)))</f>
        <v/>
      </c>
      <c r="BH47" s="16">
        <f>MAX(0,MIN(in_cap,IF(AE47&gt;0,(in_f3-AD47*AI47*6/10)/AE47,in_cap)))</f>
        <v/>
      </c>
      <c r="BI47" s="16">
        <f>MAX(0,MIN(in_cap,IF(AE47&gt;0,(in_f3-AD47*AI47*7/10)/AE47,in_cap)))</f>
        <v/>
      </c>
      <c r="BJ47" s="16">
        <f>MAX(0,MIN(in_cap,IF(AE47&gt;0,(in_f3-AD47*AI47*8/10)/AE47,in_cap)))</f>
        <v/>
      </c>
      <c r="BK47" s="16">
        <f>MAX(0,MIN(in_cap,IF(AE47&gt;0,(in_f3-AD47*AI47*9/10)/AE47,in_cap)))</f>
        <v/>
      </c>
      <c r="BL47" s="16">
        <f>MAX(0,MIN(in_cap,IF(AE47&gt;0,(in_f3-AD47*AI47*10/10)/AE47,in_cap)))</f>
        <v/>
      </c>
      <c r="BM47" s="15">
        <f>100*(1-(1-X47*(1-EXP(-((AI47*0/10)+(BB47))/Y47)))*(1-MIN(ABS(in_elas)*W47*R47*(AI47*0/10)/V47,1)))</f>
        <v/>
      </c>
      <c r="BN47" s="15">
        <f>100*(1-(1-X47*(1-EXP(-((AI47*1/10)+(BC47))/Y47)))*(1-MIN(ABS(in_elas)*W47*R47*(AI47*1/10)/V47,1)))</f>
        <v/>
      </c>
      <c r="BO47" s="15">
        <f>100*(1-(1-X47*(1-EXP(-((AI47*2/10)+(BD47))/Y47)))*(1-MIN(ABS(in_elas)*W47*R47*(AI47*2/10)/V47,1)))</f>
        <v/>
      </c>
      <c r="BP47" s="15">
        <f>100*(1-(1-X47*(1-EXP(-((AI47*3/10)+(BE47))/Y47)))*(1-MIN(ABS(in_elas)*W47*R47*(AI47*3/10)/V47,1)))</f>
        <v/>
      </c>
      <c r="BQ47" s="15">
        <f>100*(1-(1-X47*(1-EXP(-((AI47*4/10)+(BF47))/Y47)))*(1-MIN(ABS(in_elas)*W47*R47*(AI47*4/10)/V47,1)))</f>
        <v/>
      </c>
      <c r="BR47" s="15">
        <f>100*(1-(1-X47*(1-EXP(-((AI47*5/10)+(BG47))/Y47)))*(1-MIN(ABS(in_elas)*W47*R47*(AI47*5/10)/V47,1)))</f>
        <v/>
      </c>
      <c r="BS47" s="15">
        <f>100*(1-(1-X47*(1-EXP(-((AI47*6/10)+(BH47))/Y47)))*(1-MIN(ABS(in_elas)*W47*R47*(AI47*6/10)/V47,1)))</f>
        <v/>
      </c>
      <c r="BT47" s="15">
        <f>100*(1-(1-X47*(1-EXP(-((AI47*7/10)+(BI47))/Y47)))*(1-MIN(ABS(in_elas)*W47*R47*(AI47*7/10)/V47,1)))</f>
        <v/>
      </c>
      <c r="BU47" s="15">
        <f>100*(1-(1-X47*(1-EXP(-((AI47*8/10)+(BJ47))/Y47)))*(1-MIN(ABS(in_elas)*W47*R47*(AI47*8/10)/V47,1)))</f>
        <v/>
      </c>
      <c r="BV47" s="15">
        <f>100*(1-(1-X47*(1-EXP(-((AI47*9/10)+(BK47))/Y47)))*(1-MIN(ABS(in_elas)*W47*R47*(AI47*9/10)/V47,1)))</f>
        <v/>
      </c>
      <c r="BW47" s="15">
        <f>100*(1-(1-X47*(1-EXP(-((AI47*10/10)+(BL47))/Y47)))*(1-MIN(ABS(in_elas)*W47*R47*(AI47*10/10)/V47,1)))</f>
        <v/>
      </c>
    </row>
    <row r="48">
      <c r="A48" s="17" t="inlineStr">
        <is>
          <t>ECU</t>
        </is>
      </c>
      <c r="B48" s="17">
        <f>INDEX(Data!$B:$B,MATCH($A48,Data!$A:$A,0))</f>
        <v/>
      </c>
      <c r="C48" s="17">
        <f>INDEX(Data!$D:$D,MATCH($A48,Data!$A:$A,0))</f>
        <v/>
      </c>
      <c r="D48" s="16">
        <f>SUMIFS(Data!$G:$G,Data!$A:$A,$A48,Data!$F:$F,"gen_coal_twh")</f>
        <v/>
      </c>
      <c r="E48" s="16">
        <f>SUMIFS(Data!$G:$G,Data!$A:$A,$A48,Data!$F:$F,"gen_gas_twh")</f>
        <v/>
      </c>
      <c r="F48" s="16">
        <f>SUMIFS(Data!$G:$G,Data!$A:$A,$A48,Data!$F:$F,"gen_oil_twh")</f>
        <v/>
      </c>
      <c r="G48" s="16">
        <f>SUMIFS(Data!$G:$G,Data!$A:$A,$A48,Data!$F:$F,"gen_total_twh")</f>
        <v/>
      </c>
      <c r="H48" s="16">
        <f>SUMIFS(Data!$G:$G,Data!$A:$A,$A48,Data!$F:$F,"em_coal_mt")</f>
        <v/>
      </c>
      <c r="I48" s="16">
        <f>SUMIFS(Data!$G:$G,Data!$A:$A,$A48,Data!$F:$F,"em_gas_mt")</f>
        <v/>
      </c>
      <c r="J48" s="16">
        <f>SUMIFS(Data!$G:$G,Data!$A:$A,$A48,Data!$F:$F,"em_oil_mt")</f>
        <v/>
      </c>
      <c r="K48" s="28">
        <f>IF(COUNTIFS(Data!$A:$A,$A48,Data!$F:$F,"price_electricity_residential_usd_kwh")=0,"",SUMIFS(Data!$G:$G,Data!$A:$A,$A48,Data!$F:$F,"price_electricity_residential_usd_kwh"))</f>
        <v/>
      </c>
      <c r="L48" s="28">
        <f>IF(COUNTIFS(Data!$A:$A,$A48,Data!$F:$F,"price_coal_power_usd_gj")=0,"",SUMIFS(Data!$G:$G,Data!$A:$A,$A48,Data!$F:$F,"price_coal_power_usd_gj"))</f>
        <v/>
      </c>
      <c r="M48" s="28">
        <f>IF(COUNTIFS(Data!$A:$A,$A48,Data!$F:$F,"price_gas_power_usd_gj")=0,"",SUMIFS(Data!$G:$G,Data!$A:$A,$A48,Data!$F:$F,"price_gas_power_usd_gj"))</f>
        <v/>
      </c>
      <c r="N48" s="28">
        <f>IF(COUNTIFS(Data!$A:$A,$A48,Data!$F:$F,"price_gas_industry_usd_gj")=0,"",SUMIFS(Data!$G:$G,Data!$A:$A,$A48,Data!$F:$F,"price_gas_industry_usd_gj"))</f>
        <v/>
      </c>
      <c r="O48" s="28">
        <f>IF(COUNTIFS(Data!$A:$A,$A48,Data!$F:$F,"power_market_structure")=0,"",SUMIFS(Data!$G:$G,Data!$A:$A,$A48,Data!$F:$F,"power_market_structure"))</f>
        <v/>
      </c>
      <c r="P48" s="28">
        <f>IF(COUNTIFS(Data!$A:$A,$A48,Data!$F:$F,"rise_renewable_energy_score")=0,"",SUMIFS(Data!$G:$G,Data!$A:$A,$A48,Data!$F:$F,"rise_renewable_energy_score"))</f>
        <v/>
      </c>
      <c r="Q48" s="16">
        <f>H48+I48+J48</f>
        <v/>
      </c>
      <c r="R48" s="28">
        <f>Q48/G48</f>
        <v/>
      </c>
      <c r="S48" s="28">
        <f>IF(D48&gt;0,H48/D48,0.85)</f>
        <v/>
      </c>
      <c r="T48" s="28">
        <f>IF(E48&gt;0,I48/E48,0.4)</f>
        <v/>
      </c>
      <c r="U48" s="28">
        <f>IF(D48+F48&gt;0,(H48+J48)/(D48+F48),0)</f>
        <v/>
      </c>
      <c r="V48" s="16">
        <f>K48*1000</f>
        <v/>
      </c>
      <c r="W48" s="15">
        <f>IF(O48=3,in_pt3,IF(O48=2,in_pt2,IF(O48=1,in_pt1,IF(C48="High income",in_pt_hi,in_pt_oth))))</f>
        <v/>
      </c>
      <c r="X48" s="28">
        <f>IF(Q48&gt;0,in_kappa*(in_rise_lo+(in_rise_hi-in_rise_lo)*IF(P48="",in_rise_miss,P48)/100)*(D48+F48)*MAX(U48-in_gas_rep*T48,0)/Q48,0)</f>
        <v/>
      </c>
      <c r="Y48" s="16">
        <f>IF(IF(M48="",N48,M48)="",MAX(in_sw_floor,in_sw_miss),MAX(in_sw_floor,(IF(M48="",N48,M48)*in_hr_gas-L48*in_hr_coal)/MAX(S48-T48,0.1)))</f>
        <v/>
      </c>
      <c r="Z48" s="28">
        <f>IF(C48="Low income",in_b40_li,IF(C48="Lower middle income",in_b40_lmi,IF(C48="Upper middle income",in_b40_umi,IF(C48="High income",in_b40_hi,0.03))))</f>
        <v/>
      </c>
      <c r="AA48" s="15">
        <f>(D48+F48)/G48</f>
        <v/>
      </c>
      <c r="AB48" s="28">
        <f>100*W48*R48/V48/in_phase</f>
        <v/>
      </c>
      <c r="AC48" s="29">
        <f>100*Z48*W48*R48/V48*(1-IF(W48&gt;0,MIN(in_rebate/(W48*in_res_sh*in_q40),1),1))</f>
        <v/>
      </c>
      <c r="AD48" s="28">
        <f>IF(AA48&gt;0,100*U48*(1-W48)/(in_whole_sh*V48),0)</f>
        <v/>
      </c>
      <c r="AE48" s="28">
        <f>IF(AA48&gt;0,100*MAX(U48-R48,0)/(in_whole_sh*V48),0)</f>
        <v/>
      </c>
      <c r="AF48" s="16">
        <f>IF(AB48&gt;0,in_f1/AB48,in_cap)</f>
        <v/>
      </c>
      <c r="AG48" s="16">
        <f>IF(AC48&gt;0,in_f2/AC48,in_cap)</f>
        <v/>
      </c>
      <c r="AH48" s="16">
        <f>IF(AD48&gt;0,in_f3/AD48,in_cap)</f>
        <v/>
      </c>
      <c r="AI48" s="16">
        <f>MIN(in_cap,AF48,AG48,AH48)</f>
        <v/>
      </c>
      <c r="AJ48" s="30">
        <f>100*(1-(1-X48*(1-EXP(-((AI48)+(0))/Y48)))*(1-MIN(ABS(in_elas)*W48*R48*(AI48)/V48,1)))</f>
        <v/>
      </c>
      <c r="AK48" s="17">
        <f>IF(AI48&gt;=in_cap-1E-9,"rate cap",TRIM(IF(ABS(AI48-AF48)&lt;1E-9,"F1 ","")&amp;IF(ABS(AI48-AG48)&lt;1E-9,"F2 ","")&amp;IF(ABS(AI48-AH48)&lt;1E-9,"F3","")))</f>
        <v/>
      </c>
      <c r="AL48" s="15">
        <f>100*(1-(1-X48*(1-EXP(-((MIN(in_cap,IF(AB48&gt;0,(in_f1+1)/AB48,in_cap),AG48,AH48))+(0))/Y48)))*(1-MIN(ABS(in_elas)*W48*R48*(MIN(in_cap,IF(AB48&gt;0,(in_f1+1)/AB48,in_cap),AG48,AH48))/V48,1)))-AJ48</f>
        <v/>
      </c>
      <c r="AM48" s="16">
        <f>MIN(in_cap,IF(AE48&gt;0,in_f3/AE48,in_cap))</f>
        <v/>
      </c>
      <c r="AN48" s="30">
        <f>100*(1-(1-X48*(1-EXP(-((0)+(AM48))/Y48)))*(1-MIN(ABS(in_elas)*W48*R48*(0)/V48,1)))</f>
        <v/>
      </c>
      <c r="AO48" s="17">
        <f>IF(AM48&gt;=in_cap-1E-9,"rate cap","F3")</f>
        <v/>
      </c>
      <c r="AP48" s="15">
        <f>100*(1-(1-X48*(1-EXP(-((50)+(0))/Y48)))*(1-MIN(ABS(in_elas)*W48*R48*(50)/V48,1)))</f>
        <v/>
      </c>
      <c r="AQ48" s="15">
        <f>100*(1-(1-X48*(1-EXP(-((0)+(50))/Y48)))*(1-MIN(ABS(in_elas)*W48*R48*(0)/V48,1)))</f>
        <v/>
      </c>
      <c r="AR48" s="15">
        <f>IF(AP48&gt;0,AQ48/AP48,"")</f>
        <v/>
      </c>
      <c r="AS48" s="16">
        <f>50*AB48</f>
        <v/>
      </c>
      <c r="AT48" s="30">
        <f>MAX(BM48:BW48)</f>
        <v/>
      </c>
      <c r="AU48" s="31">
        <f>AI48*(MATCH(AT48,BM48:BW48,0)-1)/10</f>
        <v/>
      </c>
      <c r="AV48" s="31">
        <f>INDEX(BB48:BL48,1,(MATCH(AT48,BM48:BW48,0)-1)+1)</f>
        <v/>
      </c>
      <c r="AW48" s="31">
        <f>AB48*AU48</f>
        <v/>
      </c>
      <c r="AX48" s="30">
        <f>AC48*AU48</f>
        <v/>
      </c>
      <c r="AY48" s="31">
        <f>AD48*AU48+AE48*AV48</f>
        <v/>
      </c>
      <c r="AZ48" s="32">
        <f>TRIM(IF(AND(AU48&gt;0,ABS(AU48-AF48)&lt;1E-6),"F1 ","")&amp;IF(AND(AU48&gt;0,ABS(AU48-AG48)&lt;1E-6),"F2 ","")&amp;IF(AY48&gt;=in_f3-1E-6,"F3 ","")&amp;IF(AV48&gt;=in_cap-1E-9,"rate cap",""))</f>
        <v/>
      </c>
      <c r="BA48" s="31">
        <f>Q48*AT48/100</f>
        <v/>
      </c>
      <c r="BB48" s="16">
        <f>MAX(0,MIN(in_cap,IF(AE48&gt;0,(in_f3-AD48*AI48*0/10)/AE48,in_cap)))</f>
        <v/>
      </c>
      <c r="BC48" s="16">
        <f>MAX(0,MIN(in_cap,IF(AE48&gt;0,(in_f3-AD48*AI48*1/10)/AE48,in_cap)))</f>
        <v/>
      </c>
      <c r="BD48" s="16">
        <f>MAX(0,MIN(in_cap,IF(AE48&gt;0,(in_f3-AD48*AI48*2/10)/AE48,in_cap)))</f>
        <v/>
      </c>
      <c r="BE48" s="16">
        <f>MAX(0,MIN(in_cap,IF(AE48&gt;0,(in_f3-AD48*AI48*3/10)/AE48,in_cap)))</f>
        <v/>
      </c>
      <c r="BF48" s="16">
        <f>MAX(0,MIN(in_cap,IF(AE48&gt;0,(in_f3-AD48*AI48*4/10)/AE48,in_cap)))</f>
        <v/>
      </c>
      <c r="BG48" s="16">
        <f>MAX(0,MIN(in_cap,IF(AE48&gt;0,(in_f3-AD48*AI48*5/10)/AE48,in_cap)))</f>
        <v/>
      </c>
      <c r="BH48" s="16">
        <f>MAX(0,MIN(in_cap,IF(AE48&gt;0,(in_f3-AD48*AI48*6/10)/AE48,in_cap)))</f>
        <v/>
      </c>
      <c r="BI48" s="16">
        <f>MAX(0,MIN(in_cap,IF(AE48&gt;0,(in_f3-AD48*AI48*7/10)/AE48,in_cap)))</f>
        <v/>
      </c>
      <c r="BJ48" s="16">
        <f>MAX(0,MIN(in_cap,IF(AE48&gt;0,(in_f3-AD48*AI48*8/10)/AE48,in_cap)))</f>
        <v/>
      </c>
      <c r="BK48" s="16">
        <f>MAX(0,MIN(in_cap,IF(AE48&gt;0,(in_f3-AD48*AI48*9/10)/AE48,in_cap)))</f>
        <v/>
      </c>
      <c r="BL48" s="16">
        <f>MAX(0,MIN(in_cap,IF(AE48&gt;0,(in_f3-AD48*AI48*10/10)/AE48,in_cap)))</f>
        <v/>
      </c>
      <c r="BM48" s="15">
        <f>100*(1-(1-X48*(1-EXP(-((AI48*0/10)+(BB48))/Y48)))*(1-MIN(ABS(in_elas)*W48*R48*(AI48*0/10)/V48,1)))</f>
        <v/>
      </c>
      <c r="BN48" s="15">
        <f>100*(1-(1-X48*(1-EXP(-((AI48*1/10)+(BC48))/Y48)))*(1-MIN(ABS(in_elas)*W48*R48*(AI48*1/10)/V48,1)))</f>
        <v/>
      </c>
      <c r="BO48" s="15">
        <f>100*(1-(1-X48*(1-EXP(-((AI48*2/10)+(BD48))/Y48)))*(1-MIN(ABS(in_elas)*W48*R48*(AI48*2/10)/V48,1)))</f>
        <v/>
      </c>
      <c r="BP48" s="15">
        <f>100*(1-(1-X48*(1-EXP(-((AI48*3/10)+(BE48))/Y48)))*(1-MIN(ABS(in_elas)*W48*R48*(AI48*3/10)/V48,1)))</f>
        <v/>
      </c>
      <c r="BQ48" s="15">
        <f>100*(1-(1-X48*(1-EXP(-((AI48*4/10)+(BF48))/Y48)))*(1-MIN(ABS(in_elas)*W48*R48*(AI48*4/10)/V48,1)))</f>
        <v/>
      </c>
      <c r="BR48" s="15">
        <f>100*(1-(1-X48*(1-EXP(-((AI48*5/10)+(BG48))/Y48)))*(1-MIN(ABS(in_elas)*W48*R48*(AI48*5/10)/V48,1)))</f>
        <v/>
      </c>
      <c r="BS48" s="15">
        <f>100*(1-(1-X48*(1-EXP(-((AI48*6/10)+(BH48))/Y48)))*(1-MIN(ABS(in_elas)*W48*R48*(AI48*6/10)/V48,1)))</f>
        <v/>
      </c>
      <c r="BT48" s="15">
        <f>100*(1-(1-X48*(1-EXP(-((AI48*7/10)+(BI48))/Y48)))*(1-MIN(ABS(in_elas)*W48*R48*(AI48*7/10)/V48,1)))</f>
        <v/>
      </c>
      <c r="BU48" s="15">
        <f>100*(1-(1-X48*(1-EXP(-((AI48*8/10)+(BJ48))/Y48)))*(1-MIN(ABS(in_elas)*W48*R48*(AI48*8/10)/V48,1)))</f>
        <v/>
      </c>
      <c r="BV48" s="15">
        <f>100*(1-(1-X48*(1-EXP(-((AI48*9/10)+(BK48))/Y48)))*(1-MIN(ABS(in_elas)*W48*R48*(AI48*9/10)/V48,1)))</f>
        <v/>
      </c>
      <c r="BW48" s="15">
        <f>100*(1-(1-X48*(1-EXP(-((AI48*10/10)+(BL48))/Y48)))*(1-MIN(ABS(in_elas)*W48*R48*(AI48*10/10)/V48,1)))</f>
        <v/>
      </c>
    </row>
    <row r="49">
      <c r="A49" s="17" t="inlineStr">
        <is>
          <t>EGY</t>
        </is>
      </c>
      <c r="B49" s="17">
        <f>INDEX(Data!$B:$B,MATCH($A49,Data!$A:$A,0))</f>
        <v/>
      </c>
      <c r="C49" s="17">
        <f>INDEX(Data!$D:$D,MATCH($A49,Data!$A:$A,0))</f>
        <v/>
      </c>
      <c r="D49" s="16">
        <f>SUMIFS(Data!$G:$G,Data!$A:$A,$A49,Data!$F:$F,"gen_coal_twh")</f>
        <v/>
      </c>
      <c r="E49" s="16">
        <f>SUMIFS(Data!$G:$G,Data!$A:$A,$A49,Data!$F:$F,"gen_gas_twh")</f>
        <v/>
      </c>
      <c r="F49" s="16">
        <f>SUMIFS(Data!$G:$G,Data!$A:$A,$A49,Data!$F:$F,"gen_oil_twh")</f>
        <v/>
      </c>
      <c r="G49" s="16">
        <f>SUMIFS(Data!$G:$G,Data!$A:$A,$A49,Data!$F:$F,"gen_total_twh")</f>
        <v/>
      </c>
      <c r="H49" s="16">
        <f>SUMIFS(Data!$G:$G,Data!$A:$A,$A49,Data!$F:$F,"em_coal_mt")</f>
        <v/>
      </c>
      <c r="I49" s="16">
        <f>SUMIFS(Data!$G:$G,Data!$A:$A,$A49,Data!$F:$F,"em_gas_mt")</f>
        <v/>
      </c>
      <c r="J49" s="16">
        <f>SUMIFS(Data!$G:$G,Data!$A:$A,$A49,Data!$F:$F,"em_oil_mt")</f>
        <v/>
      </c>
      <c r="K49" s="28">
        <f>IF(COUNTIFS(Data!$A:$A,$A49,Data!$F:$F,"price_electricity_residential_usd_kwh")=0,"",SUMIFS(Data!$G:$G,Data!$A:$A,$A49,Data!$F:$F,"price_electricity_residential_usd_kwh"))</f>
        <v/>
      </c>
      <c r="L49" s="28">
        <f>IF(COUNTIFS(Data!$A:$A,$A49,Data!$F:$F,"price_coal_power_usd_gj")=0,"",SUMIFS(Data!$G:$G,Data!$A:$A,$A49,Data!$F:$F,"price_coal_power_usd_gj"))</f>
        <v/>
      </c>
      <c r="M49" s="28">
        <f>IF(COUNTIFS(Data!$A:$A,$A49,Data!$F:$F,"price_gas_power_usd_gj")=0,"",SUMIFS(Data!$G:$G,Data!$A:$A,$A49,Data!$F:$F,"price_gas_power_usd_gj"))</f>
        <v/>
      </c>
      <c r="N49" s="28">
        <f>IF(COUNTIFS(Data!$A:$A,$A49,Data!$F:$F,"price_gas_industry_usd_gj")=0,"",SUMIFS(Data!$G:$G,Data!$A:$A,$A49,Data!$F:$F,"price_gas_industry_usd_gj"))</f>
        <v/>
      </c>
      <c r="O49" s="28">
        <f>IF(COUNTIFS(Data!$A:$A,$A49,Data!$F:$F,"power_market_structure")=0,"",SUMIFS(Data!$G:$G,Data!$A:$A,$A49,Data!$F:$F,"power_market_structure"))</f>
        <v/>
      </c>
      <c r="P49" s="28">
        <f>IF(COUNTIFS(Data!$A:$A,$A49,Data!$F:$F,"rise_renewable_energy_score")=0,"",SUMIFS(Data!$G:$G,Data!$A:$A,$A49,Data!$F:$F,"rise_renewable_energy_score"))</f>
        <v/>
      </c>
      <c r="Q49" s="16">
        <f>H49+I49+J49</f>
        <v/>
      </c>
      <c r="R49" s="28">
        <f>Q49/G49</f>
        <v/>
      </c>
      <c r="S49" s="28">
        <f>IF(D49&gt;0,H49/D49,0.85)</f>
        <v/>
      </c>
      <c r="T49" s="28">
        <f>IF(E49&gt;0,I49/E49,0.4)</f>
        <v/>
      </c>
      <c r="U49" s="28">
        <f>IF(D49+F49&gt;0,(H49+J49)/(D49+F49),0)</f>
        <v/>
      </c>
      <c r="V49" s="16">
        <f>K49*1000</f>
        <v/>
      </c>
      <c r="W49" s="15">
        <f>IF(O49=3,in_pt3,IF(O49=2,in_pt2,IF(O49=1,in_pt1,IF(C49="High income",in_pt_hi,in_pt_oth))))</f>
        <v/>
      </c>
      <c r="X49" s="28">
        <f>IF(Q49&gt;0,in_kappa*(in_rise_lo+(in_rise_hi-in_rise_lo)*IF(P49="",in_rise_miss,P49)/100)*(D49+F49)*MAX(U49-in_gas_rep*T49,0)/Q49,0)</f>
        <v/>
      </c>
      <c r="Y49" s="16">
        <f>IF(IF(M49="",N49,M49)="",MAX(in_sw_floor,in_sw_miss),MAX(in_sw_floor,(IF(M49="",N49,M49)*in_hr_gas-L49*in_hr_coal)/MAX(S49-T49,0.1)))</f>
        <v/>
      </c>
      <c r="Z49" s="28">
        <f>IF(C49="Low income",in_b40_li,IF(C49="Lower middle income",in_b40_lmi,IF(C49="Upper middle income",in_b40_umi,IF(C49="High income",in_b40_hi,0.03))))</f>
        <v/>
      </c>
      <c r="AA49" s="15">
        <f>(D49+F49)/G49</f>
        <v/>
      </c>
      <c r="AB49" s="28">
        <f>100*W49*R49/V49/in_phase</f>
        <v/>
      </c>
      <c r="AC49" s="29">
        <f>100*Z49*W49*R49/V49*(1-IF(W49&gt;0,MIN(in_rebate/(W49*in_res_sh*in_q40),1),1))</f>
        <v/>
      </c>
      <c r="AD49" s="28">
        <f>IF(AA49&gt;0,100*U49*(1-W49)/(in_whole_sh*V49),0)</f>
        <v/>
      </c>
      <c r="AE49" s="28">
        <f>IF(AA49&gt;0,100*MAX(U49-R49,0)/(in_whole_sh*V49),0)</f>
        <v/>
      </c>
      <c r="AF49" s="16">
        <f>IF(AB49&gt;0,in_f1/AB49,in_cap)</f>
        <v/>
      </c>
      <c r="AG49" s="16">
        <f>IF(AC49&gt;0,in_f2/AC49,in_cap)</f>
        <v/>
      </c>
      <c r="AH49" s="16">
        <f>IF(AD49&gt;0,in_f3/AD49,in_cap)</f>
        <v/>
      </c>
      <c r="AI49" s="16">
        <f>MIN(in_cap,AF49,AG49,AH49)</f>
        <v/>
      </c>
      <c r="AJ49" s="30">
        <f>100*(1-(1-X49*(1-EXP(-((AI49)+(0))/Y49)))*(1-MIN(ABS(in_elas)*W49*R49*(AI49)/V49,1)))</f>
        <v/>
      </c>
      <c r="AK49" s="17">
        <f>IF(AI49&gt;=in_cap-1E-9,"rate cap",TRIM(IF(ABS(AI49-AF49)&lt;1E-9,"F1 ","")&amp;IF(ABS(AI49-AG49)&lt;1E-9,"F2 ","")&amp;IF(ABS(AI49-AH49)&lt;1E-9,"F3","")))</f>
        <v/>
      </c>
      <c r="AL49" s="15">
        <f>100*(1-(1-X49*(1-EXP(-((MIN(in_cap,IF(AB49&gt;0,(in_f1+1)/AB49,in_cap),AG49,AH49))+(0))/Y49)))*(1-MIN(ABS(in_elas)*W49*R49*(MIN(in_cap,IF(AB49&gt;0,(in_f1+1)/AB49,in_cap),AG49,AH49))/V49,1)))-AJ49</f>
        <v/>
      </c>
      <c r="AM49" s="16">
        <f>MIN(in_cap,IF(AE49&gt;0,in_f3/AE49,in_cap))</f>
        <v/>
      </c>
      <c r="AN49" s="30">
        <f>100*(1-(1-X49*(1-EXP(-((0)+(AM49))/Y49)))*(1-MIN(ABS(in_elas)*W49*R49*(0)/V49,1)))</f>
        <v/>
      </c>
      <c r="AO49" s="17">
        <f>IF(AM49&gt;=in_cap-1E-9,"rate cap","F3")</f>
        <v/>
      </c>
      <c r="AP49" s="15">
        <f>100*(1-(1-X49*(1-EXP(-((50)+(0))/Y49)))*(1-MIN(ABS(in_elas)*W49*R49*(50)/V49,1)))</f>
        <v/>
      </c>
      <c r="AQ49" s="15">
        <f>100*(1-(1-X49*(1-EXP(-((0)+(50))/Y49)))*(1-MIN(ABS(in_elas)*W49*R49*(0)/V49,1)))</f>
        <v/>
      </c>
      <c r="AR49" s="15">
        <f>IF(AP49&gt;0,AQ49/AP49,"")</f>
        <v/>
      </c>
      <c r="AS49" s="16">
        <f>50*AB49</f>
        <v/>
      </c>
      <c r="AT49" s="30">
        <f>MAX(BM49:BW49)</f>
        <v/>
      </c>
      <c r="AU49" s="31">
        <f>AI49*(MATCH(AT49,BM49:BW49,0)-1)/10</f>
        <v/>
      </c>
      <c r="AV49" s="31">
        <f>INDEX(BB49:BL49,1,(MATCH(AT49,BM49:BW49,0)-1)+1)</f>
        <v/>
      </c>
      <c r="AW49" s="31">
        <f>AB49*AU49</f>
        <v/>
      </c>
      <c r="AX49" s="30">
        <f>AC49*AU49</f>
        <v/>
      </c>
      <c r="AY49" s="31">
        <f>AD49*AU49+AE49*AV49</f>
        <v/>
      </c>
      <c r="AZ49" s="32">
        <f>TRIM(IF(AND(AU49&gt;0,ABS(AU49-AF49)&lt;1E-6),"F1 ","")&amp;IF(AND(AU49&gt;0,ABS(AU49-AG49)&lt;1E-6),"F2 ","")&amp;IF(AY49&gt;=in_f3-1E-6,"F3 ","")&amp;IF(AV49&gt;=in_cap-1E-9,"rate cap",""))</f>
        <v/>
      </c>
      <c r="BA49" s="31">
        <f>Q49*AT49/100</f>
        <v/>
      </c>
      <c r="BB49" s="16">
        <f>MAX(0,MIN(in_cap,IF(AE49&gt;0,(in_f3-AD49*AI49*0/10)/AE49,in_cap)))</f>
        <v/>
      </c>
      <c r="BC49" s="16">
        <f>MAX(0,MIN(in_cap,IF(AE49&gt;0,(in_f3-AD49*AI49*1/10)/AE49,in_cap)))</f>
        <v/>
      </c>
      <c r="BD49" s="16">
        <f>MAX(0,MIN(in_cap,IF(AE49&gt;0,(in_f3-AD49*AI49*2/10)/AE49,in_cap)))</f>
        <v/>
      </c>
      <c r="BE49" s="16">
        <f>MAX(0,MIN(in_cap,IF(AE49&gt;0,(in_f3-AD49*AI49*3/10)/AE49,in_cap)))</f>
        <v/>
      </c>
      <c r="BF49" s="16">
        <f>MAX(0,MIN(in_cap,IF(AE49&gt;0,(in_f3-AD49*AI49*4/10)/AE49,in_cap)))</f>
        <v/>
      </c>
      <c r="BG49" s="16">
        <f>MAX(0,MIN(in_cap,IF(AE49&gt;0,(in_f3-AD49*AI49*5/10)/AE49,in_cap)))</f>
        <v/>
      </c>
      <c r="BH49" s="16">
        <f>MAX(0,MIN(in_cap,IF(AE49&gt;0,(in_f3-AD49*AI49*6/10)/AE49,in_cap)))</f>
        <v/>
      </c>
      <c r="BI49" s="16">
        <f>MAX(0,MIN(in_cap,IF(AE49&gt;0,(in_f3-AD49*AI49*7/10)/AE49,in_cap)))</f>
        <v/>
      </c>
      <c r="BJ49" s="16">
        <f>MAX(0,MIN(in_cap,IF(AE49&gt;0,(in_f3-AD49*AI49*8/10)/AE49,in_cap)))</f>
        <v/>
      </c>
      <c r="BK49" s="16">
        <f>MAX(0,MIN(in_cap,IF(AE49&gt;0,(in_f3-AD49*AI49*9/10)/AE49,in_cap)))</f>
        <v/>
      </c>
      <c r="BL49" s="16">
        <f>MAX(0,MIN(in_cap,IF(AE49&gt;0,(in_f3-AD49*AI49*10/10)/AE49,in_cap)))</f>
        <v/>
      </c>
      <c r="BM49" s="15">
        <f>100*(1-(1-X49*(1-EXP(-((AI49*0/10)+(BB49))/Y49)))*(1-MIN(ABS(in_elas)*W49*R49*(AI49*0/10)/V49,1)))</f>
        <v/>
      </c>
      <c r="BN49" s="15">
        <f>100*(1-(1-X49*(1-EXP(-((AI49*1/10)+(BC49))/Y49)))*(1-MIN(ABS(in_elas)*W49*R49*(AI49*1/10)/V49,1)))</f>
        <v/>
      </c>
      <c r="BO49" s="15">
        <f>100*(1-(1-X49*(1-EXP(-((AI49*2/10)+(BD49))/Y49)))*(1-MIN(ABS(in_elas)*W49*R49*(AI49*2/10)/V49,1)))</f>
        <v/>
      </c>
      <c r="BP49" s="15">
        <f>100*(1-(1-X49*(1-EXP(-((AI49*3/10)+(BE49))/Y49)))*(1-MIN(ABS(in_elas)*W49*R49*(AI49*3/10)/V49,1)))</f>
        <v/>
      </c>
      <c r="BQ49" s="15">
        <f>100*(1-(1-X49*(1-EXP(-((AI49*4/10)+(BF49))/Y49)))*(1-MIN(ABS(in_elas)*W49*R49*(AI49*4/10)/V49,1)))</f>
        <v/>
      </c>
      <c r="BR49" s="15">
        <f>100*(1-(1-X49*(1-EXP(-((AI49*5/10)+(BG49))/Y49)))*(1-MIN(ABS(in_elas)*W49*R49*(AI49*5/10)/V49,1)))</f>
        <v/>
      </c>
      <c r="BS49" s="15">
        <f>100*(1-(1-X49*(1-EXP(-((AI49*6/10)+(BH49))/Y49)))*(1-MIN(ABS(in_elas)*W49*R49*(AI49*6/10)/V49,1)))</f>
        <v/>
      </c>
      <c r="BT49" s="15">
        <f>100*(1-(1-X49*(1-EXP(-((AI49*7/10)+(BI49))/Y49)))*(1-MIN(ABS(in_elas)*W49*R49*(AI49*7/10)/V49,1)))</f>
        <v/>
      </c>
      <c r="BU49" s="15">
        <f>100*(1-(1-X49*(1-EXP(-((AI49*8/10)+(BJ49))/Y49)))*(1-MIN(ABS(in_elas)*W49*R49*(AI49*8/10)/V49,1)))</f>
        <v/>
      </c>
      <c r="BV49" s="15">
        <f>100*(1-(1-X49*(1-EXP(-((AI49*9/10)+(BK49))/Y49)))*(1-MIN(ABS(in_elas)*W49*R49*(AI49*9/10)/V49,1)))</f>
        <v/>
      </c>
      <c r="BW49" s="15">
        <f>100*(1-(1-X49*(1-EXP(-((AI49*10/10)+(BL49))/Y49)))*(1-MIN(ABS(in_elas)*W49*R49*(AI49*10/10)/V49,1)))</f>
        <v/>
      </c>
    </row>
    <row r="50">
      <c r="A50" s="17" t="inlineStr">
        <is>
          <t>ESP</t>
        </is>
      </c>
      <c r="B50" s="17">
        <f>INDEX(Data!$B:$B,MATCH($A50,Data!$A:$A,0))</f>
        <v/>
      </c>
      <c r="C50" s="17">
        <f>INDEX(Data!$D:$D,MATCH($A50,Data!$A:$A,0))</f>
        <v/>
      </c>
      <c r="D50" s="16">
        <f>SUMIFS(Data!$G:$G,Data!$A:$A,$A50,Data!$F:$F,"gen_coal_twh")</f>
        <v/>
      </c>
      <c r="E50" s="16">
        <f>SUMIFS(Data!$G:$G,Data!$A:$A,$A50,Data!$F:$F,"gen_gas_twh")</f>
        <v/>
      </c>
      <c r="F50" s="16">
        <f>SUMIFS(Data!$G:$G,Data!$A:$A,$A50,Data!$F:$F,"gen_oil_twh")</f>
        <v/>
      </c>
      <c r="G50" s="16">
        <f>SUMIFS(Data!$G:$G,Data!$A:$A,$A50,Data!$F:$F,"gen_total_twh")</f>
        <v/>
      </c>
      <c r="H50" s="16">
        <f>SUMIFS(Data!$G:$G,Data!$A:$A,$A50,Data!$F:$F,"em_coal_mt")</f>
        <v/>
      </c>
      <c r="I50" s="16">
        <f>SUMIFS(Data!$G:$G,Data!$A:$A,$A50,Data!$F:$F,"em_gas_mt")</f>
        <v/>
      </c>
      <c r="J50" s="16">
        <f>SUMIFS(Data!$G:$G,Data!$A:$A,$A50,Data!$F:$F,"em_oil_mt")</f>
        <v/>
      </c>
      <c r="K50" s="28">
        <f>IF(COUNTIFS(Data!$A:$A,$A50,Data!$F:$F,"price_electricity_residential_usd_kwh")=0,"",SUMIFS(Data!$G:$G,Data!$A:$A,$A50,Data!$F:$F,"price_electricity_residential_usd_kwh"))</f>
        <v/>
      </c>
      <c r="L50" s="28">
        <f>IF(COUNTIFS(Data!$A:$A,$A50,Data!$F:$F,"price_coal_power_usd_gj")=0,"",SUMIFS(Data!$G:$G,Data!$A:$A,$A50,Data!$F:$F,"price_coal_power_usd_gj"))</f>
        <v/>
      </c>
      <c r="M50" s="28">
        <f>IF(COUNTIFS(Data!$A:$A,$A50,Data!$F:$F,"price_gas_power_usd_gj")=0,"",SUMIFS(Data!$G:$G,Data!$A:$A,$A50,Data!$F:$F,"price_gas_power_usd_gj"))</f>
        <v/>
      </c>
      <c r="N50" s="28">
        <f>IF(COUNTIFS(Data!$A:$A,$A50,Data!$F:$F,"price_gas_industry_usd_gj")=0,"",SUMIFS(Data!$G:$G,Data!$A:$A,$A50,Data!$F:$F,"price_gas_industry_usd_gj"))</f>
        <v/>
      </c>
      <c r="O50" s="28">
        <f>IF(COUNTIFS(Data!$A:$A,$A50,Data!$F:$F,"power_market_structure")=0,"",SUMIFS(Data!$G:$G,Data!$A:$A,$A50,Data!$F:$F,"power_market_structure"))</f>
        <v/>
      </c>
      <c r="P50" s="28">
        <f>IF(COUNTIFS(Data!$A:$A,$A50,Data!$F:$F,"rise_renewable_energy_score")=0,"",SUMIFS(Data!$G:$G,Data!$A:$A,$A50,Data!$F:$F,"rise_renewable_energy_score"))</f>
        <v/>
      </c>
      <c r="Q50" s="16">
        <f>H50+I50+J50</f>
        <v/>
      </c>
      <c r="R50" s="28">
        <f>Q50/G50</f>
        <v/>
      </c>
      <c r="S50" s="28">
        <f>IF(D50&gt;0,H50/D50,0.85)</f>
        <v/>
      </c>
      <c r="T50" s="28">
        <f>IF(E50&gt;0,I50/E50,0.4)</f>
        <v/>
      </c>
      <c r="U50" s="28">
        <f>IF(D50+F50&gt;0,(H50+J50)/(D50+F50),0)</f>
        <v/>
      </c>
      <c r="V50" s="16">
        <f>K50*1000</f>
        <v/>
      </c>
      <c r="W50" s="15">
        <f>IF(O50=3,in_pt3,IF(O50=2,in_pt2,IF(O50=1,in_pt1,IF(C50="High income",in_pt_hi,in_pt_oth))))</f>
        <v/>
      </c>
      <c r="X50" s="28">
        <f>IF(Q50&gt;0,in_kappa*(in_rise_lo+(in_rise_hi-in_rise_lo)*IF(P50="",in_rise_miss,P50)/100)*(D50+F50)*MAX(U50-in_gas_rep*T50,0)/Q50,0)</f>
        <v/>
      </c>
      <c r="Y50" s="16">
        <f>IF(IF(M50="",N50,M50)="",MAX(in_sw_floor,in_sw_miss),MAX(in_sw_floor,(IF(M50="",N50,M50)*in_hr_gas-L50*in_hr_coal)/MAX(S50-T50,0.1)))</f>
        <v/>
      </c>
      <c r="Z50" s="28">
        <f>IF(C50="Low income",in_b40_li,IF(C50="Lower middle income",in_b40_lmi,IF(C50="Upper middle income",in_b40_umi,IF(C50="High income",in_b40_hi,0.03))))</f>
        <v/>
      </c>
      <c r="AA50" s="15">
        <f>(D50+F50)/G50</f>
        <v/>
      </c>
      <c r="AB50" s="28">
        <f>100*W50*R50/V50/in_phase</f>
        <v/>
      </c>
      <c r="AC50" s="29">
        <f>100*Z50*W50*R50/V50*(1-IF(W50&gt;0,MIN(in_rebate/(W50*in_res_sh*in_q40),1),1))</f>
        <v/>
      </c>
      <c r="AD50" s="28">
        <f>IF(AA50&gt;0,100*U50*(1-W50)/(in_whole_sh*V50),0)</f>
        <v/>
      </c>
      <c r="AE50" s="28">
        <f>IF(AA50&gt;0,100*MAX(U50-R50,0)/(in_whole_sh*V50),0)</f>
        <v/>
      </c>
      <c r="AF50" s="16">
        <f>IF(AB50&gt;0,in_f1/AB50,in_cap)</f>
        <v/>
      </c>
      <c r="AG50" s="16">
        <f>IF(AC50&gt;0,in_f2/AC50,in_cap)</f>
        <v/>
      </c>
      <c r="AH50" s="16">
        <f>IF(AD50&gt;0,in_f3/AD50,in_cap)</f>
        <v/>
      </c>
      <c r="AI50" s="16">
        <f>MIN(in_cap,AF50,AG50,AH50)</f>
        <v/>
      </c>
      <c r="AJ50" s="30">
        <f>100*(1-(1-X50*(1-EXP(-((AI50)+(0))/Y50)))*(1-MIN(ABS(in_elas)*W50*R50*(AI50)/V50,1)))</f>
        <v/>
      </c>
      <c r="AK50" s="17">
        <f>IF(AI50&gt;=in_cap-1E-9,"rate cap",TRIM(IF(ABS(AI50-AF50)&lt;1E-9,"F1 ","")&amp;IF(ABS(AI50-AG50)&lt;1E-9,"F2 ","")&amp;IF(ABS(AI50-AH50)&lt;1E-9,"F3","")))</f>
        <v/>
      </c>
      <c r="AL50" s="15">
        <f>100*(1-(1-X50*(1-EXP(-((MIN(in_cap,IF(AB50&gt;0,(in_f1+1)/AB50,in_cap),AG50,AH50))+(0))/Y50)))*(1-MIN(ABS(in_elas)*W50*R50*(MIN(in_cap,IF(AB50&gt;0,(in_f1+1)/AB50,in_cap),AG50,AH50))/V50,1)))-AJ50</f>
        <v/>
      </c>
      <c r="AM50" s="16">
        <f>MIN(in_cap,IF(AE50&gt;0,in_f3/AE50,in_cap))</f>
        <v/>
      </c>
      <c r="AN50" s="30">
        <f>100*(1-(1-X50*(1-EXP(-((0)+(AM50))/Y50)))*(1-MIN(ABS(in_elas)*W50*R50*(0)/V50,1)))</f>
        <v/>
      </c>
      <c r="AO50" s="17">
        <f>IF(AM50&gt;=in_cap-1E-9,"rate cap","F3")</f>
        <v/>
      </c>
      <c r="AP50" s="15">
        <f>100*(1-(1-X50*(1-EXP(-((50)+(0))/Y50)))*(1-MIN(ABS(in_elas)*W50*R50*(50)/V50,1)))</f>
        <v/>
      </c>
      <c r="AQ50" s="15">
        <f>100*(1-(1-X50*(1-EXP(-((0)+(50))/Y50)))*(1-MIN(ABS(in_elas)*W50*R50*(0)/V50,1)))</f>
        <v/>
      </c>
      <c r="AR50" s="15">
        <f>IF(AP50&gt;0,AQ50/AP50,"")</f>
        <v/>
      </c>
      <c r="AS50" s="16">
        <f>50*AB50</f>
        <v/>
      </c>
      <c r="AT50" s="30">
        <f>MAX(BM50:BW50)</f>
        <v/>
      </c>
      <c r="AU50" s="31">
        <f>AI50*(MATCH(AT50,BM50:BW50,0)-1)/10</f>
        <v/>
      </c>
      <c r="AV50" s="31">
        <f>INDEX(BB50:BL50,1,(MATCH(AT50,BM50:BW50,0)-1)+1)</f>
        <v/>
      </c>
      <c r="AW50" s="31">
        <f>AB50*AU50</f>
        <v/>
      </c>
      <c r="AX50" s="30">
        <f>AC50*AU50</f>
        <v/>
      </c>
      <c r="AY50" s="31">
        <f>AD50*AU50+AE50*AV50</f>
        <v/>
      </c>
      <c r="AZ50" s="32">
        <f>TRIM(IF(AND(AU50&gt;0,ABS(AU50-AF50)&lt;1E-6),"F1 ","")&amp;IF(AND(AU50&gt;0,ABS(AU50-AG50)&lt;1E-6),"F2 ","")&amp;IF(AY50&gt;=in_f3-1E-6,"F3 ","")&amp;IF(AV50&gt;=in_cap-1E-9,"rate cap",""))</f>
        <v/>
      </c>
      <c r="BA50" s="31">
        <f>Q50*AT50/100</f>
        <v/>
      </c>
      <c r="BB50" s="16">
        <f>MAX(0,MIN(in_cap,IF(AE50&gt;0,(in_f3-AD50*AI50*0/10)/AE50,in_cap)))</f>
        <v/>
      </c>
      <c r="BC50" s="16">
        <f>MAX(0,MIN(in_cap,IF(AE50&gt;0,(in_f3-AD50*AI50*1/10)/AE50,in_cap)))</f>
        <v/>
      </c>
      <c r="BD50" s="16">
        <f>MAX(0,MIN(in_cap,IF(AE50&gt;0,(in_f3-AD50*AI50*2/10)/AE50,in_cap)))</f>
        <v/>
      </c>
      <c r="BE50" s="16">
        <f>MAX(0,MIN(in_cap,IF(AE50&gt;0,(in_f3-AD50*AI50*3/10)/AE50,in_cap)))</f>
        <v/>
      </c>
      <c r="BF50" s="16">
        <f>MAX(0,MIN(in_cap,IF(AE50&gt;0,(in_f3-AD50*AI50*4/10)/AE50,in_cap)))</f>
        <v/>
      </c>
      <c r="BG50" s="16">
        <f>MAX(0,MIN(in_cap,IF(AE50&gt;0,(in_f3-AD50*AI50*5/10)/AE50,in_cap)))</f>
        <v/>
      </c>
      <c r="BH50" s="16">
        <f>MAX(0,MIN(in_cap,IF(AE50&gt;0,(in_f3-AD50*AI50*6/10)/AE50,in_cap)))</f>
        <v/>
      </c>
      <c r="BI50" s="16">
        <f>MAX(0,MIN(in_cap,IF(AE50&gt;0,(in_f3-AD50*AI50*7/10)/AE50,in_cap)))</f>
        <v/>
      </c>
      <c r="BJ50" s="16">
        <f>MAX(0,MIN(in_cap,IF(AE50&gt;0,(in_f3-AD50*AI50*8/10)/AE50,in_cap)))</f>
        <v/>
      </c>
      <c r="BK50" s="16">
        <f>MAX(0,MIN(in_cap,IF(AE50&gt;0,(in_f3-AD50*AI50*9/10)/AE50,in_cap)))</f>
        <v/>
      </c>
      <c r="BL50" s="16">
        <f>MAX(0,MIN(in_cap,IF(AE50&gt;0,(in_f3-AD50*AI50*10/10)/AE50,in_cap)))</f>
        <v/>
      </c>
      <c r="BM50" s="15">
        <f>100*(1-(1-X50*(1-EXP(-((AI50*0/10)+(BB50))/Y50)))*(1-MIN(ABS(in_elas)*W50*R50*(AI50*0/10)/V50,1)))</f>
        <v/>
      </c>
      <c r="BN50" s="15">
        <f>100*(1-(1-X50*(1-EXP(-((AI50*1/10)+(BC50))/Y50)))*(1-MIN(ABS(in_elas)*W50*R50*(AI50*1/10)/V50,1)))</f>
        <v/>
      </c>
      <c r="BO50" s="15">
        <f>100*(1-(1-X50*(1-EXP(-((AI50*2/10)+(BD50))/Y50)))*(1-MIN(ABS(in_elas)*W50*R50*(AI50*2/10)/V50,1)))</f>
        <v/>
      </c>
      <c r="BP50" s="15">
        <f>100*(1-(1-X50*(1-EXP(-((AI50*3/10)+(BE50))/Y50)))*(1-MIN(ABS(in_elas)*W50*R50*(AI50*3/10)/V50,1)))</f>
        <v/>
      </c>
      <c r="BQ50" s="15">
        <f>100*(1-(1-X50*(1-EXP(-((AI50*4/10)+(BF50))/Y50)))*(1-MIN(ABS(in_elas)*W50*R50*(AI50*4/10)/V50,1)))</f>
        <v/>
      </c>
      <c r="BR50" s="15">
        <f>100*(1-(1-X50*(1-EXP(-((AI50*5/10)+(BG50))/Y50)))*(1-MIN(ABS(in_elas)*W50*R50*(AI50*5/10)/V50,1)))</f>
        <v/>
      </c>
      <c r="BS50" s="15">
        <f>100*(1-(1-X50*(1-EXP(-((AI50*6/10)+(BH50))/Y50)))*(1-MIN(ABS(in_elas)*W50*R50*(AI50*6/10)/V50,1)))</f>
        <v/>
      </c>
      <c r="BT50" s="15">
        <f>100*(1-(1-X50*(1-EXP(-((AI50*7/10)+(BI50))/Y50)))*(1-MIN(ABS(in_elas)*W50*R50*(AI50*7/10)/V50,1)))</f>
        <v/>
      </c>
      <c r="BU50" s="15">
        <f>100*(1-(1-X50*(1-EXP(-((AI50*8/10)+(BJ50))/Y50)))*(1-MIN(ABS(in_elas)*W50*R50*(AI50*8/10)/V50,1)))</f>
        <v/>
      </c>
      <c r="BV50" s="15">
        <f>100*(1-(1-X50*(1-EXP(-((AI50*9/10)+(BK50))/Y50)))*(1-MIN(ABS(in_elas)*W50*R50*(AI50*9/10)/V50,1)))</f>
        <v/>
      </c>
      <c r="BW50" s="15">
        <f>100*(1-(1-X50*(1-EXP(-((AI50*10/10)+(BL50))/Y50)))*(1-MIN(ABS(in_elas)*W50*R50*(AI50*10/10)/V50,1)))</f>
        <v/>
      </c>
    </row>
    <row r="51">
      <c r="A51" s="17" t="inlineStr">
        <is>
          <t>EST</t>
        </is>
      </c>
      <c r="B51" s="17">
        <f>INDEX(Data!$B:$B,MATCH($A51,Data!$A:$A,0))</f>
        <v/>
      </c>
      <c r="C51" s="17">
        <f>INDEX(Data!$D:$D,MATCH($A51,Data!$A:$A,0))</f>
        <v/>
      </c>
      <c r="D51" s="16">
        <f>SUMIFS(Data!$G:$G,Data!$A:$A,$A51,Data!$F:$F,"gen_coal_twh")</f>
        <v/>
      </c>
      <c r="E51" s="16">
        <f>SUMIFS(Data!$G:$G,Data!$A:$A,$A51,Data!$F:$F,"gen_gas_twh")</f>
        <v/>
      </c>
      <c r="F51" s="16">
        <f>SUMIFS(Data!$G:$G,Data!$A:$A,$A51,Data!$F:$F,"gen_oil_twh")</f>
        <v/>
      </c>
      <c r="G51" s="16">
        <f>SUMIFS(Data!$G:$G,Data!$A:$A,$A51,Data!$F:$F,"gen_total_twh")</f>
        <v/>
      </c>
      <c r="H51" s="16">
        <f>SUMIFS(Data!$G:$G,Data!$A:$A,$A51,Data!$F:$F,"em_coal_mt")</f>
        <v/>
      </c>
      <c r="I51" s="16">
        <f>SUMIFS(Data!$G:$G,Data!$A:$A,$A51,Data!$F:$F,"em_gas_mt")</f>
        <v/>
      </c>
      <c r="J51" s="16">
        <f>SUMIFS(Data!$G:$G,Data!$A:$A,$A51,Data!$F:$F,"em_oil_mt")</f>
        <v/>
      </c>
      <c r="K51" s="28">
        <f>IF(COUNTIFS(Data!$A:$A,$A51,Data!$F:$F,"price_electricity_residential_usd_kwh")=0,"",SUMIFS(Data!$G:$G,Data!$A:$A,$A51,Data!$F:$F,"price_electricity_residential_usd_kwh"))</f>
        <v/>
      </c>
      <c r="L51" s="28">
        <f>IF(COUNTIFS(Data!$A:$A,$A51,Data!$F:$F,"price_coal_power_usd_gj")=0,"",SUMIFS(Data!$G:$G,Data!$A:$A,$A51,Data!$F:$F,"price_coal_power_usd_gj"))</f>
        <v/>
      </c>
      <c r="M51" s="28">
        <f>IF(COUNTIFS(Data!$A:$A,$A51,Data!$F:$F,"price_gas_power_usd_gj")=0,"",SUMIFS(Data!$G:$G,Data!$A:$A,$A51,Data!$F:$F,"price_gas_power_usd_gj"))</f>
        <v/>
      </c>
      <c r="N51" s="28">
        <f>IF(COUNTIFS(Data!$A:$A,$A51,Data!$F:$F,"price_gas_industry_usd_gj")=0,"",SUMIFS(Data!$G:$G,Data!$A:$A,$A51,Data!$F:$F,"price_gas_industry_usd_gj"))</f>
        <v/>
      </c>
      <c r="O51" s="28">
        <f>IF(COUNTIFS(Data!$A:$A,$A51,Data!$F:$F,"power_market_structure")=0,"",SUMIFS(Data!$G:$G,Data!$A:$A,$A51,Data!$F:$F,"power_market_structure"))</f>
        <v/>
      </c>
      <c r="P51" s="28">
        <f>IF(COUNTIFS(Data!$A:$A,$A51,Data!$F:$F,"rise_renewable_energy_score")=0,"",SUMIFS(Data!$G:$G,Data!$A:$A,$A51,Data!$F:$F,"rise_renewable_energy_score"))</f>
        <v/>
      </c>
      <c r="Q51" s="16">
        <f>H51+I51+J51</f>
        <v/>
      </c>
      <c r="R51" s="28">
        <f>Q51/G51</f>
        <v/>
      </c>
      <c r="S51" s="28">
        <f>IF(D51&gt;0,H51/D51,0.85)</f>
        <v/>
      </c>
      <c r="T51" s="28">
        <f>IF(E51&gt;0,I51/E51,0.4)</f>
        <v/>
      </c>
      <c r="U51" s="28">
        <f>IF(D51+F51&gt;0,(H51+J51)/(D51+F51),0)</f>
        <v/>
      </c>
      <c r="V51" s="16">
        <f>K51*1000</f>
        <v/>
      </c>
      <c r="W51" s="15">
        <f>IF(O51=3,in_pt3,IF(O51=2,in_pt2,IF(O51=1,in_pt1,IF(C51="High income",in_pt_hi,in_pt_oth))))</f>
        <v/>
      </c>
      <c r="X51" s="28">
        <f>IF(Q51&gt;0,in_kappa*(in_rise_lo+(in_rise_hi-in_rise_lo)*IF(P51="",in_rise_miss,P51)/100)*(D51+F51)*MAX(U51-in_gas_rep*T51,0)/Q51,0)</f>
        <v/>
      </c>
      <c r="Y51" s="16">
        <f>IF(IF(M51="",N51,M51)="",MAX(in_sw_floor,in_sw_miss),MAX(in_sw_floor,(IF(M51="",N51,M51)*in_hr_gas-L51*in_hr_coal)/MAX(S51-T51,0.1)))</f>
        <v/>
      </c>
      <c r="Z51" s="28">
        <f>IF(C51="Low income",in_b40_li,IF(C51="Lower middle income",in_b40_lmi,IF(C51="Upper middle income",in_b40_umi,IF(C51="High income",in_b40_hi,0.03))))</f>
        <v/>
      </c>
      <c r="AA51" s="15">
        <f>(D51+F51)/G51</f>
        <v/>
      </c>
      <c r="AB51" s="28">
        <f>100*W51*R51/V51/in_phase</f>
        <v/>
      </c>
      <c r="AC51" s="29">
        <f>100*Z51*W51*R51/V51*(1-IF(W51&gt;0,MIN(in_rebate/(W51*in_res_sh*in_q40),1),1))</f>
        <v/>
      </c>
      <c r="AD51" s="28">
        <f>IF(AA51&gt;0,100*U51*(1-W51)/(in_whole_sh*V51),0)</f>
        <v/>
      </c>
      <c r="AE51" s="28">
        <f>IF(AA51&gt;0,100*MAX(U51-R51,0)/(in_whole_sh*V51),0)</f>
        <v/>
      </c>
      <c r="AF51" s="16">
        <f>IF(AB51&gt;0,in_f1/AB51,in_cap)</f>
        <v/>
      </c>
      <c r="AG51" s="16">
        <f>IF(AC51&gt;0,in_f2/AC51,in_cap)</f>
        <v/>
      </c>
      <c r="AH51" s="16">
        <f>IF(AD51&gt;0,in_f3/AD51,in_cap)</f>
        <v/>
      </c>
      <c r="AI51" s="16">
        <f>MIN(in_cap,AF51,AG51,AH51)</f>
        <v/>
      </c>
      <c r="AJ51" s="30">
        <f>100*(1-(1-X51*(1-EXP(-((AI51)+(0))/Y51)))*(1-MIN(ABS(in_elas)*W51*R51*(AI51)/V51,1)))</f>
        <v/>
      </c>
      <c r="AK51" s="17">
        <f>IF(AI51&gt;=in_cap-1E-9,"rate cap",TRIM(IF(ABS(AI51-AF51)&lt;1E-9,"F1 ","")&amp;IF(ABS(AI51-AG51)&lt;1E-9,"F2 ","")&amp;IF(ABS(AI51-AH51)&lt;1E-9,"F3","")))</f>
        <v/>
      </c>
      <c r="AL51" s="15">
        <f>100*(1-(1-X51*(1-EXP(-((MIN(in_cap,IF(AB51&gt;0,(in_f1+1)/AB51,in_cap),AG51,AH51))+(0))/Y51)))*(1-MIN(ABS(in_elas)*W51*R51*(MIN(in_cap,IF(AB51&gt;0,(in_f1+1)/AB51,in_cap),AG51,AH51))/V51,1)))-AJ51</f>
        <v/>
      </c>
      <c r="AM51" s="16">
        <f>MIN(in_cap,IF(AE51&gt;0,in_f3/AE51,in_cap))</f>
        <v/>
      </c>
      <c r="AN51" s="30">
        <f>100*(1-(1-X51*(1-EXP(-((0)+(AM51))/Y51)))*(1-MIN(ABS(in_elas)*W51*R51*(0)/V51,1)))</f>
        <v/>
      </c>
      <c r="AO51" s="17">
        <f>IF(AM51&gt;=in_cap-1E-9,"rate cap","F3")</f>
        <v/>
      </c>
      <c r="AP51" s="15">
        <f>100*(1-(1-X51*(1-EXP(-((50)+(0))/Y51)))*(1-MIN(ABS(in_elas)*W51*R51*(50)/V51,1)))</f>
        <v/>
      </c>
      <c r="AQ51" s="15">
        <f>100*(1-(1-X51*(1-EXP(-((0)+(50))/Y51)))*(1-MIN(ABS(in_elas)*W51*R51*(0)/V51,1)))</f>
        <v/>
      </c>
      <c r="AR51" s="15">
        <f>IF(AP51&gt;0,AQ51/AP51,"")</f>
        <v/>
      </c>
      <c r="AS51" s="16">
        <f>50*AB51</f>
        <v/>
      </c>
      <c r="AT51" s="30">
        <f>MAX(BM51:BW51)</f>
        <v/>
      </c>
      <c r="AU51" s="31">
        <f>AI51*(MATCH(AT51,BM51:BW51,0)-1)/10</f>
        <v/>
      </c>
      <c r="AV51" s="31">
        <f>INDEX(BB51:BL51,1,(MATCH(AT51,BM51:BW51,0)-1)+1)</f>
        <v/>
      </c>
      <c r="AW51" s="31">
        <f>AB51*AU51</f>
        <v/>
      </c>
      <c r="AX51" s="30">
        <f>AC51*AU51</f>
        <v/>
      </c>
      <c r="AY51" s="31">
        <f>AD51*AU51+AE51*AV51</f>
        <v/>
      </c>
      <c r="AZ51" s="32">
        <f>TRIM(IF(AND(AU51&gt;0,ABS(AU51-AF51)&lt;1E-6),"F1 ","")&amp;IF(AND(AU51&gt;0,ABS(AU51-AG51)&lt;1E-6),"F2 ","")&amp;IF(AY51&gt;=in_f3-1E-6,"F3 ","")&amp;IF(AV51&gt;=in_cap-1E-9,"rate cap",""))</f>
        <v/>
      </c>
      <c r="BA51" s="31">
        <f>Q51*AT51/100</f>
        <v/>
      </c>
      <c r="BB51" s="16">
        <f>MAX(0,MIN(in_cap,IF(AE51&gt;0,(in_f3-AD51*AI51*0/10)/AE51,in_cap)))</f>
        <v/>
      </c>
      <c r="BC51" s="16">
        <f>MAX(0,MIN(in_cap,IF(AE51&gt;0,(in_f3-AD51*AI51*1/10)/AE51,in_cap)))</f>
        <v/>
      </c>
      <c r="BD51" s="16">
        <f>MAX(0,MIN(in_cap,IF(AE51&gt;0,(in_f3-AD51*AI51*2/10)/AE51,in_cap)))</f>
        <v/>
      </c>
      <c r="BE51" s="16">
        <f>MAX(0,MIN(in_cap,IF(AE51&gt;0,(in_f3-AD51*AI51*3/10)/AE51,in_cap)))</f>
        <v/>
      </c>
      <c r="BF51" s="16">
        <f>MAX(0,MIN(in_cap,IF(AE51&gt;0,(in_f3-AD51*AI51*4/10)/AE51,in_cap)))</f>
        <v/>
      </c>
      <c r="BG51" s="16">
        <f>MAX(0,MIN(in_cap,IF(AE51&gt;0,(in_f3-AD51*AI51*5/10)/AE51,in_cap)))</f>
        <v/>
      </c>
      <c r="BH51" s="16">
        <f>MAX(0,MIN(in_cap,IF(AE51&gt;0,(in_f3-AD51*AI51*6/10)/AE51,in_cap)))</f>
        <v/>
      </c>
      <c r="BI51" s="16">
        <f>MAX(0,MIN(in_cap,IF(AE51&gt;0,(in_f3-AD51*AI51*7/10)/AE51,in_cap)))</f>
        <v/>
      </c>
      <c r="BJ51" s="16">
        <f>MAX(0,MIN(in_cap,IF(AE51&gt;0,(in_f3-AD51*AI51*8/10)/AE51,in_cap)))</f>
        <v/>
      </c>
      <c r="BK51" s="16">
        <f>MAX(0,MIN(in_cap,IF(AE51&gt;0,(in_f3-AD51*AI51*9/10)/AE51,in_cap)))</f>
        <v/>
      </c>
      <c r="BL51" s="16">
        <f>MAX(0,MIN(in_cap,IF(AE51&gt;0,(in_f3-AD51*AI51*10/10)/AE51,in_cap)))</f>
        <v/>
      </c>
      <c r="BM51" s="15">
        <f>100*(1-(1-X51*(1-EXP(-((AI51*0/10)+(BB51))/Y51)))*(1-MIN(ABS(in_elas)*W51*R51*(AI51*0/10)/V51,1)))</f>
        <v/>
      </c>
      <c r="BN51" s="15">
        <f>100*(1-(1-X51*(1-EXP(-((AI51*1/10)+(BC51))/Y51)))*(1-MIN(ABS(in_elas)*W51*R51*(AI51*1/10)/V51,1)))</f>
        <v/>
      </c>
      <c r="BO51" s="15">
        <f>100*(1-(1-X51*(1-EXP(-((AI51*2/10)+(BD51))/Y51)))*(1-MIN(ABS(in_elas)*W51*R51*(AI51*2/10)/V51,1)))</f>
        <v/>
      </c>
      <c r="BP51" s="15">
        <f>100*(1-(1-X51*(1-EXP(-((AI51*3/10)+(BE51))/Y51)))*(1-MIN(ABS(in_elas)*W51*R51*(AI51*3/10)/V51,1)))</f>
        <v/>
      </c>
      <c r="BQ51" s="15">
        <f>100*(1-(1-X51*(1-EXP(-((AI51*4/10)+(BF51))/Y51)))*(1-MIN(ABS(in_elas)*W51*R51*(AI51*4/10)/V51,1)))</f>
        <v/>
      </c>
      <c r="BR51" s="15">
        <f>100*(1-(1-X51*(1-EXP(-((AI51*5/10)+(BG51))/Y51)))*(1-MIN(ABS(in_elas)*W51*R51*(AI51*5/10)/V51,1)))</f>
        <v/>
      </c>
      <c r="BS51" s="15">
        <f>100*(1-(1-X51*(1-EXP(-((AI51*6/10)+(BH51))/Y51)))*(1-MIN(ABS(in_elas)*W51*R51*(AI51*6/10)/V51,1)))</f>
        <v/>
      </c>
      <c r="BT51" s="15">
        <f>100*(1-(1-X51*(1-EXP(-((AI51*7/10)+(BI51))/Y51)))*(1-MIN(ABS(in_elas)*W51*R51*(AI51*7/10)/V51,1)))</f>
        <v/>
      </c>
      <c r="BU51" s="15">
        <f>100*(1-(1-X51*(1-EXP(-((AI51*8/10)+(BJ51))/Y51)))*(1-MIN(ABS(in_elas)*W51*R51*(AI51*8/10)/V51,1)))</f>
        <v/>
      </c>
      <c r="BV51" s="15">
        <f>100*(1-(1-X51*(1-EXP(-((AI51*9/10)+(BK51))/Y51)))*(1-MIN(ABS(in_elas)*W51*R51*(AI51*9/10)/V51,1)))</f>
        <v/>
      </c>
      <c r="BW51" s="15">
        <f>100*(1-(1-X51*(1-EXP(-((AI51*10/10)+(BL51))/Y51)))*(1-MIN(ABS(in_elas)*W51*R51*(AI51*10/10)/V51,1)))</f>
        <v/>
      </c>
    </row>
    <row r="52">
      <c r="A52" s="17" t="inlineStr">
        <is>
          <t>FIN</t>
        </is>
      </c>
      <c r="B52" s="17">
        <f>INDEX(Data!$B:$B,MATCH($A52,Data!$A:$A,0))</f>
        <v/>
      </c>
      <c r="C52" s="17">
        <f>INDEX(Data!$D:$D,MATCH($A52,Data!$A:$A,0))</f>
        <v/>
      </c>
      <c r="D52" s="16">
        <f>SUMIFS(Data!$G:$G,Data!$A:$A,$A52,Data!$F:$F,"gen_coal_twh")</f>
        <v/>
      </c>
      <c r="E52" s="16">
        <f>SUMIFS(Data!$G:$G,Data!$A:$A,$A52,Data!$F:$F,"gen_gas_twh")</f>
        <v/>
      </c>
      <c r="F52" s="16">
        <f>SUMIFS(Data!$G:$G,Data!$A:$A,$A52,Data!$F:$F,"gen_oil_twh")</f>
        <v/>
      </c>
      <c r="G52" s="16">
        <f>SUMIFS(Data!$G:$G,Data!$A:$A,$A52,Data!$F:$F,"gen_total_twh")</f>
        <v/>
      </c>
      <c r="H52" s="16">
        <f>SUMIFS(Data!$G:$G,Data!$A:$A,$A52,Data!$F:$F,"em_coal_mt")</f>
        <v/>
      </c>
      <c r="I52" s="16">
        <f>SUMIFS(Data!$G:$G,Data!$A:$A,$A52,Data!$F:$F,"em_gas_mt")</f>
        <v/>
      </c>
      <c r="J52" s="16">
        <f>SUMIFS(Data!$G:$G,Data!$A:$A,$A52,Data!$F:$F,"em_oil_mt")</f>
        <v/>
      </c>
      <c r="K52" s="28">
        <f>IF(COUNTIFS(Data!$A:$A,$A52,Data!$F:$F,"price_electricity_residential_usd_kwh")=0,"",SUMIFS(Data!$G:$G,Data!$A:$A,$A52,Data!$F:$F,"price_electricity_residential_usd_kwh"))</f>
        <v/>
      </c>
      <c r="L52" s="28">
        <f>IF(COUNTIFS(Data!$A:$A,$A52,Data!$F:$F,"price_coal_power_usd_gj")=0,"",SUMIFS(Data!$G:$G,Data!$A:$A,$A52,Data!$F:$F,"price_coal_power_usd_gj"))</f>
        <v/>
      </c>
      <c r="M52" s="28">
        <f>IF(COUNTIFS(Data!$A:$A,$A52,Data!$F:$F,"price_gas_power_usd_gj")=0,"",SUMIFS(Data!$G:$G,Data!$A:$A,$A52,Data!$F:$F,"price_gas_power_usd_gj"))</f>
        <v/>
      </c>
      <c r="N52" s="28">
        <f>IF(COUNTIFS(Data!$A:$A,$A52,Data!$F:$F,"price_gas_industry_usd_gj")=0,"",SUMIFS(Data!$G:$G,Data!$A:$A,$A52,Data!$F:$F,"price_gas_industry_usd_gj"))</f>
        <v/>
      </c>
      <c r="O52" s="28">
        <f>IF(COUNTIFS(Data!$A:$A,$A52,Data!$F:$F,"power_market_structure")=0,"",SUMIFS(Data!$G:$G,Data!$A:$A,$A52,Data!$F:$F,"power_market_structure"))</f>
        <v/>
      </c>
      <c r="P52" s="28">
        <f>IF(COUNTIFS(Data!$A:$A,$A52,Data!$F:$F,"rise_renewable_energy_score")=0,"",SUMIFS(Data!$G:$G,Data!$A:$A,$A52,Data!$F:$F,"rise_renewable_energy_score"))</f>
        <v/>
      </c>
      <c r="Q52" s="16">
        <f>H52+I52+J52</f>
        <v/>
      </c>
      <c r="R52" s="28">
        <f>Q52/G52</f>
        <v/>
      </c>
      <c r="S52" s="28">
        <f>IF(D52&gt;0,H52/D52,0.85)</f>
        <v/>
      </c>
      <c r="T52" s="28">
        <f>IF(E52&gt;0,I52/E52,0.4)</f>
        <v/>
      </c>
      <c r="U52" s="28">
        <f>IF(D52+F52&gt;0,(H52+J52)/(D52+F52),0)</f>
        <v/>
      </c>
      <c r="V52" s="16">
        <f>K52*1000</f>
        <v/>
      </c>
      <c r="W52" s="15">
        <f>IF(O52=3,in_pt3,IF(O52=2,in_pt2,IF(O52=1,in_pt1,IF(C52="High income",in_pt_hi,in_pt_oth))))</f>
        <v/>
      </c>
      <c r="X52" s="28">
        <f>IF(Q52&gt;0,in_kappa*(in_rise_lo+(in_rise_hi-in_rise_lo)*IF(P52="",in_rise_miss,P52)/100)*(D52+F52)*MAX(U52-in_gas_rep*T52,0)/Q52,0)</f>
        <v/>
      </c>
      <c r="Y52" s="16">
        <f>IF(IF(M52="",N52,M52)="",MAX(in_sw_floor,in_sw_miss),MAX(in_sw_floor,(IF(M52="",N52,M52)*in_hr_gas-L52*in_hr_coal)/MAX(S52-T52,0.1)))</f>
        <v/>
      </c>
      <c r="Z52" s="28">
        <f>IF(C52="Low income",in_b40_li,IF(C52="Lower middle income",in_b40_lmi,IF(C52="Upper middle income",in_b40_umi,IF(C52="High income",in_b40_hi,0.03))))</f>
        <v/>
      </c>
      <c r="AA52" s="15">
        <f>(D52+F52)/G52</f>
        <v/>
      </c>
      <c r="AB52" s="28">
        <f>100*W52*R52/V52/in_phase</f>
        <v/>
      </c>
      <c r="AC52" s="29">
        <f>100*Z52*W52*R52/V52*(1-IF(W52&gt;0,MIN(in_rebate/(W52*in_res_sh*in_q40),1),1))</f>
        <v/>
      </c>
      <c r="AD52" s="28">
        <f>IF(AA52&gt;0,100*U52*(1-W52)/(in_whole_sh*V52),0)</f>
        <v/>
      </c>
      <c r="AE52" s="28">
        <f>IF(AA52&gt;0,100*MAX(U52-R52,0)/(in_whole_sh*V52),0)</f>
        <v/>
      </c>
      <c r="AF52" s="16">
        <f>IF(AB52&gt;0,in_f1/AB52,in_cap)</f>
        <v/>
      </c>
      <c r="AG52" s="16">
        <f>IF(AC52&gt;0,in_f2/AC52,in_cap)</f>
        <v/>
      </c>
      <c r="AH52" s="16">
        <f>IF(AD52&gt;0,in_f3/AD52,in_cap)</f>
        <v/>
      </c>
      <c r="AI52" s="16">
        <f>MIN(in_cap,AF52,AG52,AH52)</f>
        <v/>
      </c>
      <c r="AJ52" s="30">
        <f>100*(1-(1-X52*(1-EXP(-((AI52)+(0))/Y52)))*(1-MIN(ABS(in_elas)*W52*R52*(AI52)/V52,1)))</f>
        <v/>
      </c>
      <c r="AK52" s="17">
        <f>IF(AI52&gt;=in_cap-1E-9,"rate cap",TRIM(IF(ABS(AI52-AF52)&lt;1E-9,"F1 ","")&amp;IF(ABS(AI52-AG52)&lt;1E-9,"F2 ","")&amp;IF(ABS(AI52-AH52)&lt;1E-9,"F3","")))</f>
        <v/>
      </c>
      <c r="AL52" s="15">
        <f>100*(1-(1-X52*(1-EXP(-((MIN(in_cap,IF(AB52&gt;0,(in_f1+1)/AB52,in_cap),AG52,AH52))+(0))/Y52)))*(1-MIN(ABS(in_elas)*W52*R52*(MIN(in_cap,IF(AB52&gt;0,(in_f1+1)/AB52,in_cap),AG52,AH52))/V52,1)))-AJ52</f>
        <v/>
      </c>
      <c r="AM52" s="16">
        <f>MIN(in_cap,IF(AE52&gt;0,in_f3/AE52,in_cap))</f>
        <v/>
      </c>
      <c r="AN52" s="30">
        <f>100*(1-(1-X52*(1-EXP(-((0)+(AM52))/Y52)))*(1-MIN(ABS(in_elas)*W52*R52*(0)/V52,1)))</f>
        <v/>
      </c>
      <c r="AO52" s="17">
        <f>IF(AM52&gt;=in_cap-1E-9,"rate cap","F3")</f>
        <v/>
      </c>
      <c r="AP52" s="15">
        <f>100*(1-(1-X52*(1-EXP(-((50)+(0))/Y52)))*(1-MIN(ABS(in_elas)*W52*R52*(50)/V52,1)))</f>
        <v/>
      </c>
      <c r="AQ52" s="15">
        <f>100*(1-(1-X52*(1-EXP(-((0)+(50))/Y52)))*(1-MIN(ABS(in_elas)*W52*R52*(0)/V52,1)))</f>
        <v/>
      </c>
      <c r="AR52" s="15">
        <f>IF(AP52&gt;0,AQ52/AP52,"")</f>
        <v/>
      </c>
      <c r="AS52" s="16">
        <f>50*AB52</f>
        <v/>
      </c>
      <c r="AT52" s="30">
        <f>MAX(BM52:BW52)</f>
        <v/>
      </c>
      <c r="AU52" s="31">
        <f>AI52*(MATCH(AT52,BM52:BW52,0)-1)/10</f>
        <v/>
      </c>
      <c r="AV52" s="31">
        <f>INDEX(BB52:BL52,1,(MATCH(AT52,BM52:BW52,0)-1)+1)</f>
        <v/>
      </c>
      <c r="AW52" s="31">
        <f>AB52*AU52</f>
        <v/>
      </c>
      <c r="AX52" s="30">
        <f>AC52*AU52</f>
        <v/>
      </c>
      <c r="AY52" s="31">
        <f>AD52*AU52+AE52*AV52</f>
        <v/>
      </c>
      <c r="AZ52" s="32">
        <f>TRIM(IF(AND(AU52&gt;0,ABS(AU52-AF52)&lt;1E-6),"F1 ","")&amp;IF(AND(AU52&gt;0,ABS(AU52-AG52)&lt;1E-6),"F2 ","")&amp;IF(AY52&gt;=in_f3-1E-6,"F3 ","")&amp;IF(AV52&gt;=in_cap-1E-9,"rate cap",""))</f>
        <v/>
      </c>
      <c r="BA52" s="31">
        <f>Q52*AT52/100</f>
        <v/>
      </c>
      <c r="BB52" s="16">
        <f>MAX(0,MIN(in_cap,IF(AE52&gt;0,(in_f3-AD52*AI52*0/10)/AE52,in_cap)))</f>
        <v/>
      </c>
      <c r="BC52" s="16">
        <f>MAX(0,MIN(in_cap,IF(AE52&gt;0,(in_f3-AD52*AI52*1/10)/AE52,in_cap)))</f>
        <v/>
      </c>
      <c r="BD52" s="16">
        <f>MAX(0,MIN(in_cap,IF(AE52&gt;0,(in_f3-AD52*AI52*2/10)/AE52,in_cap)))</f>
        <v/>
      </c>
      <c r="BE52" s="16">
        <f>MAX(0,MIN(in_cap,IF(AE52&gt;0,(in_f3-AD52*AI52*3/10)/AE52,in_cap)))</f>
        <v/>
      </c>
      <c r="BF52" s="16">
        <f>MAX(0,MIN(in_cap,IF(AE52&gt;0,(in_f3-AD52*AI52*4/10)/AE52,in_cap)))</f>
        <v/>
      </c>
      <c r="BG52" s="16">
        <f>MAX(0,MIN(in_cap,IF(AE52&gt;0,(in_f3-AD52*AI52*5/10)/AE52,in_cap)))</f>
        <v/>
      </c>
      <c r="BH52" s="16">
        <f>MAX(0,MIN(in_cap,IF(AE52&gt;0,(in_f3-AD52*AI52*6/10)/AE52,in_cap)))</f>
        <v/>
      </c>
      <c r="BI52" s="16">
        <f>MAX(0,MIN(in_cap,IF(AE52&gt;0,(in_f3-AD52*AI52*7/10)/AE52,in_cap)))</f>
        <v/>
      </c>
      <c r="BJ52" s="16">
        <f>MAX(0,MIN(in_cap,IF(AE52&gt;0,(in_f3-AD52*AI52*8/10)/AE52,in_cap)))</f>
        <v/>
      </c>
      <c r="BK52" s="16">
        <f>MAX(0,MIN(in_cap,IF(AE52&gt;0,(in_f3-AD52*AI52*9/10)/AE52,in_cap)))</f>
        <v/>
      </c>
      <c r="BL52" s="16">
        <f>MAX(0,MIN(in_cap,IF(AE52&gt;0,(in_f3-AD52*AI52*10/10)/AE52,in_cap)))</f>
        <v/>
      </c>
      <c r="BM52" s="15">
        <f>100*(1-(1-X52*(1-EXP(-((AI52*0/10)+(BB52))/Y52)))*(1-MIN(ABS(in_elas)*W52*R52*(AI52*0/10)/V52,1)))</f>
        <v/>
      </c>
      <c r="BN52" s="15">
        <f>100*(1-(1-X52*(1-EXP(-((AI52*1/10)+(BC52))/Y52)))*(1-MIN(ABS(in_elas)*W52*R52*(AI52*1/10)/V52,1)))</f>
        <v/>
      </c>
      <c r="BO52" s="15">
        <f>100*(1-(1-X52*(1-EXP(-((AI52*2/10)+(BD52))/Y52)))*(1-MIN(ABS(in_elas)*W52*R52*(AI52*2/10)/V52,1)))</f>
        <v/>
      </c>
      <c r="BP52" s="15">
        <f>100*(1-(1-X52*(1-EXP(-((AI52*3/10)+(BE52))/Y52)))*(1-MIN(ABS(in_elas)*W52*R52*(AI52*3/10)/V52,1)))</f>
        <v/>
      </c>
      <c r="BQ52" s="15">
        <f>100*(1-(1-X52*(1-EXP(-((AI52*4/10)+(BF52))/Y52)))*(1-MIN(ABS(in_elas)*W52*R52*(AI52*4/10)/V52,1)))</f>
        <v/>
      </c>
      <c r="BR52" s="15">
        <f>100*(1-(1-X52*(1-EXP(-((AI52*5/10)+(BG52))/Y52)))*(1-MIN(ABS(in_elas)*W52*R52*(AI52*5/10)/V52,1)))</f>
        <v/>
      </c>
      <c r="BS52" s="15">
        <f>100*(1-(1-X52*(1-EXP(-((AI52*6/10)+(BH52))/Y52)))*(1-MIN(ABS(in_elas)*W52*R52*(AI52*6/10)/V52,1)))</f>
        <v/>
      </c>
      <c r="BT52" s="15">
        <f>100*(1-(1-X52*(1-EXP(-((AI52*7/10)+(BI52))/Y52)))*(1-MIN(ABS(in_elas)*W52*R52*(AI52*7/10)/V52,1)))</f>
        <v/>
      </c>
      <c r="BU52" s="15">
        <f>100*(1-(1-X52*(1-EXP(-((AI52*8/10)+(BJ52))/Y52)))*(1-MIN(ABS(in_elas)*W52*R52*(AI52*8/10)/V52,1)))</f>
        <v/>
      </c>
      <c r="BV52" s="15">
        <f>100*(1-(1-X52*(1-EXP(-((AI52*9/10)+(BK52))/Y52)))*(1-MIN(ABS(in_elas)*W52*R52*(AI52*9/10)/V52,1)))</f>
        <v/>
      </c>
      <c r="BW52" s="15">
        <f>100*(1-(1-X52*(1-EXP(-((AI52*10/10)+(BL52))/Y52)))*(1-MIN(ABS(in_elas)*W52*R52*(AI52*10/10)/V52,1)))</f>
        <v/>
      </c>
    </row>
    <row r="53">
      <c r="A53" s="17" t="inlineStr">
        <is>
          <t>FJI</t>
        </is>
      </c>
      <c r="B53" s="17">
        <f>INDEX(Data!$B:$B,MATCH($A53,Data!$A:$A,0))</f>
        <v/>
      </c>
      <c r="C53" s="17">
        <f>INDEX(Data!$D:$D,MATCH($A53,Data!$A:$A,0))</f>
        <v/>
      </c>
      <c r="D53" s="16">
        <f>SUMIFS(Data!$G:$G,Data!$A:$A,$A53,Data!$F:$F,"gen_coal_twh")</f>
        <v/>
      </c>
      <c r="E53" s="16">
        <f>SUMIFS(Data!$G:$G,Data!$A:$A,$A53,Data!$F:$F,"gen_gas_twh")</f>
        <v/>
      </c>
      <c r="F53" s="16">
        <f>SUMIFS(Data!$G:$G,Data!$A:$A,$A53,Data!$F:$F,"gen_oil_twh")</f>
        <v/>
      </c>
      <c r="G53" s="16">
        <f>SUMIFS(Data!$G:$G,Data!$A:$A,$A53,Data!$F:$F,"gen_total_twh")</f>
        <v/>
      </c>
      <c r="H53" s="16">
        <f>SUMIFS(Data!$G:$G,Data!$A:$A,$A53,Data!$F:$F,"em_coal_mt")</f>
        <v/>
      </c>
      <c r="I53" s="16">
        <f>SUMIFS(Data!$G:$G,Data!$A:$A,$A53,Data!$F:$F,"em_gas_mt")</f>
        <v/>
      </c>
      <c r="J53" s="16">
        <f>SUMIFS(Data!$G:$G,Data!$A:$A,$A53,Data!$F:$F,"em_oil_mt")</f>
        <v/>
      </c>
      <c r="K53" s="28">
        <f>IF(COUNTIFS(Data!$A:$A,$A53,Data!$F:$F,"price_electricity_residential_usd_kwh")=0,"",SUMIFS(Data!$G:$G,Data!$A:$A,$A53,Data!$F:$F,"price_electricity_residential_usd_kwh"))</f>
        <v/>
      </c>
      <c r="L53" s="28">
        <f>IF(COUNTIFS(Data!$A:$A,$A53,Data!$F:$F,"price_coal_power_usd_gj")=0,"",SUMIFS(Data!$G:$G,Data!$A:$A,$A53,Data!$F:$F,"price_coal_power_usd_gj"))</f>
        <v/>
      </c>
      <c r="M53" s="28">
        <f>IF(COUNTIFS(Data!$A:$A,$A53,Data!$F:$F,"price_gas_power_usd_gj")=0,"",SUMIFS(Data!$G:$G,Data!$A:$A,$A53,Data!$F:$F,"price_gas_power_usd_gj"))</f>
        <v/>
      </c>
      <c r="N53" s="28">
        <f>IF(COUNTIFS(Data!$A:$A,$A53,Data!$F:$F,"price_gas_industry_usd_gj")=0,"",SUMIFS(Data!$G:$G,Data!$A:$A,$A53,Data!$F:$F,"price_gas_industry_usd_gj"))</f>
        <v/>
      </c>
      <c r="O53" s="28">
        <f>IF(COUNTIFS(Data!$A:$A,$A53,Data!$F:$F,"power_market_structure")=0,"",SUMIFS(Data!$G:$G,Data!$A:$A,$A53,Data!$F:$F,"power_market_structure"))</f>
        <v/>
      </c>
      <c r="P53" s="28">
        <f>IF(COUNTIFS(Data!$A:$A,$A53,Data!$F:$F,"rise_renewable_energy_score")=0,"",SUMIFS(Data!$G:$G,Data!$A:$A,$A53,Data!$F:$F,"rise_renewable_energy_score"))</f>
        <v/>
      </c>
      <c r="Q53" s="16">
        <f>H53+I53+J53</f>
        <v/>
      </c>
      <c r="R53" s="28">
        <f>Q53/G53</f>
        <v/>
      </c>
      <c r="S53" s="28">
        <f>IF(D53&gt;0,H53/D53,0.85)</f>
        <v/>
      </c>
      <c r="T53" s="28">
        <f>IF(E53&gt;0,I53/E53,0.4)</f>
        <v/>
      </c>
      <c r="U53" s="28">
        <f>IF(D53+F53&gt;0,(H53+J53)/(D53+F53),0)</f>
        <v/>
      </c>
      <c r="V53" s="16">
        <f>K53*1000</f>
        <v/>
      </c>
      <c r="W53" s="15">
        <f>IF(O53=3,in_pt3,IF(O53=2,in_pt2,IF(O53=1,in_pt1,IF(C53="High income",in_pt_hi,in_pt_oth))))</f>
        <v/>
      </c>
      <c r="X53" s="28">
        <f>IF(Q53&gt;0,in_kappa*(in_rise_lo+(in_rise_hi-in_rise_lo)*IF(P53="",in_rise_miss,P53)/100)*(D53+F53)*MAX(U53-in_gas_rep*T53,0)/Q53,0)</f>
        <v/>
      </c>
      <c r="Y53" s="16">
        <f>IF(IF(M53="",N53,M53)="",MAX(in_sw_floor,in_sw_miss),MAX(in_sw_floor,(IF(M53="",N53,M53)*in_hr_gas-L53*in_hr_coal)/MAX(S53-T53,0.1)))</f>
        <v/>
      </c>
      <c r="Z53" s="28">
        <f>IF(C53="Low income",in_b40_li,IF(C53="Lower middle income",in_b40_lmi,IF(C53="Upper middle income",in_b40_umi,IF(C53="High income",in_b40_hi,0.03))))</f>
        <v/>
      </c>
      <c r="AA53" s="15">
        <f>(D53+F53)/G53</f>
        <v/>
      </c>
      <c r="AB53" s="28">
        <f>100*W53*R53/V53/in_phase</f>
        <v/>
      </c>
      <c r="AC53" s="29">
        <f>100*Z53*W53*R53/V53*(1-IF(W53&gt;0,MIN(in_rebate/(W53*in_res_sh*in_q40),1),1))</f>
        <v/>
      </c>
      <c r="AD53" s="28">
        <f>IF(AA53&gt;0,100*U53*(1-W53)/(in_whole_sh*V53),0)</f>
        <v/>
      </c>
      <c r="AE53" s="28">
        <f>IF(AA53&gt;0,100*MAX(U53-R53,0)/(in_whole_sh*V53),0)</f>
        <v/>
      </c>
      <c r="AF53" s="16">
        <f>IF(AB53&gt;0,in_f1/AB53,in_cap)</f>
        <v/>
      </c>
      <c r="AG53" s="16">
        <f>IF(AC53&gt;0,in_f2/AC53,in_cap)</f>
        <v/>
      </c>
      <c r="AH53" s="16">
        <f>IF(AD53&gt;0,in_f3/AD53,in_cap)</f>
        <v/>
      </c>
      <c r="AI53" s="16">
        <f>MIN(in_cap,AF53,AG53,AH53)</f>
        <v/>
      </c>
      <c r="AJ53" s="30">
        <f>100*(1-(1-X53*(1-EXP(-((AI53)+(0))/Y53)))*(1-MIN(ABS(in_elas)*W53*R53*(AI53)/V53,1)))</f>
        <v/>
      </c>
      <c r="AK53" s="17">
        <f>IF(AI53&gt;=in_cap-1E-9,"rate cap",TRIM(IF(ABS(AI53-AF53)&lt;1E-9,"F1 ","")&amp;IF(ABS(AI53-AG53)&lt;1E-9,"F2 ","")&amp;IF(ABS(AI53-AH53)&lt;1E-9,"F3","")))</f>
        <v/>
      </c>
      <c r="AL53" s="15">
        <f>100*(1-(1-X53*(1-EXP(-((MIN(in_cap,IF(AB53&gt;0,(in_f1+1)/AB53,in_cap),AG53,AH53))+(0))/Y53)))*(1-MIN(ABS(in_elas)*W53*R53*(MIN(in_cap,IF(AB53&gt;0,(in_f1+1)/AB53,in_cap),AG53,AH53))/V53,1)))-AJ53</f>
        <v/>
      </c>
      <c r="AM53" s="16">
        <f>MIN(in_cap,IF(AE53&gt;0,in_f3/AE53,in_cap))</f>
        <v/>
      </c>
      <c r="AN53" s="30">
        <f>100*(1-(1-X53*(1-EXP(-((0)+(AM53))/Y53)))*(1-MIN(ABS(in_elas)*W53*R53*(0)/V53,1)))</f>
        <v/>
      </c>
      <c r="AO53" s="17">
        <f>IF(AM53&gt;=in_cap-1E-9,"rate cap","F3")</f>
        <v/>
      </c>
      <c r="AP53" s="15">
        <f>100*(1-(1-X53*(1-EXP(-((50)+(0))/Y53)))*(1-MIN(ABS(in_elas)*W53*R53*(50)/V53,1)))</f>
        <v/>
      </c>
      <c r="AQ53" s="15">
        <f>100*(1-(1-X53*(1-EXP(-((0)+(50))/Y53)))*(1-MIN(ABS(in_elas)*W53*R53*(0)/V53,1)))</f>
        <v/>
      </c>
      <c r="AR53" s="15">
        <f>IF(AP53&gt;0,AQ53/AP53,"")</f>
        <v/>
      </c>
      <c r="AS53" s="16">
        <f>50*AB53</f>
        <v/>
      </c>
      <c r="AT53" s="30">
        <f>MAX(BM53:BW53)</f>
        <v/>
      </c>
      <c r="AU53" s="31">
        <f>AI53*(MATCH(AT53,BM53:BW53,0)-1)/10</f>
        <v/>
      </c>
      <c r="AV53" s="31">
        <f>INDEX(BB53:BL53,1,(MATCH(AT53,BM53:BW53,0)-1)+1)</f>
        <v/>
      </c>
      <c r="AW53" s="31">
        <f>AB53*AU53</f>
        <v/>
      </c>
      <c r="AX53" s="30">
        <f>AC53*AU53</f>
        <v/>
      </c>
      <c r="AY53" s="31">
        <f>AD53*AU53+AE53*AV53</f>
        <v/>
      </c>
      <c r="AZ53" s="32">
        <f>TRIM(IF(AND(AU53&gt;0,ABS(AU53-AF53)&lt;1E-6),"F1 ","")&amp;IF(AND(AU53&gt;0,ABS(AU53-AG53)&lt;1E-6),"F2 ","")&amp;IF(AY53&gt;=in_f3-1E-6,"F3 ","")&amp;IF(AV53&gt;=in_cap-1E-9,"rate cap",""))</f>
        <v/>
      </c>
      <c r="BA53" s="31">
        <f>Q53*AT53/100</f>
        <v/>
      </c>
      <c r="BB53" s="16">
        <f>MAX(0,MIN(in_cap,IF(AE53&gt;0,(in_f3-AD53*AI53*0/10)/AE53,in_cap)))</f>
        <v/>
      </c>
      <c r="BC53" s="16">
        <f>MAX(0,MIN(in_cap,IF(AE53&gt;0,(in_f3-AD53*AI53*1/10)/AE53,in_cap)))</f>
        <v/>
      </c>
      <c r="BD53" s="16">
        <f>MAX(0,MIN(in_cap,IF(AE53&gt;0,(in_f3-AD53*AI53*2/10)/AE53,in_cap)))</f>
        <v/>
      </c>
      <c r="BE53" s="16">
        <f>MAX(0,MIN(in_cap,IF(AE53&gt;0,(in_f3-AD53*AI53*3/10)/AE53,in_cap)))</f>
        <v/>
      </c>
      <c r="BF53" s="16">
        <f>MAX(0,MIN(in_cap,IF(AE53&gt;0,(in_f3-AD53*AI53*4/10)/AE53,in_cap)))</f>
        <v/>
      </c>
      <c r="BG53" s="16">
        <f>MAX(0,MIN(in_cap,IF(AE53&gt;0,(in_f3-AD53*AI53*5/10)/AE53,in_cap)))</f>
        <v/>
      </c>
      <c r="BH53" s="16">
        <f>MAX(0,MIN(in_cap,IF(AE53&gt;0,(in_f3-AD53*AI53*6/10)/AE53,in_cap)))</f>
        <v/>
      </c>
      <c r="BI53" s="16">
        <f>MAX(0,MIN(in_cap,IF(AE53&gt;0,(in_f3-AD53*AI53*7/10)/AE53,in_cap)))</f>
        <v/>
      </c>
      <c r="BJ53" s="16">
        <f>MAX(0,MIN(in_cap,IF(AE53&gt;0,(in_f3-AD53*AI53*8/10)/AE53,in_cap)))</f>
        <v/>
      </c>
      <c r="BK53" s="16">
        <f>MAX(0,MIN(in_cap,IF(AE53&gt;0,(in_f3-AD53*AI53*9/10)/AE53,in_cap)))</f>
        <v/>
      </c>
      <c r="BL53" s="16">
        <f>MAX(0,MIN(in_cap,IF(AE53&gt;0,(in_f3-AD53*AI53*10/10)/AE53,in_cap)))</f>
        <v/>
      </c>
      <c r="BM53" s="15">
        <f>100*(1-(1-X53*(1-EXP(-((AI53*0/10)+(BB53))/Y53)))*(1-MIN(ABS(in_elas)*W53*R53*(AI53*0/10)/V53,1)))</f>
        <v/>
      </c>
      <c r="BN53" s="15">
        <f>100*(1-(1-X53*(1-EXP(-((AI53*1/10)+(BC53))/Y53)))*(1-MIN(ABS(in_elas)*W53*R53*(AI53*1/10)/V53,1)))</f>
        <v/>
      </c>
      <c r="BO53" s="15">
        <f>100*(1-(1-X53*(1-EXP(-((AI53*2/10)+(BD53))/Y53)))*(1-MIN(ABS(in_elas)*W53*R53*(AI53*2/10)/V53,1)))</f>
        <v/>
      </c>
      <c r="BP53" s="15">
        <f>100*(1-(1-X53*(1-EXP(-((AI53*3/10)+(BE53))/Y53)))*(1-MIN(ABS(in_elas)*W53*R53*(AI53*3/10)/V53,1)))</f>
        <v/>
      </c>
      <c r="BQ53" s="15">
        <f>100*(1-(1-X53*(1-EXP(-((AI53*4/10)+(BF53))/Y53)))*(1-MIN(ABS(in_elas)*W53*R53*(AI53*4/10)/V53,1)))</f>
        <v/>
      </c>
      <c r="BR53" s="15">
        <f>100*(1-(1-X53*(1-EXP(-((AI53*5/10)+(BG53))/Y53)))*(1-MIN(ABS(in_elas)*W53*R53*(AI53*5/10)/V53,1)))</f>
        <v/>
      </c>
      <c r="BS53" s="15">
        <f>100*(1-(1-X53*(1-EXP(-((AI53*6/10)+(BH53))/Y53)))*(1-MIN(ABS(in_elas)*W53*R53*(AI53*6/10)/V53,1)))</f>
        <v/>
      </c>
      <c r="BT53" s="15">
        <f>100*(1-(1-X53*(1-EXP(-((AI53*7/10)+(BI53))/Y53)))*(1-MIN(ABS(in_elas)*W53*R53*(AI53*7/10)/V53,1)))</f>
        <v/>
      </c>
      <c r="BU53" s="15">
        <f>100*(1-(1-X53*(1-EXP(-((AI53*8/10)+(BJ53))/Y53)))*(1-MIN(ABS(in_elas)*W53*R53*(AI53*8/10)/V53,1)))</f>
        <v/>
      </c>
      <c r="BV53" s="15">
        <f>100*(1-(1-X53*(1-EXP(-((AI53*9/10)+(BK53))/Y53)))*(1-MIN(ABS(in_elas)*W53*R53*(AI53*9/10)/V53,1)))</f>
        <v/>
      </c>
      <c r="BW53" s="15">
        <f>100*(1-(1-X53*(1-EXP(-((AI53*10/10)+(BL53))/Y53)))*(1-MIN(ABS(in_elas)*W53*R53*(AI53*10/10)/V53,1)))</f>
        <v/>
      </c>
    </row>
    <row r="54">
      <c r="A54" s="17" t="inlineStr">
        <is>
          <t>FRA</t>
        </is>
      </c>
      <c r="B54" s="17">
        <f>INDEX(Data!$B:$B,MATCH($A54,Data!$A:$A,0))</f>
        <v/>
      </c>
      <c r="C54" s="17">
        <f>INDEX(Data!$D:$D,MATCH($A54,Data!$A:$A,0))</f>
        <v/>
      </c>
      <c r="D54" s="16">
        <f>SUMIFS(Data!$G:$G,Data!$A:$A,$A54,Data!$F:$F,"gen_coal_twh")</f>
        <v/>
      </c>
      <c r="E54" s="16">
        <f>SUMIFS(Data!$G:$G,Data!$A:$A,$A54,Data!$F:$F,"gen_gas_twh")</f>
        <v/>
      </c>
      <c r="F54" s="16">
        <f>SUMIFS(Data!$G:$G,Data!$A:$A,$A54,Data!$F:$F,"gen_oil_twh")</f>
        <v/>
      </c>
      <c r="G54" s="16">
        <f>SUMIFS(Data!$G:$G,Data!$A:$A,$A54,Data!$F:$F,"gen_total_twh")</f>
        <v/>
      </c>
      <c r="H54" s="16">
        <f>SUMIFS(Data!$G:$G,Data!$A:$A,$A54,Data!$F:$F,"em_coal_mt")</f>
        <v/>
      </c>
      <c r="I54" s="16">
        <f>SUMIFS(Data!$G:$G,Data!$A:$A,$A54,Data!$F:$F,"em_gas_mt")</f>
        <v/>
      </c>
      <c r="J54" s="16">
        <f>SUMIFS(Data!$G:$G,Data!$A:$A,$A54,Data!$F:$F,"em_oil_mt")</f>
        <v/>
      </c>
      <c r="K54" s="28">
        <f>IF(COUNTIFS(Data!$A:$A,$A54,Data!$F:$F,"price_electricity_residential_usd_kwh")=0,"",SUMIFS(Data!$G:$G,Data!$A:$A,$A54,Data!$F:$F,"price_electricity_residential_usd_kwh"))</f>
        <v/>
      </c>
      <c r="L54" s="28">
        <f>IF(COUNTIFS(Data!$A:$A,$A54,Data!$F:$F,"price_coal_power_usd_gj")=0,"",SUMIFS(Data!$G:$G,Data!$A:$A,$A54,Data!$F:$F,"price_coal_power_usd_gj"))</f>
        <v/>
      </c>
      <c r="M54" s="28">
        <f>IF(COUNTIFS(Data!$A:$A,$A54,Data!$F:$F,"price_gas_power_usd_gj")=0,"",SUMIFS(Data!$G:$G,Data!$A:$A,$A54,Data!$F:$F,"price_gas_power_usd_gj"))</f>
        <v/>
      </c>
      <c r="N54" s="28">
        <f>IF(COUNTIFS(Data!$A:$A,$A54,Data!$F:$F,"price_gas_industry_usd_gj")=0,"",SUMIFS(Data!$G:$G,Data!$A:$A,$A54,Data!$F:$F,"price_gas_industry_usd_gj"))</f>
        <v/>
      </c>
      <c r="O54" s="28">
        <f>IF(COUNTIFS(Data!$A:$A,$A54,Data!$F:$F,"power_market_structure")=0,"",SUMIFS(Data!$G:$G,Data!$A:$A,$A54,Data!$F:$F,"power_market_structure"))</f>
        <v/>
      </c>
      <c r="P54" s="28">
        <f>IF(COUNTIFS(Data!$A:$A,$A54,Data!$F:$F,"rise_renewable_energy_score")=0,"",SUMIFS(Data!$G:$G,Data!$A:$A,$A54,Data!$F:$F,"rise_renewable_energy_score"))</f>
        <v/>
      </c>
      <c r="Q54" s="16">
        <f>H54+I54+J54</f>
        <v/>
      </c>
      <c r="R54" s="28">
        <f>Q54/G54</f>
        <v/>
      </c>
      <c r="S54" s="28">
        <f>IF(D54&gt;0,H54/D54,0.85)</f>
        <v/>
      </c>
      <c r="T54" s="28">
        <f>IF(E54&gt;0,I54/E54,0.4)</f>
        <v/>
      </c>
      <c r="U54" s="28">
        <f>IF(D54+F54&gt;0,(H54+J54)/(D54+F54),0)</f>
        <v/>
      </c>
      <c r="V54" s="16">
        <f>K54*1000</f>
        <v/>
      </c>
      <c r="W54" s="15">
        <f>IF(O54=3,in_pt3,IF(O54=2,in_pt2,IF(O54=1,in_pt1,IF(C54="High income",in_pt_hi,in_pt_oth))))</f>
        <v/>
      </c>
      <c r="X54" s="28">
        <f>IF(Q54&gt;0,in_kappa*(in_rise_lo+(in_rise_hi-in_rise_lo)*IF(P54="",in_rise_miss,P54)/100)*(D54+F54)*MAX(U54-in_gas_rep*T54,0)/Q54,0)</f>
        <v/>
      </c>
      <c r="Y54" s="16">
        <f>IF(IF(M54="",N54,M54)="",MAX(in_sw_floor,in_sw_miss),MAX(in_sw_floor,(IF(M54="",N54,M54)*in_hr_gas-L54*in_hr_coal)/MAX(S54-T54,0.1)))</f>
        <v/>
      </c>
      <c r="Z54" s="28">
        <f>IF(C54="Low income",in_b40_li,IF(C54="Lower middle income",in_b40_lmi,IF(C54="Upper middle income",in_b40_umi,IF(C54="High income",in_b40_hi,0.03))))</f>
        <v/>
      </c>
      <c r="AA54" s="15">
        <f>(D54+F54)/G54</f>
        <v/>
      </c>
      <c r="AB54" s="28">
        <f>100*W54*R54/V54/in_phase</f>
        <v/>
      </c>
      <c r="AC54" s="29">
        <f>100*Z54*W54*R54/V54*(1-IF(W54&gt;0,MIN(in_rebate/(W54*in_res_sh*in_q40),1),1))</f>
        <v/>
      </c>
      <c r="AD54" s="28">
        <f>IF(AA54&gt;0,100*U54*(1-W54)/(in_whole_sh*V54),0)</f>
        <v/>
      </c>
      <c r="AE54" s="28">
        <f>IF(AA54&gt;0,100*MAX(U54-R54,0)/(in_whole_sh*V54),0)</f>
        <v/>
      </c>
      <c r="AF54" s="16">
        <f>IF(AB54&gt;0,in_f1/AB54,in_cap)</f>
        <v/>
      </c>
      <c r="AG54" s="16">
        <f>IF(AC54&gt;0,in_f2/AC54,in_cap)</f>
        <v/>
      </c>
      <c r="AH54" s="16">
        <f>IF(AD54&gt;0,in_f3/AD54,in_cap)</f>
        <v/>
      </c>
      <c r="AI54" s="16">
        <f>MIN(in_cap,AF54,AG54,AH54)</f>
        <v/>
      </c>
      <c r="AJ54" s="30">
        <f>100*(1-(1-X54*(1-EXP(-((AI54)+(0))/Y54)))*(1-MIN(ABS(in_elas)*W54*R54*(AI54)/V54,1)))</f>
        <v/>
      </c>
      <c r="AK54" s="17">
        <f>IF(AI54&gt;=in_cap-1E-9,"rate cap",TRIM(IF(ABS(AI54-AF54)&lt;1E-9,"F1 ","")&amp;IF(ABS(AI54-AG54)&lt;1E-9,"F2 ","")&amp;IF(ABS(AI54-AH54)&lt;1E-9,"F3","")))</f>
        <v/>
      </c>
      <c r="AL54" s="15">
        <f>100*(1-(1-X54*(1-EXP(-((MIN(in_cap,IF(AB54&gt;0,(in_f1+1)/AB54,in_cap),AG54,AH54))+(0))/Y54)))*(1-MIN(ABS(in_elas)*W54*R54*(MIN(in_cap,IF(AB54&gt;0,(in_f1+1)/AB54,in_cap),AG54,AH54))/V54,1)))-AJ54</f>
        <v/>
      </c>
      <c r="AM54" s="16">
        <f>MIN(in_cap,IF(AE54&gt;0,in_f3/AE54,in_cap))</f>
        <v/>
      </c>
      <c r="AN54" s="30">
        <f>100*(1-(1-X54*(1-EXP(-((0)+(AM54))/Y54)))*(1-MIN(ABS(in_elas)*W54*R54*(0)/V54,1)))</f>
        <v/>
      </c>
      <c r="AO54" s="17">
        <f>IF(AM54&gt;=in_cap-1E-9,"rate cap","F3")</f>
        <v/>
      </c>
      <c r="AP54" s="15">
        <f>100*(1-(1-X54*(1-EXP(-((50)+(0))/Y54)))*(1-MIN(ABS(in_elas)*W54*R54*(50)/V54,1)))</f>
        <v/>
      </c>
      <c r="AQ54" s="15">
        <f>100*(1-(1-X54*(1-EXP(-((0)+(50))/Y54)))*(1-MIN(ABS(in_elas)*W54*R54*(0)/V54,1)))</f>
        <v/>
      </c>
      <c r="AR54" s="15">
        <f>IF(AP54&gt;0,AQ54/AP54,"")</f>
        <v/>
      </c>
      <c r="AS54" s="16">
        <f>50*AB54</f>
        <v/>
      </c>
      <c r="AT54" s="30">
        <f>MAX(BM54:BW54)</f>
        <v/>
      </c>
      <c r="AU54" s="31">
        <f>AI54*(MATCH(AT54,BM54:BW54,0)-1)/10</f>
        <v/>
      </c>
      <c r="AV54" s="31">
        <f>INDEX(BB54:BL54,1,(MATCH(AT54,BM54:BW54,0)-1)+1)</f>
        <v/>
      </c>
      <c r="AW54" s="31">
        <f>AB54*AU54</f>
        <v/>
      </c>
      <c r="AX54" s="30">
        <f>AC54*AU54</f>
        <v/>
      </c>
      <c r="AY54" s="31">
        <f>AD54*AU54+AE54*AV54</f>
        <v/>
      </c>
      <c r="AZ54" s="32">
        <f>TRIM(IF(AND(AU54&gt;0,ABS(AU54-AF54)&lt;1E-6),"F1 ","")&amp;IF(AND(AU54&gt;0,ABS(AU54-AG54)&lt;1E-6),"F2 ","")&amp;IF(AY54&gt;=in_f3-1E-6,"F3 ","")&amp;IF(AV54&gt;=in_cap-1E-9,"rate cap",""))</f>
        <v/>
      </c>
      <c r="BA54" s="31">
        <f>Q54*AT54/100</f>
        <v/>
      </c>
      <c r="BB54" s="16">
        <f>MAX(0,MIN(in_cap,IF(AE54&gt;0,(in_f3-AD54*AI54*0/10)/AE54,in_cap)))</f>
        <v/>
      </c>
      <c r="BC54" s="16">
        <f>MAX(0,MIN(in_cap,IF(AE54&gt;0,(in_f3-AD54*AI54*1/10)/AE54,in_cap)))</f>
        <v/>
      </c>
      <c r="BD54" s="16">
        <f>MAX(0,MIN(in_cap,IF(AE54&gt;0,(in_f3-AD54*AI54*2/10)/AE54,in_cap)))</f>
        <v/>
      </c>
      <c r="BE54" s="16">
        <f>MAX(0,MIN(in_cap,IF(AE54&gt;0,(in_f3-AD54*AI54*3/10)/AE54,in_cap)))</f>
        <v/>
      </c>
      <c r="BF54" s="16">
        <f>MAX(0,MIN(in_cap,IF(AE54&gt;0,(in_f3-AD54*AI54*4/10)/AE54,in_cap)))</f>
        <v/>
      </c>
      <c r="BG54" s="16">
        <f>MAX(0,MIN(in_cap,IF(AE54&gt;0,(in_f3-AD54*AI54*5/10)/AE54,in_cap)))</f>
        <v/>
      </c>
      <c r="BH54" s="16">
        <f>MAX(0,MIN(in_cap,IF(AE54&gt;0,(in_f3-AD54*AI54*6/10)/AE54,in_cap)))</f>
        <v/>
      </c>
      <c r="BI54" s="16">
        <f>MAX(0,MIN(in_cap,IF(AE54&gt;0,(in_f3-AD54*AI54*7/10)/AE54,in_cap)))</f>
        <v/>
      </c>
      <c r="BJ54" s="16">
        <f>MAX(0,MIN(in_cap,IF(AE54&gt;0,(in_f3-AD54*AI54*8/10)/AE54,in_cap)))</f>
        <v/>
      </c>
      <c r="BK54" s="16">
        <f>MAX(0,MIN(in_cap,IF(AE54&gt;0,(in_f3-AD54*AI54*9/10)/AE54,in_cap)))</f>
        <v/>
      </c>
      <c r="BL54" s="16">
        <f>MAX(0,MIN(in_cap,IF(AE54&gt;0,(in_f3-AD54*AI54*10/10)/AE54,in_cap)))</f>
        <v/>
      </c>
      <c r="BM54" s="15">
        <f>100*(1-(1-X54*(1-EXP(-((AI54*0/10)+(BB54))/Y54)))*(1-MIN(ABS(in_elas)*W54*R54*(AI54*0/10)/V54,1)))</f>
        <v/>
      </c>
      <c r="BN54" s="15">
        <f>100*(1-(1-X54*(1-EXP(-((AI54*1/10)+(BC54))/Y54)))*(1-MIN(ABS(in_elas)*W54*R54*(AI54*1/10)/V54,1)))</f>
        <v/>
      </c>
      <c r="BO54" s="15">
        <f>100*(1-(1-X54*(1-EXP(-((AI54*2/10)+(BD54))/Y54)))*(1-MIN(ABS(in_elas)*W54*R54*(AI54*2/10)/V54,1)))</f>
        <v/>
      </c>
      <c r="BP54" s="15">
        <f>100*(1-(1-X54*(1-EXP(-((AI54*3/10)+(BE54))/Y54)))*(1-MIN(ABS(in_elas)*W54*R54*(AI54*3/10)/V54,1)))</f>
        <v/>
      </c>
      <c r="BQ54" s="15">
        <f>100*(1-(1-X54*(1-EXP(-((AI54*4/10)+(BF54))/Y54)))*(1-MIN(ABS(in_elas)*W54*R54*(AI54*4/10)/V54,1)))</f>
        <v/>
      </c>
      <c r="BR54" s="15">
        <f>100*(1-(1-X54*(1-EXP(-((AI54*5/10)+(BG54))/Y54)))*(1-MIN(ABS(in_elas)*W54*R54*(AI54*5/10)/V54,1)))</f>
        <v/>
      </c>
      <c r="BS54" s="15">
        <f>100*(1-(1-X54*(1-EXP(-((AI54*6/10)+(BH54))/Y54)))*(1-MIN(ABS(in_elas)*W54*R54*(AI54*6/10)/V54,1)))</f>
        <v/>
      </c>
      <c r="BT54" s="15">
        <f>100*(1-(1-X54*(1-EXP(-((AI54*7/10)+(BI54))/Y54)))*(1-MIN(ABS(in_elas)*W54*R54*(AI54*7/10)/V54,1)))</f>
        <v/>
      </c>
      <c r="BU54" s="15">
        <f>100*(1-(1-X54*(1-EXP(-((AI54*8/10)+(BJ54))/Y54)))*(1-MIN(ABS(in_elas)*W54*R54*(AI54*8/10)/V54,1)))</f>
        <v/>
      </c>
      <c r="BV54" s="15">
        <f>100*(1-(1-X54*(1-EXP(-((AI54*9/10)+(BK54))/Y54)))*(1-MIN(ABS(in_elas)*W54*R54*(AI54*9/10)/V54,1)))</f>
        <v/>
      </c>
      <c r="BW54" s="15">
        <f>100*(1-(1-X54*(1-EXP(-((AI54*10/10)+(BL54))/Y54)))*(1-MIN(ABS(in_elas)*W54*R54*(AI54*10/10)/V54,1)))</f>
        <v/>
      </c>
    </row>
    <row r="55">
      <c r="A55" s="17" t="inlineStr">
        <is>
          <t>GAB</t>
        </is>
      </c>
      <c r="B55" s="17">
        <f>INDEX(Data!$B:$B,MATCH($A55,Data!$A:$A,0))</f>
        <v/>
      </c>
      <c r="C55" s="17">
        <f>INDEX(Data!$D:$D,MATCH($A55,Data!$A:$A,0))</f>
        <v/>
      </c>
      <c r="D55" s="16">
        <f>SUMIFS(Data!$G:$G,Data!$A:$A,$A55,Data!$F:$F,"gen_coal_twh")</f>
        <v/>
      </c>
      <c r="E55" s="16">
        <f>SUMIFS(Data!$G:$G,Data!$A:$A,$A55,Data!$F:$F,"gen_gas_twh")</f>
        <v/>
      </c>
      <c r="F55" s="16">
        <f>SUMIFS(Data!$G:$G,Data!$A:$A,$A55,Data!$F:$F,"gen_oil_twh")</f>
        <v/>
      </c>
      <c r="G55" s="16">
        <f>SUMIFS(Data!$G:$G,Data!$A:$A,$A55,Data!$F:$F,"gen_total_twh")</f>
        <v/>
      </c>
      <c r="H55" s="16">
        <f>SUMIFS(Data!$G:$G,Data!$A:$A,$A55,Data!$F:$F,"em_coal_mt")</f>
        <v/>
      </c>
      <c r="I55" s="16">
        <f>SUMIFS(Data!$G:$G,Data!$A:$A,$A55,Data!$F:$F,"em_gas_mt")</f>
        <v/>
      </c>
      <c r="J55" s="16">
        <f>SUMIFS(Data!$G:$G,Data!$A:$A,$A55,Data!$F:$F,"em_oil_mt")</f>
        <v/>
      </c>
      <c r="K55" s="28">
        <f>IF(COUNTIFS(Data!$A:$A,$A55,Data!$F:$F,"price_electricity_residential_usd_kwh")=0,"",SUMIFS(Data!$G:$G,Data!$A:$A,$A55,Data!$F:$F,"price_electricity_residential_usd_kwh"))</f>
        <v/>
      </c>
      <c r="L55" s="28">
        <f>IF(COUNTIFS(Data!$A:$A,$A55,Data!$F:$F,"price_coal_power_usd_gj")=0,"",SUMIFS(Data!$G:$G,Data!$A:$A,$A55,Data!$F:$F,"price_coal_power_usd_gj"))</f>
        <v/>
      </c>
      <c r="M55" s="28">
        <f>IF(COUNTIFS(Data!$A:$A,$A55,Data!$F:$F,"price_gas_power_usd_gj")=0,"",SUMIFS(Data!$G:$G,Data!$A:$A,$A55,Data!$F:$F,"price_gas_power_usd_gj"))</f>
        <v/>
      </c>
      <c r="N55" s="28">
        <f>IF(COUNTIFS(Data!$A:$A,$A55,Data!$F:$F,"price_gas_industry_usd_gj")=0,"",SUMIFS(Data!$G:$G,Data!$A:$A,$A55,Data!$F:$F,"price_gas_industry_usd_gj"))</f>
        <v/>
      </c>
      <c r="O55" s="28">
        <f>IF(COUNTIFS(Data!$A:$A,$A55,Data!$F:$F,"power_market_structure")=0,"",SUMIFS(Data!$G:$G,Data!$A:$A,$A55,Data!$F:$F,"power_market_structure"))</f>
        <v/>
      </c>
      <c r="P55" s="28">
        <f>IF(COUNTIFS(Data!$A:$A,$A55,Data!$F:$F,"rise_renewable_energy_score")=0,"",SUMIFS(Data!$G:$G,Data!$A:$A,$A55,Data!$F:$F,"rise_renewable_energy_score"))</f>
        <v/>
      </c>
      <c r="Q55" s="16">
        <f>H55+I55+J55</f>
        <v/>
      </c>
      <c r="R55" s="28">
        <f>Q55/G55</f>
        <v/>
      </c>
      <c r="S55" s="28">
        <f>IF(D55&gt;0,H55/D55,0.85)</f>
        <v/>
      </c>
      <c r="T55" s="28">
        <f>IF(E55&gt;0,I55/E55,0.4)</f>
        <v/>
      </c>
      <c r="U55" s="28">
        <f>IF(D55+F55&gt;0,(H55+J55)/(D55+F55),0)</f>
        <v/>
      </c>
      <c r="V55" s="16">
        <f>K55*1000</f>
        <v/>
      </c>
      <c r="W55" s="15">
        <f>IF(O55=3,in_pt3,IF(O55=2,in_pt2,IF(O55=1,in_pt1,IF(C55="High income",in_pt_hi,in_pt_oth))))</f>
        <v/>
      </c>
      <c r="X55" s="28">
        <f>IF(Q55&gt;0,in_kappa*(in_rise_lo+(in_rise_hi-in_rise_lo)*IF(P55="",in_rise_miss,P55)/100)*(D55+F55)*MAX(U55-in_gas_rep*T55,0)/Q55,0)</f>
        <v/>
      </c>
      <c r="Y55" s="16">
        <f>IF(IF(M55="",N55,M55)="",MAX(in_sw_floor,in_sw_miss),MAX(in_sw_floor,(IF(M55="",N55,M55)*in_hr_gas-L55*in_hr_coal)/MAX(S55-T55,0.1)))</f>
        <v/>
      </c>
      <c r="Z55" s="28">
        <f>IF(C55="Low income",in_b40_li,IF(C55="Lower middle income",in_b40_lmi,IF(C55="Upper middle income",in_b40_umi,IF(C55="High income",in_b40_hi,0.03))))</f>
        <v/>
      </c>
      <c r="AA55" s="15">
        <f>(D55+F55)/G55</f>
        <v/>
      </c>
      <c r="AB55" s="28">
        <f>100*W55*R55/V55/in_phase</f>
        <v/>
      </c>
      <c r="AC55" s="29">
        <f>100*Z55*W55*R55/V55*(1-IF(W55&gt;0,MIN(in_rebate/(W55*in_res_sh*in_q40),1),1))</f>
        <v/>
      </c>
      <c r="AD55" s="28">
        <f>IF(AA55&gt;0,100*U55*(1-W55)/(in_whole_sh*V55),0)</f>
        <v/>
      </c>
      <c r="AE55" s="28">
        <f>IF(AA55&gt;0,100*MAX(U55-R55,0)/(in_whole_sh*V55),0)</f>
        <v/>
      </c>
      <c r="AF55" s="16">
        <f>IF(AB55&gt;0,in_f1/AB55,in_cap)</f>
        <v/>
      </c>
      <c r="AG55" s="16">
        <f>IF(AC55&gt;0,in_f2/AC55,in_cap)</f>
        <v/>
      </c>
      <c r="AH55" s="16">
        <f>IF(AD55&gt;0,in_f3/AD55,in_cap)</f>
        <v/>
      </c>
      <c r="AI55" s="16">
        <f>MIN(in_cap,AF55,AG55,AH55)</f>
        <v/>
      </c>
      <c r="AJ55" s="30">
        <f>100*(1-(1-X55*(1-EXP(-((AI55)+(0))/Y55)))*(1-MIN(ABS(in_elas)*W55*R55*(AI55)/V55,1)))</f>
        <v/>
      </c>
      <c r="AK55" s="17">
        <f>IF(AI55&gt;=in_cap-1E-9,"rate cap",TRIM(IF(ABS(AI55-AF55)&lt;1E-9,"F1 ","")&amp;IF(ABS(AI55-AG55)&lt;1E-9,"F2 ","")&amp;IF(ABS(AI55-AH55)&lt;1E-9,"F3","")))</f>
        <v/>
      </c>
      <c r="AL55" s="15">
        <f>100*(1-(1-X55*(1-EXP(-((MIN(in_cap,IF(AB55&gt;0,(in_f1+1)/AB55,in_cap),AG55,AH55))+(0))/Y55)))*(1-MIN(ABS(in_elas)*W55*R55*(MIN(in_cap,IF(AB55&gt;0,(in_f1+1)/AB55,in_cap),AG55,AH55))/V55,1)))-AJ55</f>
        <v/>
      </c>
      <c r="AM55" s="16">
        <f>MIN(in_cap,IF(AE55&gt;0,in_f3/AE55,in_cap))</f>
        <v/>
      </c>
      <c r="AN55" s="30">
        <f>100*(1-(1-X55*(1-EXP(-((0)+(AM55))/Y55)))*(1-MIN(ABS(in_elas)*W55*R55*(0)/V55,1)))</f>
        <v/>
      </c>
      <c r="AO55" s="17">
        <f>IF(AM55&gt;=in_cap-1E-9,"rate cap","F3")</f>
        <v/>
      </c>
      <c r="AP55" s="15">
        <f>100*(1-(1-X55*(1-EXP(-((50)+(0))/Y55)))*(1-MIN(ABS(in_elas)*W55*R55*(50)/V55,1)))</f>
        <v/>
      </c>
      <c r="AQ55" s="15">
        <f>100*(1-(1-X55*(1-EXP(-((0)+(50))/Y55)))*(1-MIN(ABS(in_elas)*W55*R55*(0)/V55,1)))</f>
        <v/>
      </c>
      <c r="AR55" s="15">
        <f>IF(AP55&gt;0,AQ55/AP55,"")</f>
        <v/>
      </c>
      <c r="AS55" s="16">
        <f>50*AB55</f>
        <v/>
      </c>
      <c r="AT55" s="30">
        <f>MAX(BM55:BW55)</f>
        <v/>
      </c>
      <c r="AU55" s="31">
        <f>AI55*(MATCH(AT55,BM55:BW55,0)-1)/10</f>
        <v/>
      </c>
      <c r="AV55" s="31">
        <f>INDEX(BB55:BL55,1,(MATCH(AT55,BM55:BW55,0)-1)+1)</f>
        <v/>
      </c>
      <c r="AW55" s="31">
        <f>AB55*AU55</f>
        <v/>
      </c>
      <c r="AX55" s="30">
        <f>AC55*AU55</f>
        <v/>
      </c>
      <c r="AY55" s="31">
        <f>AD55*AU55+AE55*AV55</f>
        <v/>
      </c>
      <c r="AZ55" s="32">
        <f>TRIM(IF(AND(AU55&gt;0,ABS(AU55-AF55)&lt;1E-6),"F1 ","")&amp;IF(AND(AU55&gt;0,ABS(AU55-AG55)&lt;1E-6),"F2 ","")&amp;IF(AY55&gt;=in_f3-1E-6,"F3 ","")&amp;IF(AV55&gt;=in_cap-1E-9,"rate cap",""))</f>
        <v/>
      </c>
      <c r="BA55" s="31">
        <f>Q55*AT55/100</f>
        <v/>
      </c>
      <c r="BB55" s="16">
        <f>MAX(0,MIN(in_cap,IF(AE55&gt;0,(in_f3-AD55*AI55*0/10)/AE55,in_cap)))</f>
        <v/>
      </c>
      <c r="BC55" s="16">
        <f>MAX(0,MIN(in_cap,IF(AE55&gt;0,(in_f3-AD55*AI55*1/10)/AE55,in_cap)))</f>
        <v/>
      </c>
      <c r="BD55" s="16">
        <f>MAX(0,MIN(in_cap,IF(AE55&gt;0,(in_f3-AD55*AI55*2/10)/AE55,in_cap)))</f>
        <v/>
      </c>
      <c r="BE55" s="16">
        <f>MAX(0,MIN(in_cap,IF(AE55&gt;0,(in_f3-AD55*AI55*3/10)/AE55,in_cap)))</f>
        <v/>
      </c>
      <c r="BF55" s="16">
        <f>MAX(0,MIN(in_cap,IF(AE55&gt;0,(in_f3-AD55*AI55*4/10)/AE55,in_cap)))</f>
        <v/>
      </c>
      <c r="BG55" s="16">
        <f>MAX(0,MIN(in_cap,IF(AE55&gt;0,(in_f3-AD55*AI55*5/10)/AE55,in_cap)))</f>
        <v/>
      </c>
      <c r="BH55" s="16">
        <f>MAX(0,MIN(in_cap,IF(AE55&gt;0,(in_f3-AD55*AI55*6/10)/AE55,in_cap)))</f>
        <v/>
      </c>
      <c r="BI55" s="16">
        <f>MAX(0,MIN(in_cap,IF(AE55&gt;0,(in_f3-AD55*AI55*7/10)/AE55,in_cap)))</f>
        <v/>
      </c>
      <c r="BJ55" s="16">
        <f>MAX(0,MIN(in_cap,IF(AE55&gt;0,(in_f3-AD55*AI55*8/10)/AE55,in_cap)))</f>
        <v/>
      </c>
      <c r="BK55" s="16">
        <f>MAX(0,MIN(in_cap,IF(AE55&gt;0,(in_f3-AD55*AI55*9/10)/AE55,in_cap)))</f>
        <v/>
      </c>
      <c r="BL55" s="16">
        <f>MAX(0,MIN(in_cap,IF(AE55&gt;0,(in_f3-AD55*AI55*10/10)/AE55,in_cap)))</f>
        <v/>
      </c>
      <c r="BM55" s="15">
        <f>100*(1-(1-X55*(1-EXP(-((AI55*0/10)+(BB55))/Y55)))*(1-MIN(ABS(in_elas)*W55*R55*(AI55*0/10)/V55,1)))</f>
        <v/>
      </c>
      <c r="BN55" s="15">
        <f>100*(1-(1-X55*(1-EXP(-((AI55*1/10)+(BC55))/Y55)))*(1-MIN(ABS(in_elas)*W55*R55*(AI55*1/10)/V55,1)))</f>
        <v/>
      </c>
      <c r="BO55" s="15">
        <f>100*(1-(1-X55*(1-EXP(-((AI55*2/10)+(BD55))/Y55)))*(1-MIN(ABS(in_elas)*W55*R55*(AI55*2/10)/V55,1)))</f>
        <v/>
      </c>
      <c r="BP55" s="15">
        <f>100*(1-(1-X55*(1-EXP(-((AI55*3/10)+(BE55))/Y55)))*(1-MIN(ABS(in_elas)*W55*R55*(AI55*3/10)/V55,1)))</f>
        <v/>
      </c>
      <c r="BQ55" s="15">
        <f>100*(1-(1-X55*(1-EXP(-((AI55*4/10)+(BF55))/Y55)))*(1-MIN(ABS(in_elas)*W55*R55*(AI55*4/10)/V55,1)))</f>
        <v/>
      </c>
      <c r="BR55" s="15">
        <f>100*(1-(1-X55*(1-EXP(-((AI55*5/10)+(BG55))/Y55)))*(1-MIN(ABS(in_elas)*W55*R55*(AI55*5/10)/V55,1)))</f>
        <v/>
      </c>
      <c r="BS55" s="15">
        <f>100*(1-(1-X55*(1-EXP(-((AI55*6/10)+(BH55))/Y55)))*(1-MIN(ABS(in_elas)*W55*R55*(AI55*6/10)/V55,1)))</f>
        <v/>
      </c>
      <c r="BT55" s="15">
        <f>100*(1-(1-X55*(1-EXP(-((AI55*7/10)+(BI55))/Y55)))*(1-MIN(ABS(in_elas)*W55*R55*(AI55*7/10)/V55,1)))</f>
        <v/>
      </c>
      <c r="BU55" s="15">
        <f>100*(1-(1-X55*(1-EXP(-((AI55*8/10)+(BJ55))/Y55)))*(1-MIN(ABS(in_elas)*W55*R55*(AI55*8/10)/V55,1)))</f>
        <v/>
      </c>
      <c r="BV55" s="15">
        <f>100*(1-(1-X55*(1-EXP(-((AI55*9/10)+(BK55))/Y55)))*(1-MIN(ABS(in_elas)*W55*R55*(AI55*9/10)/V55,1)))</f>
        <v/>
      </c>
      <c r="BW55" s="15">
        <f>100*(1-(1-X55*(1-EXP(-((AI55*10/10)+(BL55))/Y55)))*(1-MIN(ABS(in_elas)*W55*R55*(AI55*10/10)/V55,1)))</f>
        <v/>
      </c>
    </row>
    <row r="56">
      <c r="A56" s="17" t="inlineStr">
        <is>
          <t>GBR</t>
        </is>
      </c>
      <c r="B56" s="17">
        <f>INDEX(Data!$B:$B,MATCH($A56,Data!$A:$A,0))</f>
        <v/>
      </c>
      <c r="C56" s="17">
        <f>INDEX(Data!$D:$D,MATCH($A56,Data!$A:$A,0))</f>
        <v/>
      </c>
      <c r="D56" s="16">
        <f>SUMIFS(Data!$G:$G,Data!$A:$A,$A56,Data!$F:$F,"gen_coal_twh")</f>
        <v/>
      </c>
      <c r="E56" s="16">
        <f>SUMIFS(Data!$G:$G,Data!$A:$A,$A56,Data!$F:$F,"gen_gas_twh")</f>
        <v/>
      </c>
      <c r="F56" s="16">
        <f>SUMIFS(Data!$G:$G,Data!$A:$A,$A56,Data!$F:$F,"gen_oil_twh")</f>
        <v/>
      </c>
      <c r="G56" s="16">
        <f>SUMIFS(Data!$G:$G,Data!$A:$A,$A56,Data!$F:$F,"gen_total_twh")</f>
        <v/>
      </c>
      <c r="H56" s="16">
        <f>SUMIFS(Data!$G:$G,Data!$A:$A,$A56,Data!$F:$F,"em_coal_mt")</f>
        <v/>
      </c>
      <c r="I56" s="16">
        <f>SUMIFS(Data!$G:$G,Data!$A:$A,$A56,Data!$F:$F,"em_gas_mt")</f>
        <v/>
      </c>
      <c r="J56" s="16">
        <f>SUMIFS(Data!$G:$G,Data!$A:$A,$A56,Data!$F:$F,"em_oil_mt")</f>
        <v/>
      </c>
      <c r="K56" s="28">
        <f>IF(COUNTIFS(Data!$A:$A,$A56,Data!$F:$F,"price_electricity_residential_usd_kwh")=0,"",SUMIFS(Data!$G:$G,Data!$A:$A,$A56,Data!$F:$F,"price_electricity_residential_usd_kwh"))</f>
        <v/>
      </c>
      <c r="L56" s="28">
        <f>IF(COUNTIFS(Data!$A:$A,$A56,Data!$F:$F,"price_coal_power_usd_gj")=0,"",SUMIFS(Data!$G:$G,Data!$A:$A,$A56,Data!$F:$F,"price_coal_power_usd_gj"))</f>
        <v/>
      </c>
      <c r="M56" s="28">
        <f>IF(COUNTIFS(Data!$A:$A,$A56,Data!$F:$F,"price_gas_power_usd_gj")=0,"",SUMIFS(Data!$G:$G,Data!$A:$A,$A56,Data!$F:$F,"price_gas_power_usd_gj"))</f>
        <v/>
      </c>
      <c r="N56" s="28">
        <f>IF(COUNTIFS(Data!$A:$A,$A56,Data!$F:$F,"price_gas_industry_usd_gj")=0,"",SUMIFS(Data!$G:$G,Data!$A:$A,$A56,Data!$F:$F,"price_gas_industry_usd_gj"))</f>
        <v/>
      </c>
      <c r="O56" s="28">
        <f>IF(COUNTIFS(Data!$A:$A,$A56,Data!$F:$F,"power_market_structure")=0,"",SUMIFS(Data!$G:$G,Data!$A:$A,$A56,Data!$F:$F,"power_market_structure"))</f>
        <v/>
      </c>
      <c r="P56" s="28">
        <f>IF(COUNTIFS(Data!$A:$A,$A56,Data!$F:$F,"rise_renewable_energy_score")=0,"",SUMIFS(Data!$G:$G,Data!$A:$A,$A56,Data!$F:$F,"rise_renewable_energy_score"))</f>
        <v/>
      </c>
      <c r="Q56" s="16">
        <f>H56+I56+J56</f>
        <v/>
      </c>
      <c r="R56" s="28">
        <f>Q56/G56</f>
        <v/>
      </c>
      <c r="S56" s="28">
        <f>IF(D56&gt;0,H56/D56,0.85)</f>
        <v/>
      </c>
      <c r="T56" s="28">
        <f>IF(E56&gt;0,I56/E56,0.4)</f>
        <v/>
      </c>
      <c r="U56" s="28">
        <f>IF(D56+F56&gt;0,(H56+J56)/(D56+F56),0)</f>
        <v/>
      </c>
      <c r="V56" s="16">
        <f>K56*1000</f>
        <v/>
      </c>
      <c r="W56" s="15">
        <f>IF(O56=3,in_pt3,IF(O56=2,in_pt2,IF(O56=1,in_pt1,IF(C56="High income",in_pt_hi,in_pt_oth))))</f>
        <v/>
      </c>
      <c r="X56" s="28">
        <f>IF(Q56&gt;0,in_kappa*(in_rise_lo+(in_rise_hi-in_rise_lo)*IF(P56="",in_rise_miss,P56)/100)*(D56+F56)*MAX(U56-in_gas_rep*T56,0)/Q56,0)</f>
        <v/>
      </c>
      <c r="Y56" s="16">
        <f>IF(IF(M56="",N56,M56)="",MAX(in_sw_floor,in_sw_miss),MAX(in_sw_floor,(IF(M56="",N56,M56)*in_hr_gas-L56*in_hr_coal)/MAX(S56-T56,0.1)))</f>
        <v/>
      </c>
      <c r="Z56" s="28">
        <f>IF(C56="Low income",in_b40_li,IF(C56="Lower middle income",in_b40_lmi,IF(C56="Upper middle income",in_b40_umi,IF(C56="High income",in_b40_hi,0.03))))</f>
        <v/>
      </c>
      <c r="AA56" s="15">
        <f>(D56+F56)/G56</f>
        <v/>
      </c>
      <c r="AB56" s="28">
        <f>100*W56*R56/V56/in_phase</f>
        <v/>
      </c>
      <c r="AC56" s="29">
        <f>100*Z56*W56*R56/V56*(1-IF(W56&gt;0,MIN(in_rebate/(W56*in_res_sh*in_q40),1),1))</f>
        <v/>
      </c>
      <c r="AD56" s="28">
        <f>IF(AA56&gt;0,100*U56*(1-W56)/(in_whole_sh*V56),0)</f>
        <v/>
      </c>
      <c r="AE56" s="28">
        <f>IF(AA56&gt;0,100*MAX(U56-R56,0)/(in_whole_sh*V56),0)</f>
        <v/>
      </c>
      <c r="AF56" s="16">
        <f>IF(AB56&gt;0,in_f1/AB56,in_cap)</f>
        <v/>
      </c>
      <c r="AG56" s="16">
        <f>IF(AC56&gt;0,in_f2/AC56,in_cap)</f>
        <v/>
      </c>
      <c r="AH56" s="16">
        <f>IF(AD56&gt;0,in_f3/AD56,in_cap)</f>
        <v/>
      </c>
      <c r="AI56" s="16">
        <f>MIN(in_cap,AF56,AG56,AH56)</f>
        <v/>
      </c>
      <c r="AJ56" s="30">
        <f>100*(1-(1-X56*(1-EXP(-((AI56)+(0))/Y56)))*(1-MIN(ABS(in_elas)*W56*R56*(AI56)/V56,1)))</f>
        <v/>
      </c>
      <c r="AK56" s="17">
        <f>IF(AI56&gt;=in_cap-1E-9,"rate cap",TRIM(IF(ABS(AI56-AF56)&lt;1E-9,"F1 ","")&amp;IF(ABS(AI56-AG56)&lt;1E-9,"F2 ","")&amp;IF(ABS(AI56-AH56)&lt;1E-9,"F3","")))</f>
        <v/>
      </c>
      <c r="AL56" s="15">
        <f>100*(1-(1-X56*(1-EXP(-((MIN(in_cap,IF(AB56&gt;0,(in_f1+1)/AB56,in_cap),AG56,AH56))+(0))/Y56)))*(1-MIN(ABS(in_elas)*W56*R56*(MIN(in_cap,IF(AB56&gt;0,(in_f1+1)/AB56,in_cap),AG56,AH56))/V56,1)))-AJ56</f>
        <v/>
      </c>
      <c r="AM56" s="16">
        <f>MIN(in_cap,IF(AE56&gt;0,in_f3/AE56,in_cap))</f>
        <v/>
      </c>
      <c r="AN56" s="30">
        <f>100*(1-(1-X56*(1-EXP(-((0)+(AM56))/Y56)))*(1-MIN(ABS(in_elas)*W56*R56*(0)/V56,1)))</f>
        <v/>
      </c>
      <c r="AO56" s="17">
        <f>IF(AM56&gt;=in_cap-1E-9,"rate cap","F3")</f>
        <v/>
      </c>
      <c r="AP56" s="15">
        <f>100*(1-(1-X56*(1-EXP(-((50)+(0))/Y56)))*(1-MIN(ABS(in_elas)*W56*R56*(50)/V56,1)))</f>
        <v/>
      </c>
      <c r="AQ56" s="15">
        <f>100*(1-(1-X56*(1-EXP(-((0)+(50))/Y56)))*(1-MIN(ABS(in_elas)*W56*R56*(0)/V56,1)))</f>
        <v/>
      </c>
      <c r="AR56" s="15">
        <f>IF(AP56&gt;0,AQ56/AP56,"")</f>
        <v/>
      </c>
      <c r="AS56" s="16">
        <f>50*AB56</f>
        <v/>
      </c>
      <c r="AT56" s="30">
        <f>MAX(BM56:BW56)</f>
        <v/>
      </c>
      <c r="AU56" s="31">
        <f>AI56*(MATCH(AT56,BM56:BW56,0)-1)/10</f>
        <v/>
      </c>
      <c r="AV56" s="31">
        <f>INDEX(BB56:BL56,1,(MATCH(AT56,BM56:BW56,0)-1)+1)</f>
        <v/>
      </c>
      <c r="AW56" s="31">
        <f>AB56*AU56</f>
        <v/>
      </c>
      <c r="AX56" s="30">
        <f>AC56*AU56</f>
        <v/>
      </c>
      <c r="AY56" s="31">
        <f>AD56*AU56+AE56*AV56</f>
        <v/>
      </c>
      <c r="AZ56" s="32">
        <f>TRIM(IF(AND(AU56&gt;0,ABS(AU56-AF56)&lt;1E-6),"F1 ","")&amp;IF(AND(AU56&gt;0,ABS(AU56-AG56)&lt;1E-6),"F2 ","")&amp;IF(AY56&gt;=in_f3-1E-6,"F3 ","")&amp;IF(AV56&gt;=in_cap-1E-9,"rate cap",""))</f>
        <v/>
      </c>
      <c r="BA56" s="31">
        <f>Q56*AT56/100</f>
        <v/>
      </c>
      <c r="BB56" s="16">
        <f>MAX(0,MIN(in_cap,IF(AE56&gt;0,(in_f3-AD56*AI56*0/10)/AE56,in_cap)))</f>
        <v/>
      </c>
      <c r="BC56" s="16">
        <f>MAX(0,MIN(in_cap,IF(AE56&gt;0,(in_f3-AD56*AI56*1/10)/AE56,in_cap)))</f>
        <v/>
      </c>
      <c r="BD56" s="16">
        <f>MAX(0,MIN(in_cap,IF(AE56&gt;0,(in_f3-AD56*AI56*2/10)/AE56,in_cap)))</f>
        <v/>
      </c>
      <c r="BE56" s="16">
        <f>MAX(0,MIN(in_cap,IF(AE56&gt;0,(in_f3-AD56*AI56*3/10)/AE56,in_cap)))</f>
        <v/>
      </c>
      <c r="BF56" s="16">
        <f>MAX(0,MIN(in_cap,IF(AE56&gt;0,(in_f3-AD56*AI56*4/10)/AE56,in_cap)))</f>
        <v/>
      </c>
      <c r="BG56" s="16">
        <f>MAX(0,MIN(in_cap,IF(AE56&gt;0,(in_f3-AD56*AI56*5/10)/AE56,in_cap)))</f>
        <v/>
      </c>
      <c r="BH56" s="16">
        <f>MAX(0,MIN(in_cap,IF(AE56&gt;0,(in_f3-AD56*AI56*6/10)/AE56,in_cap)))</f>
        <v/>
      </c>
      <c r="BI56" s="16">
        <f>MAX(0,MIN(in_cap,IF(AE56&gt;0,(in_f3-AD56*AI56*7/10)/AE56,in_cap)))</f>
        <v/>
      </c>
      <c r="BJ56" s="16">
        <f>MAX(0,MIN(in_cap,IF(AE56&gt;0,(in_f3-AD56*AI56*8/10)/AE56,in_cap)))</f>
        <v/>
      </c>
      <c r="BK56" s="16">
        <f>MAX(0,MIN(in_cap,IF(AE56&gt;0,(in_f3-AD56*AI56*9/10)/AE56,in_cap)))</f>
        <v/>
      </c>
      <c r="BL56" s="16">
        <f>MAX(0,MIN(in_cap,IF(AE56&gt;0,(in_f3-AD56*AI56*10/10)/AE56,in_cap)))</f>
        <v/>
      </c>
      <c r="BM56" s="15">
        <f>100*(1-(1-X56*(1-EXP(-((AI56*0/10)+(BB56))/Y56)))*(1-MIN(ABS(in_elas)*W56*R56*(AI56*0/10)/V56,1)))</f>
        <v/>
      </c>
      <c r="BN56" s="15">
        <f>100*(1-(1-X56*(1-EXP(-((AI56*1/10)+(BC56))/Y56)))*(1-MIN(ABS(in_elas)*W56*R56*(AI56*1/10)/V56,1)))</f>
        <v/>
      </c>
      <c r="BO56" s="15">
        <f>100*(1-(1-X56*(1-EXP(-((AI56*2/10)+(BD56))/Y56)))*(1-MIN(ABS(in_elas)*W56*R56*(AI56*2/10)/V56,1)))</f>
        <v/>
      </c>
      <c r="BP56" s="15">
        <f>100*(1-(1-X56*(1-EXP(-((AI56*3/10)+(BE56))/Y56)))*(1-MIN(ABS(in_elas)*W56*R56*(AI56*3/10)/V56,1)))</f>
        <v/>
      </c>
      <c r="BQ56" s="15">
        <f>100*(1-(1-X56*(1-EXP(-((AI56*4/10)+(BF56))/Y56)))*(1-MIN(ABS(in_elas)*W56*R56*(AI56*4/10)/V56,1)))</f>
        <v/>
      </c>
      <c r="BR56" s="15">
        <f>100*(1-(1-X56*(1-EXP(-((AI56*5/10)+(BG56))/Y56)))*(1-MIN(ABS(in_elas)*W56*R56*(AI56*5/10)/V56,1)))</f>
        <v/>
      </c>
      <c r="BS56" s="15">
        <f>100*(1-(1-X56*(1-EXP(-((AI56*6/10)+(BH56))/Y56)))*(1-MIN(ABS(in_elas)*W56*R56*(AI56*6/10)/V56,1)))</f>
        <v/>
      </c>
      <c r="BT56" s="15">
        <f>100*(1-(1-X56*(1-EXP(-((AI56*7/10)+(BI56))/Y56)))*(1-MIN(ABS(in_elas)*W56*R56*(AI56*7/10)/V56,1)))</f>
        <v/>
      </c>
      <c r="BU56" s="15">
        <f>100*(1-(1-X56*(1-EXP(-((AI56*8/10)+(BJ56))/Y56)))*(1-MIN(ABS(in_elas)*W56*R56*(AI56*8/10)/V56,1)))</f>
        <v/>
      </c>
      <c r="BV56" s="15">
        <f>100*(1-(1-X56*(1-EXP(-((AI56*9/10)+(BK56))/Y56)))*(1-MIN(ABS(in_elas)*W56*R56*(AI56*9/10)/V56,1)))</f>
        <v/>
      </c>
      <c r="BW56" s="15">
        <f>100*(1-(1-X56*(1-EXP(-((AI56*10/10)+(BL56))/Y56)))*(1-MIN(ABS(in_elas)*W56*R56*(AI56*10/10)/V56,1)))</f>
        <v/>
      </c>
    </row>
    <row r="57">
      <c r="A57" s="17" t="inlineStr">
        <is>
          <t>GEO</t>
        </is>
      </c>
      <c r="B57" s="17">
        <f>INDEX(Data!$B:$B,MATCH($A57,Data!$A:$A,0))</f>
        <v/>
      </c>
      <c r="C57" s="17">
        <f>INDEX(Data!$D:$D,MATCH($A57,Data!$A:$A,0))</f>
        <v/>
      </c>
      <c r="D57" s="16">
        <f>SUMIFS(Data!$G:$G,Data!$A:$A,$A57,Data!$F:$F,"gen_coal_twh")</f>
        <v/>
      </c>
      <c r="E57" s="16">
        <f>SUMIFS(Data!$G:$G,Data!$A:$A,$A57,Data!$F:$F,"gen_gas_twh")</f>
        <v/>
      </c>
      <c r="F57" s="16">
        <f>SUMIFS(Data!$G:$G,Data!$A:$A,$A57,Data!$F:$F,"gen_oil_twh")</f>
        <v/>
      </c>
      <c r="G57" s="16">
        <f>SUMIFS(Data!$G:$G,Data!$A:$A,$A57,Data!$F:$F,"gen_total_twh")</f>
        <v/>
      </c>
      <c r="H57" s="16">
        <f>SUMIFS(Data!$G:$G,Data!$A:$A,$A57,Data!$F:$F,"em_coal_mt")</f>
        <v/>
      </c>
      <c r="I57" s="16">
        <f>SUMIFS(Data!$G:$G,Data!$A:$A,$A57,Data!$F:$F,"em_gas_mt")</f>
        <v/>
      </c>
      <c r="J57" s="16">
        <f>SUMIFS(Data!$G:$G,Data!$A:$A,$A57,Data!$F:$F,"em_oil_mt")</f>
        <v/>
      </c>
      <c r="K57" s="28">
        <f>IF(COUNTIFS(Data!$A:$A,$A57,Data!$F:$F,"price_electricity_residential_usd_kwh")=0,"",SUMIFS(Data!$G:$G,Data!$A:$A,$A57,Data!$F:$F,"price_electricity_residential_usd_kwh"))</f>
        <v/>
      </c>
      <c r="L57" s="28">
        <f>IF(COUNTIFS(Data!$A:$A,$A57,Data!$F:$F,"price_coal_power_usd_gj")=0,"",SUMIFS(Data!$G:$G,Data!$A:$A,$A57,Data!$F:$F,"price_coal_power_usd_gj"))</f>
        <v/>
      </c>
      <c r="M57" s="28">
        <f>IF(COUNTIFS(Data!$A:$A,$A57,Data!$F:$F,"price_gas_power_usd_gj")=0,"",SUMIFS(Data!$G:$G,Data!$A:$A,$A57,Data!$F:$F,"price_gas_power_usd_gj"))</f>
        <v/>
      </c>
      <c r="N57" s="28">
        <f>IF(COUNTIFS(Data!$A:$A,$A57,Data!$F:$F,"price_gas_industry_usd_gj")=0,"",SUMIFS(Data!$G:$G,Data!$A:$A,$A57,Data!$F:$F,"price_gas_industry_usd_gj"))</f>
        <v/>
      </c>
      <c r="O57" s="28">
        <f>IF(COUNTIFS(Data!$A:$A,$A57,Data!$F:$F,"power_market_structure")=0,"",SUMIFS(Data!$G:$G,Data!$A:$A,$A57,Data!$F:$F,"power_market_structure"))</f>
        <v/>
      </c>
      <c r="P57" s="28">
        <f>IF(COUNTIFS(Data!$A:$A,$A57,Data!$F:$F,"rise_renewable_energy_score")=0,"",SUMIFS(Data!$G:$G,Data!$A:$A,$A57,Data!$F:$F,"rise_renewable_energy_score"))</f>
        <v/>
      </c>
      <c r="Q57" s="16">
        <f>H57+I57+J57</f>
        <v/>
      </c>
      <c r="R57" s="28">
        <f>Q57/G57</f>
        <v/>
      </c>
      <c r="S57" s="28">
        <f>IF(D57&gt;0,H57/D57,0.85)</f>
        <v/>
      </c>
      <c r="T57" s="28">
        <f>IF(E57&gt;0,I57/E57,0.4)</f>
        <v/>
      </c>
      <c r="U57" s="28">
        <f>IF(D57+F57&gt;0,(H57+J57)/(D57+F57),0)</f>
        <v/>
      </c>
      <c r="V57" s="16">
        <f>K57*1000</f>
        <v/>
      </c>
      <c r="W57" s="15">
        <f>IF(O57=3,in_pt3,IF(O57=2,in_pt2,IF(O57=1,in_pt1,IF(C57="High income",in_pt_hi,in_pt_oth))))</f>
        <v/>
      </c>
      <c r="X57" s="28">
        <f>IF(Q57&gt;0,in_kappa*(in_rise_lo+(in_rise_hi-in_rise_lo)*IF(P57="",in_rise_miss,P57)/100)*(D57+F57)*MAX(U57-in_gas_rep*T57,0)/Q57,0)</f>
        <v/>
      </c>
      <c r="Y57" s="16">
        <f>IF(IF(M57="",N57,M57)="",MAX(in_sw_floor,in_sw_miss),MAX(in_sw_floor,(IF(M57="",N57,M57)*in_hr_gas-L57*in_hr_coal)/MAX(S57-T57,0.1)))</f>
        <v/>
      </c>
      <c r="Z57" s="28">
        <f>IF(C57="Low income",in_b40_li,IF(C57="Lower middle income",in_b40_lmi,IF(C57="Upper middle income",in_b40_umi,IF(C57="High income",in_b40_hi,0.03))))</f>
        <v/>
      </c>
      <c r="AA57" s="15">
        <f>(D57+F57)/G57</f>
        <v/>
      </c>
      <c r="AB57" s="28">
        <f>100*W57*R57/V57/in_phase</f>
        <v/>
      </c>
      <c r="AC57" s="29">
        <f>100*Z57*W57*R57/V57*(1-IF(W57&gt;0,MIN(in_rebate/(W57*in_res_sh*in_q40),1),1))</f>
        <v/>
      </c>
      <c r="AD57" s="28">
        <f>IF(AA57&gt;0,100*U57*(1-W57)/(in_whole_sh*V57),0)</f>
        <v/>
      </c>
      <c r="AE57" s="28">
        <f>IF(AA57&gt;0,100*MAX(U57-R57,0)/(in_whole_sh*V57),0)</f>
        <v/>
      </c>
      <c r="AF57" s="16">
        <f>IF(AB57&gt;0,in_f1/AB57,in_cap)</f>
        <v/>
      </c>
      <c r="AG57" s="16">
        <f>IF(AC57&gt;0,in_f2/AC57,in_cap)</f>
        <v/>
      </c>
      <c r="AH57" s="16">
        <f>IF(AD57&gt;0,in_f3/AD57,in_cap)</f>
        <v/>
      </c>
      <c r="AI57" s="16">
        <f>MIN(in_cap,AF57,AG57,AH57)</f>
        <v/>
      </c>
      <c r="AJ57" s="30">
        <f>100*(1-(1-X57*(1-EXP(-((AI57)+(0))/Y57)))*(1-MIN(ABS(in_elas)*W57*R57*(AI57)/V57,1)))</f>
        <v/>
      </c>
      <c r="AK57" s="17">
        <f>IF(AI57&gt;=in_cap-1E-9,"rate cap",TRIM(IF(ABS(AI57-AF57)&lt;1E-9,"F1 ","")&amp;IF(ABS(AI57-AG57)&lt;1E-9,"F2 ","")&amp;IF(ABS(AI57-AH57)&lt;1E-9,"F3","")))</f>
        <v/>
      </c>
      <c r="AL57" s="15">
        <f>100*(1-(1-X57*(1-EXP(-((MIN(in_cap,IF(AB57&gt;0,(in_f1+1)/AB57,in_cap),AG57,AH57))+(0))/Y57)))*(1-MIN(ABS(in_elas)*W57*R57*(MIN(in_cap,IF(AB57&gt;0,(in_f1+1)/AB57,in_cap),AG57,AH57))/V57,1)))-AJ57</f>
        <v/>
      </c>
      <c r="AM57" s="16">
        <f>MIN(in_cap,IF(AE57&gt;0,in_f3/AE57,in_cap))</f>
        <v/>
      </c>
      <c r="AN57" s="30">
        <f>100*(1-(1-X57*(1-EXP(-((0)+(AM57))/Y57)))*(1-MIN(ABS(in_elas)*W57*R57*(0)/V57,1)))</f>
        <v/>
      </c>
      <c r="AO57" s="17">
        <f>IF(AM57&gt;=in_cap-1E-9,"rate cap","F3")</f>
        <v/>
      </c>
      <c r="AP57" s="15">
        <f>100*(1-(1-X57*(1-EXP(-((50)+(0))/Y57)))*(1-MIN(ABS(in_elas)*W57*R57*(50)/V57,1)))</f>
        <v/>
      </c>
      <c r="AQ57" s="15">
        <f>100*(1-(1-X57*(1-EXP(-((0)+(50))/Y57)))*(1-MIN(ABS(in_elas)*W57*R57*(0)/V57,1)))</f>
        <v/>
      </c>
      <c r="AR57" s="15">
        <f>IF(AP57&gt;0,AQ57/AP57,"")</f>
        <v/>
      </c>
      <c r="AS57" s="16">
        <f>50*AB57</f>
        <v/>
      </c>
      <c r="AT57" s="30">
        <f>MAX(BM57:BW57)</f>
        <v/>
      </c>
      <c r="AU57" s="31">
        <f>AI57*(MATCH(AT57,BM57:BW57,0)-1)/10</f>
        <v/>
      </c>
      <c r="AV57" s="31">
        <f>INDEX(BB57:BL57,1,(MATCH(AT57,BM57:BW57,0)-1)+1)</f>
        <v/>
      </c>
      <c r="AW57" s="31">
        <f>AB57*AU57</f>
        <v/>
      </c>
      <c r="AX57" s="30">
        <f>AC57*AU57</f>
        <v/>
      </c>
      <c r="AY57" s="31">
        <f>AD57*AU57+AE57*AV57</f>
        <v/>
      </c>
      <c r="AZ57" s="32">
        <f>TRIM(IF(AND(AU57&gt;0,ABS(AU57-AF57)&lt;1E-6),"F1 ","")&amp;IF(AND(AU57&gt;0,ABS(AU57-AG57)&lt;1E-6),"F2 ","")&amp;IF(AY57&gt;=in_f3-1E-6,"F3 ","")&amp;IF(AV57&gt;=in_cap-1E-9,"rate cap",""))</f>
        <v/>
      </c>
      <c r="BA57" s="31">
        <f>Q57*AT57/100</f>
        <v/>
      </c>
      <c r="BB57" s="16">
        <f>MAX(0,MIN(in_cap,IF(AE57&gt;0,(in_f3-AD57*AI57*0/10)/AE57,in_cap)))</f>
        <v/>
      </c>
      <c r="BC57" s="16">
        <f>MAX(0,MIN(in_cap,IF(AE57&gt;0,(in_f3-AD57*AI57*1/10)/AE57,in_cap)))</f>
        <v/>
      </c>
      <c r="BD57" s="16">
        <f>MAX(0,MIN(in_cap,IF(AE57&gt;0,(in_f3-AD57*AI57*2/10)/AE57,in_cap)))</f>
        <v/>
      </c>
      <c r="BE57" s="16">
        <f>MAX(0,MIN(in_cap,IF(AE57&gt;0,(in_f3-AD57*AI57*3/10)/AE57,in_cap)))</f>
        <v/>
      </c>
      <c r="BF57" s="16">
        <f>MAX(0,MIN(in_cap,IF(AE57&gt;0,(in_f3-AD57*AI57*4/10)/AE57,in_cap)))</f>
        <v/>
      </c>
      <c r="BG57" s="16">
        <f>MAX(0,MIN(in_cap,IF(AE57&gt;0,(in_f3-AD57*AI57*5/10)/AE57,in_cap)))</f>
        <v/>
      </c>
      <c r="BH57" s="16">
        <f>MAX(0,MIN(in_cap,IF(AE57&gt;0,(in_f3-AD57*AI57*6/10)/AE57,in_cap)))</f>
        <v/>
      </c>
      <c r="BI57" s="16">
        <f>MAX(0,MIN(in_cap,IF(AE57&gt;0,(in_f3-AD57*AI57*7/10)/AE57,in_cap)))</f>
        <v/>
      </c>
      <c r="BJ57" s="16">
        <f>MAX(0,MIN(in_cap,IF(AE57&gt;0,(in_f3-AD57*AI57*8/10)/AE57,in_cap)))</f>
        <v/>
      </c>
      <c r="BK57" s="16">
        <f>MAX(0,MIN(in_cap,IF(AE57&gt;0,(in_f3-AD57*AI57*9/10)/AE57,in_cap)))</f>
        <v/>
      </c>
      <c r="BL57" s="16">
        <f>MAX(0,MIN(in_cap,IF(AE57&gt;0,(in_f3-AD57*AI57*10/10)/AE57,in_cap)))</f>
        <v/>
      </c>
      <c r="BM57" s="15">
        <f>100*(1-(1-X57*(1-EXP(-((AI57*0/10)+(BB57))/Y57)))*(1-MIN(ABS(in_elas)*W57*R57*(AI57*0/10)/V57,1)))</f>
        <v/>
      </c>
      <c r="BN57" s="15">
        <f>100*(1-(1-X57*(1-EXP(-((AI57*1/10)+(BC57))/Y57)))*(1-MIN(ABS(in_elas)*W57*R57*(AI57*1/10)/V57,1)))</f>
        <v/>
      </c>
      <c r="BO57" s="15">
        <f>100*(1-(1-X57*(1-EXP(-((AI57*2/10)+(BD57))/Y57)))*(1-MIN(ABS(in_elas)*W57*R57*(AI57*2/10)/V57,1)))</f>
        <v/>
      </c>
      <c r="BP57" s="15">
        <f>100*(1-(1-X57*(1-EXP(-((AI57*3/10)+(BE57))/Y57)))*(1-MIN(ABS(in_elas)*W57*R57*(AI57*3/10)/V57,1)))</f>
        <v/>
      </c>
      <c r="BQ57" s="15">
        <f>100*(1-(1-X57*(1-EXP(-((AI57*4/10)+(BF57))/Y57)))*(1-MIN(ABS(in_elas)*W57*R57*(AI57*4/10)/V57,1)))</f>
        <v/>
      </c>
      <c r="BR57" s="15">
        <f>100*(1-(1-X57*(1-EXP(-((AI57*5/10)+(BG57))/Y57)))*(1-MIN(ABS(in_elas)*W57*R57*(AI57*5/10)/V57,1)))</f>
        <v/>
      </c>
      <c r="BS57" s="15">
        <f>100*(1-(1-X57*(1-EXP(-((AI57*6/10)+(BH57))/Y57)))*(1-MIN(ABS(in_elas)*W57*R57*(AI57*6/10)/V57,1)))</f>
        <v/>
      </c>
      <c r="BT57" s="15">
        <f>100*(1-(1-X57*(1-EXP(-((AI57*7/10)+(BI57))/Y57)))*(1-MIN(ABS(in_elas)*W57*R57*(AI57*7/10)/V57,1)))</f>
        <v/>
      </c>
      <c r="BU57" s="15">
        <f>100*(1-(1-X57*(1-EXP(-((AI57*8/10)+(BJ57))/Y57)))*(1-MIN(ABS(in_elas)*W57*R57*(AI57*8/10)/V57,1)))</f>
        <v/>
      </c>
      <c r="BV57" s="15">
        <f>100*(1-(1-X57*(1-EXP(-((AI57*9/10)+(BK57))/Y57)))*(1-MIN(ABS(in_elas)*W57*R57*(AI57*9/10)/V57,1)))</f>
        <v/>
      </c>
      <c r="BW57" s="15">
        <f>100*(1-(1-X57*(1-EXP(-((AI57*10/10)+(BL57))/Y57)))*(1-MIN(ABS(in_elas)*W57*R57*(AI57*10/10)/V57,1)))</f>
        <v/>
      </c>
    </row>
    <row r="58">
      <c r="A58" s="17" t="inlineStr">
        <is>
          <t>GHA</t>
        </is>
      </c>
      <c r="B58" s="17">
        <f>INDEX(Data!$B:$B,MATCH($A58,Data!$A:$A,0))</f>
        <v/>
      </c>
      <c r="C58" s="17">
        <f>INDEX(Data!$D:$D,MATCH($A58,Data!$A:$A,0))</f>
        <v/>
      </c>
      <c r="D58" s="16">
        <f>SUMIFS(Data!$G:$G,Data!$A:$A,$A58,Data!$F:$F,"gen_coal_twh")</f>
        <v/>
      </c>
      <c r="E58" s="16">
        <f>SUMIFS(Data!$G:$G,Data!$A:$A,$A58,Data!$F:$F,"gen_gas_twh")</f>
        <v/>
      </c>
      <c r="F58" s="16">
        <f>SUMIFS(Data!$G:$G,Data!$A:$A,$A58,Data!$F:$F,"gen_oil_twh")</f>
        <v/>
      </c>
      <c r="G58" s="16">
        <f>SUMIFS(Data!$G:$G,Data!$A:$A,$A58,Data!$F:$F,"gen_total_twh")</f>
        <v/>
      </c>
      <c r="H58" s="16">
        <f>SUMIFS(Data!$G:$G,Data!$A:$A,$A58,Data!$F:$F,"em_coal_mt")</f>
        <v/>
      </c>
      <c r="I58" s="16">
        <f>SUMIFS(Data!$G:$G,Data!$A:$A,$A58,Data!$F:$F,"em_gas_mt")</f>
        <v/>
      </c>
      <c r="J58" s="16">
        <f>SUMIFS(Data!$G:$G,Data!$A:$A,$A58,Data!$F:$F,"em_oil_mt")</f>
        <v/>
      </c>
      <c r="K58" s="28">
        <f>IF(COUNTIFS(Data!$A:$A,$A58,Data!$F:$F,"price_electricity_residential_usd_kwh")=0,"",SUMIFS(Data!$G:$G,Data!$A:$A,$A58,Data!$F:$F,"price_electricity_residential_usd_kwh"))</f>
        <v/>
      </c>
      <c r="L58" s="28">
        <f>IF(COUNTIFS(Data!$A:$A,$A58,Data!$F:$F,"price_coal_power_usd_gj")=0,"",SUMIFS(Data!$G:$G,Data!$A:$A,$A58,Data!$F:$F,"price_coal_power_usd_gj"))</f>
        <v/>
      </c>
      <c r="M58" s="28">
        <f>IF(COUNTIFS(Data!$A:$A,$A58,Data!$F:$F,"price_gas_power_usd_gj")=0,"",SUMIFS(Data!$G:$G,Data!$A:$A,$A58,Data!$F:$F,"price_gas_power_usd_gj"))</f>
        <v/>
      </c>
      <c r="N58" s="28">
        <f>IF(COUNTIFS(Data!$A:$A,$A58,Data!$F:$F,"price_gas_industry_usd_gj")=0,"",SUMIFS(Data!$G:$G,Data!$A:$A,$A58,Data!$F:$F,"price_gas_industry_usd_gj"))</f>
        <v/>
      </c>
      <c r="O58" s="28">
        <f>IF(COUNTIFS(Data!$A:$A,$A58,Data!$F:$F,"power_market_structure")=0,"",SUMIFS(Data!$G:$G,Data!$A:$A,$A58,Data!$F:$F,"power_market_structure"))</f>
        <v/>
      </c>
      <c r="P58" s="28">
        <f>IF(COUNTIFS(Data!$A:$A,$A58,Data!$F:$F,"rise_renewable_energy_score")=0,"",SUMIFS(Data!$G:$G,Data!$A:$A,$A58,Data!$F:$F,"rise_renewable_energy_score"))</f>
        <v/>
      </c>
      <c r="Q58" s="16">
        <f>H58+I58+J58</f>
        <v/>
      </c>
      <c r="R58" s="28">
        <f>Q58/G58</f>
        <v/>
      </c>
      <c r="S58" s="28">
        <f>IF(D58&gt;0,H58/D58,0.85)</f>
        <v/>
      </c>
      <c r="T58" s="28">
        <f>IF(E58&gt;0,I58/E58,0.4)</f>
        <v/>
      </c>
      <c r="U58" s="28">
        <f>IF(D58+F58&gt;0,(H58+J58)/(D58+F58),0)</f>
        <v/>
      </c>
      <c r="V58" s="16">
        <f>K58*1000</f>
        <v/>
      </c>
      <c r="W58" s="15">
        <f>IF(O58=3,in_pt3,IF(O58=2,in_pt2,IF(O58=1,in_pt1,IF(C58="High income",in_pt_hi,in_pt_oth))))</f>
        <v/>
      </c>
      <c r="X58" s="28">
        <f>IF(Q58&gt;0,in_kappa*(in_rise_lo+(in_rise_hi-in_rise_lo)*IF(P58="",in_rise_miss,P58)/100)*(D58+F58)*MAX(U58-in_gas_rep*T58,0)/Q58,0)</f>
        <v/>
      </c>
      <c r="Y58" s="16">
        <f>IF(IF(M58="",N58,M58)="",MAX(in_sw_floor,in_sw_miss),MAX(in_sw_floor,(IF(M58="",N58,M58)*in_hr_gas-L58*in_hr_coal)/MAX(S58-T58,0.1)))</f>
        <v/>
      </c>
      <c r="Z58" s="28">
        <f>IF(C58="Low income",in_b40_li,IF(C58="Lower middle income",in_b40_lmi,IF(C58="Upper middle income",in_b40_umi,IF(C58="High income",in_b40_hi,0.03))))</f>
        <v/>
      </c>
      <c r="AA58" s="15">
        <f>(D58+F58)/G58</f>
        <v/>
      </c>
      <c r="AB58" s="28">
        <f>100*W58*R58/V58/in_phase</f>
        <v/>
      </c>
      <c r="AC58" s="29">
        <f>100*Z58*W58*R58/V58*(1-IF(W58&gt;0,MIN(in_rebate/(W58*in_res_sh*in_q40),1),1))</f>
        <v/>
      </c>
      <c r="AD58" s="28">
        <f>IF(AA58&gt;0,100*U58*(1-W58)/(in_whole_sh*V58),0)</f>
        <v/>
      </c>
      <c r="AE58" s="28">
        <f>IF(AA58&gt;0,100*MAX(U58-R58,0)/(in_whole_sh*V58),0)</f>
        <v/>
      </c>
      <c r="AF58" s="16">
        <f>IF(AB58&gt;0,in_f1/AB58,in_cap)</f>
        <v/>
      </c>
      <c r="AG58" s="16">
        <f>IF(AC58&gt;0,in_f2/AC58,in_cap)</f>
        <v/>
      </c>
      <c r="AH58" s="16">
        <f>IF(AD58&gt;0,in_f3/AD58,in_cap)</f>
        <v/>
      </c>
      <c r="AI58" s="16">
        <f>MIN(in_cap,AF58,AG58,AH58)</f>
        <v/>
      </c>
      <c r="AJ58" s="30">
        <f>100*(1-(1-X58*(1-EXP(-((AI58)+(0))/Y58)))*(1-MIN(ABS(in_elas)*W58*R58*(AI58)/V58,1)))</f>
        <v/>
      </c>
      <c r="AK58" s="17">
        <f>IF(AI58&gt;=in_cap-1E-9,"rate cap",TRIM(IF(ABS(AI58-AF58)&lt;1E-9,"F1 ","")&amp;IF(ABS(AI58-AG58)&lt;1E-9,"F2 ","")&amp;IF(ABS(AI58-AH58)&lt;1E-9,"F3","")))</f>
        <v/>
      </c>
      <c r="AL58" s="15">
        <f>100*(1-(1-X58*(1-EXP(-((MIN(in_cap,IF(AB58&gt;0,(in_f1+1)/AB58,in_cap),AG58,AH58))+(0))/Y58)))*(1-MIN(ABS(in_elas)*W58*R58*(MIN(in_cap,IF(AB58&gt;0,(in_f1+1)/AB58,in_cap),AG58,AH58))/V58,1)))-AJ58</f>
        <v/>
      </c>
      <c r="AM58" s="16">
        <f>MIN(in_cap,IF(AE58&gt;0,in_f3/AE58,in_cap))</f>
        <v/>
      </c>
      <c r="AN58" s="30">
        <f>100*(1-(1-X58*(1-EXP(-((0)+(AM58))/Y58)))*(1-MIN(ABS(in_elas)*W58*R58*(0)/V58,1)))</f>
        <v/>
      </c>
      <c r="AO58" s="17">
        <f>IF(AM58&gt;=in_cap-1E-9,"rate cap","F3")</f>
        <v/>
      </c>
      <c r="AP58" s="15">
        <f>100*(1-(1-X58*(1-EXP(-((50)+(0))/Y58)))*(1-MIN(ABS(in_elas)*W58*R58*(50)/V58,1)))</f>
        <v/>
      </c>
      <c r="AQ58" s="15">
        <f>100*(1-(1-X58*(1-EXP(-((0)+(50))/Y58)))*(1-MIN(ABS(in_elas)*W58*R58*(0)/V58,1)))</f>
        <v/>
      </c>
      <c r="AR58" s="15">
        <f>IF(AP58&gt;0,AQ58/AP58,"")</f>
        <v/>
      </c>
      <c r="AS58" s="16">
        <f>50*AB58</f>
        <v/>
      </c>
      <c r="AT58" s="30">
        <f>MAX(BM58:BW58)</f>
        <v/>
      </c>
      <c r="AU58" s="31">
        <f>AI58*(MATCH(AT58,BM58:BW58,0)-1)/10</f>
        <v/>
      </c>
      <c r="AV58" s="31">
        <f>INDEX(BB58:BL58,1,(MATCH(AT58,BM58:BW58,0)-1)+1)</f>
        <v/>
      </c>
      <c r="AW58" s="31">
        <f>AB58*AU58</f>
        <v/>
      </c>
      <c r="AX58" s="30">
        <f>AC58*AU58</f>
        <v/>
      </c>
      <c r="AY58" s="31">
        <f>AD58*AU58+AE58*AV58</f>
        <v/>
      </c>
      <c r="AZ58" s="32">
        <f>TRIM(IF(AND(AU58&gt;0,ABS(AU58-AF58)&lt;1E-6),"F1 ","")&amp;IF(AND(AU58&gt;0,ABS(AU58-AG58)&lt;1E-6),"F2 ","")&amp;IF(AY58&gt;=in_f3-1E-6,"F3 ","")&amp;IF(AV58&gt;=in_cap-1E-9,"rate cap",""))</f>
        <v/>
      </c>
      <c r="BA58" s="31">
        <f>Q58*AT58/100</f>
        <v/>
      </c>
      <c r="BB58" s="16">
        <f>MAX(0,MIN(in_cap,IF(AE58&gt;0,(in_f3-AD58*AI58*0/10)/AE58,in_cap)))</f>
        <v/>
      </c>
      <c r="BC58" s="16">
        <f>MAX(0,MIN(in_cap,IF(AE58&gt;0,(in_f3-AD58*AI58*1/10)/AE58,in_cap)))</f>
        <v/>
      </c>
      <c r="BD58" s="16">
        <f>MAX(0,MIN(in_cap,IF(AE58&gt;0,(in_f3-AD58*AI58*2/10)/AE58,in_cap)))</f>
        <v/>
      </c>
      <c r="BE58" s="16">
        <f>MAX(0,MIN(in_cap,IF(AE58&gt;0,(in_f3-AD58*AI58*3/10)/AE58,in_cap)))</f>
        <v/>
      </c>
      <c r="BF58" s="16">
        <f>MAX(0,MIN(in_cap,IF(AE58&gt;0,(in_f3-AD58*AI58*4/10)/AE58,in_cap)))</f>
        <v/>
      </c>
      <c r="BG58" s="16">
        <f>MAX(0,MIN(in_cap,IF(AE58&gt;0,(in_f3-AD58*AI58*5/10)/AE58,in_cap)))</f>
        <v/>
      </c>
      <c r="BH58" s="16">
        <f>MAX(0,MIN(in_cap,IF(AE58&gt;0,(in_f3-AD58*AI58*6/10)/AE58,in_cap)))</f>
        <v/>
      </c>
      <c r="BI58" s="16">
        <f>MAX(0,MIN(in_cap,IF(AE58&gt;0,(in_f3-AD58*AI58*7/10)/AE58,in_cap)))</f>
        <v/>
      </c>
      <c r="BJ58" s="16">
        <f>MAX(0,MIN(in_cap,IF(AE58&gt;0,(in_f3-AD58*AI58*8/10)/AE58,in_cap)))</f>
        <v/>
      </c>
      <c r="BK58" s="16">
        <f>MAX(0,MIN(in_cap,IF(AE58&gt;0,(in_f3-AD58*AI58*9/10)/AE58,in_cap)))</f>
        <v/>
      </c>
      <c r="BL58" s="16">
        <f>MAX(0,MIN(in_cap,IF(AE58&gt;0,(in_f3-AD58*AI58*10/10)/AE58,in_cap)))</f>
        <v/>
      </c>
      <c r="BM58" s="15">
        <f>100*(1-(1-X58*(1-EXP(-((AI58*0/10)+(BB58))/Y58)))*(1-MIN(ABS(in_elas)*W58*R58*(AI58*0/10)/V58,1)))</f>
        <v/>
      </c>
      <c r="BN58" s="15">
        <f>100*(1-(1-X58*(1-EXP(-((AI58*1/10)+(BC58))/Y58)))*(1-MIN(ABS(in_elas)*W58*R58*(AI58*1/10)/V58,1)))</f>
        <v/>
      </c>
      <c r="BO58" s="15">
        <f>100*(1-(1-X58*(1-EXP(-((AI58*2/10)+(BD58))/Y58)))*(1-MIN(ABS(in_elas)*W58*R58*(AI58*2/10)/V58,1)))</f>
        <v/>
      </c>
      <c r="BP58" s="15">
        <f>100*(1-(1-X58*(1-EXP(-((AI58*3/10)+(BE58))/Y58)))*(1-MIN(ABS(in_elas)*W58*R58*(AI58*3/10)/V58,1)))</f>
        <v/>
      </c>
      <c r="BQ58" s="15">
        <f>100*(1-(1-X58*(1-EXP(-((AI58*4/10)+(BF58))/Y58)))*(1-MIN(ABS(in_elas)*W58*R58*(AI58*4/10)/V58,1)))</f>
        <v/>
      </c>
      <c r="BR58" s="15">
        <f>100*(1-(1-X58*(1-EXP(-((AI58*5/10)+(BG58))/Y58)))*(1-MIN(ABS(in_elas)*W58*R58*(AI58*5/10)/V58,1)))</f>
        <v/>
      </c>
      <c r="BS58" s="15">
        <f>100*(1-(1-X58*(1-EXP(-((AI58*6/10)+(BH58))/Y58)))*(1-MIN(ABS(in_elas)*W58*R58*(AI58*6/10)/V58,1)))</f>
        <v/>
      </c>
      <c r="BT58" s="15">
        <f>100*(1-(1-X58*(1-EXP(-((AI58*7/10)+(BI58))/Y58)))*(1-MIN(ABS(in_elas)*W58*R58*(AI58*7/10)/V58,1)))</f>
        <v/>
      </c>
      <c r="BU58" s="15">
        <f>100*(1-(1-X58*(1-EXP(-((AI58*8/10)+(BJ58))/Y58)))*(1-MIN(ABS(in_elas)*W58*R58*(AI58*8/10)/V58,1)))</f>
        <v/>
      </c>
      <c r="BV58" s="15">
        <f>100*(1-(1-X58*(1-EXP(-((AI58*9/10)+(BK58))/Y58)))*(1-MIN(ABS(in_elas)*W58*R58*(AI58*9/10)/V58,1)))</f>
        <v/>
      </c>
      <c r="BW58" s="15">
        <f>100*(1-(1-X58*(1-EXP(-((AI58*10/10)+(BL58))/Y58)))*(1-MIN(ABS(in_elas)*W58*R58*(AI58*10/10)/V58,1)))</f>
        <v/>
      </c>
    </row>
    <row r="59">
      <c r="A59" s="17" t="inlineStr">
        <is>
          <t>GIN</t>
        </is>
      </c>
      <c r="B59" s="17">
        <f>INDEX(Data!$B:$B,MATCH($A59,Data!$A:$A,0))</f>
        <v/>
      </c>
      <c r="C59" s="17">
        <f>INDEX(Data!$D:$D,MATCH($A59,Data!$A:$A,0))</f>
        <v/>
      </c>
      <c r="D59" s="16">
        <f>SUMIFS(Data!$G:$G,Data!$A:$A,$A59,Data!$F:$F,"gen_coal_twh")</f>
        <v/>
      </c>
      <c r="E59" s="16">
        <f>SUMIFS(Data!$G:$G,Data!$A:$A,$A59,Data!$F:$F,"gen_gas_twh")</f>
        <v/>
      </c>
      <c r="F59" s="16">
        <f>SUMIFS(Data!$G:$G,Data!$A:$A,$A59,Data!$F:$F,"gen_oil_twh")</f>
        <v/>
      </c>
      <c r="G59" s="16">
        <f>SUMIFS(Data!$G:$G,Data!$A:$A,$A59,Data!$F:$F,"gen_total_twh")</f>
        <v/>
      </c>
      <c r="H59" s="16">
        <f>SUMIFS(Data!$G:$G,Data!$A:$A,$A59,Data!$F:$F,"em_coal_mt")</f>
        <v/>
      </c>
      <c r="I59" s="16">
        <f>SUMIFS(Data!$G:$G,Data!$A:$A,$A59,Data!$F:$F,"em_gas_mt")</f>
        <v/>
      </c>
      <c r="J59" s="16">
        <f>SUMIFS(Data!$G:$G,Data!$A:$A,$A59,Data!$F:$F,"em_oil_mt")</f>
        <v/>
      </c>
      <c r="K59" s="28">
        <f>IF(COUNTIFS(Data!$A:$A,$A59,Data!$F:$F,"price_electricity_residential_usd_kwh")=0,"",SUMIFS(Data!$G:$G,Data!$A:$A,$A59,Data!$F:$F,"price_electricity_residential_usd_kwh"))</f>
        <v/>
      </c>
      <c r="L59" s="28">
        <f>IF(COUNTIFS(Data!$A:$A,$A59,Data!$F:$F,"price_coal_power_usd_gj")=0,"",SUMIFS(Data!$G:$G,Data!$A:$A,$A59,Data!$F:$F,"price_coal_power_usd_gj"))</f>
        <v/>
      </c>
      <c r="M59" s="28">
        <f>IF(COUNTIFS(Data!$A:$A,$A59,Data!$F:$F,"price_gas_power_usd_gj")=0,"",SUMIFS(Data!$G:$G,Data!$A:$A,$A59,Data!$F:$F,"price_gas_power_usd_gj"))</f>
        <v/>
      </c>
      <c r="N59" s="28">
        <f>IF(COUNTIFS(Data!$A:$A,$A59,Data!$F:$F,"price_gas_industry_usd_gj")=0,"",SUMIFS(Data!$G:$G,Data!$A:$A,$A59,Data!$F:$F,"price_gas_industry_usd_gj"))</f>
        <v/>
      </c>
      <c r="O59" s="28">
        <f>IF(COUNTIFS(Data!$A:$A,$A59,Data!$F:$F,"power_market_structure")=0,"",SUMIFS(Data!$G:$G,Data!$A:$A,$A59,Data!$F:$F,"power_market_structure"))</f>
        <v/>
      </c>
      <c r="P59" s="28">
        <f>IF(COUNTIFS(Data!$A:$A,$A59,Data!$F:$F,"rise_renewable_energy_score")=0,"",SUMIFS(Data!$G:$G,Data!$A:$A,$A59,Data!$F:$F,"rise_renewable_energy_score"))</f>
        <v/>
      </c>
      <c r="Q59" s="16">
        <f>H59+I59+J59</f>
        <v/>
      </c>
      <c r="R59" s="28">
        <f>Q59/G59</f>
        <v/>
      </c>
      <c r="S59" s="28">
        <f>IF(D59&gt;0,H59/D59,0.85)</f>
        <v/>
      </c>
      <c r="T59" s="28">
        <f>IF(E59&gt;0,I59/E59,0.4)</f>
        <v/>
      </c>
      <c r="U59" s="28">
        <f>IF(D59+F59&gt;0,(H59+J59)/(D59+F59),0)</f>
        <v/>
      </c>
      <c r="V59" s="16">
        <f>K59*1000</f>
        <v/>
      </c>
      <c r="W59" s="15">
        <f>IF(O59=3,in_pt3,IF(O59=2,in_pt2,IF(O59=1,in_pt1,IF(C59="High income",in_pt_hi,in_pt_oth))))</f>
        <v/>
      </c>
      <c r="X59" s="28">
        <f>IF(Q59&gt;0,in_kappa*(in_rise_lo+(in_rise_hi-in_rise_lo)*IF(P59="",in_rise_miss,P59)/100)*(D59+F59)*MAX(U59-in_gas_rep*T59,0)/Q59,0)</f>
        <v/>
      </c>
      <c r="Y59" s="16">
        <f>IF(IF(M59="",N59,M59)="",MAX(in_sw_floor,in_sw_miss),MAX(in_sw_floor,(IF(M59="",N59,M59)*in_hr_gas-L59*in_hr_coal)/MAX(S59-T59,0.1)))</f>
        <v/>
      </c>
      <c r="Z59" s="28">
        <f>IF(C59="Low income",in_b40_li,IF(C59="Lower middle income",in_b40_lmi,IF(C59="Upper middle income",in_b40_umi,IF(C59="High income",in_b40_hi,0.03))))</f>
        <v/>
      </c>
      <c r="AA59" s="15">
        <f>(D59+F59)/G59</f>
        <v/>
      </c>
      <c r="AB59" s="28">
        <f>100*W59*R59/V59/in_phase</f>
        <v/>
      </c>
      <c r="AC59" s="29">
        <f>100*Z59*W59*R59/V59*(1-IF(W59&gt;0,MIN(in_rebate/(W59*in_res_sh*in_q40),1),1))</f>
        <v/>
      </c>
      <c r="AD59" s="28">
        <f>IF(AA59&gt;0,100*U59*(1-W59)/(in_whole_sh*V59),0)</f>
        <v/>
      </c>
      <c r="AE59" s="28">
        <f>IF(AA59&gt;0,100*MAX(U59-R59,0)/(in_whole_sh*V59),0)</f>
        <v/>
      </c>
      <c r="AF59" s="16">
        <f>IF(AB59&gt;0,in_f1/AB59,in_cap)</f>
        <v/>
      </c>
      <c r="AG59" s="16">
        <f>IF(AC59&gt;0,in_f2/AC59,in_cap)</f>
        <v/>
      </c>
      <c r="AH59" s="16">
        <f>IF(AD59&gt;0,in_f3/AD59,in_cap)</f>
        <v/>
      </c>
      <c r="AI59" s="16">
        <f>MIN(in_cap,AF59,AG59,AH59)</f>
        <v/>
      </c>
      <c r="AJ59" s="30">
        <f>100*(1-(1-X59*(1-EXP(-((AI59)+(0))/Y59)))*(1-MIN(ABS(in_elas)*W59*R59*(AI59)/V59,1)))</f>
        <v/>
      </c>
      <c r="AK59" s="17">
        <f>IF(AI59&gt;=in_cap-1E-9,"rate cap",TRIM(IF(ABS(AI59-AF59)&lt;1E-9,"F1 ","")&amp;IF(ABS(AI59-AG59)&lt;1E-9,"F2 ","")&amp;IF(ABS(AI59-AH59)&lt;1E-9,"F3","")))</f>
        <v/>
      </c>
      <c r="AL59" s="15">
        <f>100*(1-(1-X59*(1-EXP(-((MIN(in_cap,IF(AB59&gt;0,(in_f1+1)/AB59,in_cap),AG59,AH59))+(0))/Y59)))*(1-MIN(ABS(in_elas)*W59*R59*(MIN(in_cap,IF(AB59&gt;0,(in_f1+1)/AB59,in_cap),AG59,AH59))/V59,1)))-AJ59</f>
        <v/>
      </c>
      <c r="AM59" s="16">
        <f>MIN(in_cap,IF(AE59&gt;0,in_f3/AE59,in_cap))</f>
        <v/>
      </c>
      <c r="AN59" s="30">
        <f>100*(1-(1-X59*(1-EXP(-((0)+(AM59))/Y59)))*(1-MIN(ABS(in_elas)*W59*R59*(0)/V59,1)))</f>
        <v/>
      </c>
      <c r="AO59" s="17">
        <f>IF(AM59&gt;=in_cap-1E-9,"rate cap","F3")</f>
        <v/>
      </c>
      <c r="AP59" s="15">
        <f>100*(1-(1-X59*(1-EXP(-((50)+(0))/Y59)))*(1-MIN(ABS(in_elas)*W59*R59*(50)/V59,1)))</f>
        <v/>
      </c>
      <c r="AQ59" s="15">
        <f>100*(1-(1-X59*(1-EXP(-((0)+(50))/Y59)))*(1-MIN(ABS(in_elas)*W59*R59*(0)/V59,1)))</f>
        <v/>
      </c>
      <c r="AR59" s="15">
        <f>IF(AP59&gt;0,AQ59/AP59,"")</f>
        <v/>
      </c>
      <c r="AS59" s="16">
        <f>50*AB59</f>
        <v/>
      </c>
      <c r="AT59" s="30">
        <f>MAX(BM59:BW59)</f>
        <v/>
      </c>
      <c r="AU59" s="31">
        <f>AI59*(MATCH(AT59,BM59:BW59,0)-1)/10</f>
        <v/>
      </c>
      <c r="AV59" s="31">
        <f>INDEX(BB59:BL59,1,(MATCH(AT59,BM59:BW59,0)-1)+1)</f>
        <v/>
      </c>
      <c r="AW59" s="31">
        <f>AB59*AU59</f>
        <v/>
      </c>
      <c r="AX59" s="30">
        <f>AC59*AU59</f>
        <v/>
      </c>
      <c r="AY59" s="31">
        <f>AD59*AU59+AE59*AV59</f>
        <v/>
      </c>
      <c r="AZ59" s="32">
        <f>TRIM(IF(AND(AU59&gt;0,ABS(AU59-AF59)&lt;1E-6),"F1 ","")&amp;IF(AND(AU59&gt;0,ABS(AU59-AG59)&lt;1E-6),"F2 ","")&amp;IF(AY59&gt;=in_f3-1E-6,"F3 ","")&amp;IF(AV59&gt;=in_cap-1E-9,"rate cap",""))</f>
        <v/>
      </c>
      <c r="BA59" s="31">
        <f>Q59*AT59/100</f>
        <v/>
      </c>
      <c r="BB59" s="16">
        <f>MAX(0,MIN(in_cap,IF(AE59&gt;0,(in_f3-AD59*AI59*0/10)/AE59,in_cap)))</f>
        <v/>
      </c>
      <c r="BC59" s="16">
        <f>MAX(0,MIN(in_cap,IF(AE59&gt;0,(in_f3-AD59*AI59*1/10)/AE59,in_cap)))</f>
        <v/>
      </c>
      <c r="BD59" s="16">
        <f>MAX(0,MIN(in_cap,IF(AE59&gt;0,(in_f3-AD59*AI59*2/10)/AE59,in_cap)))</f>
        <v/>
      </c>
      <c r="BE59" s="16">
        <f>MAX(0,MIN(in_cap,IF(AE59&gt;0,(in_f3-AD59*AI59*3/10)/AE59,in_cap)))</f>
        <v/>
      </c>
      <c r="BF59" s="16">
        <f>MAX(0,MIN(in_cap,IF(AE59&gt;0,(in_f3-AD59*AI59*4/10)/AE59,in_cap)))</f>
        <v/>
      </c>
      <c r="BG59" s="16">
        <f>MAX(0,MIN(in_cap,IF(AE59&gt;0,(in_f3-AD59*AI59*5/10)/AE59,in_cap)))</f>
        <v/>
      </c>
      <c r="BH59" s="16">
        <f>MAX(0,MIN(in_cap,IF(AE59&gt;0,(in_f3-AD59*AI59*6/10)/AE59,in_cap)))</f>
        <v/>
      </c>
      <c r="BI59" s="16">
        <f>MAX(0,MIN(in_cap,IF(AE59&gt;0,(in_f3-AD59*AI59*7/10)/AE59,in_cap)))</f>
        <v/>
      </c>
      <c r="BJ59" s="16">
        <f>MAX(0,MIN(in_cap,IF(AE59&gt;0,(in_f3-AD59*AI59*8/10)/AE59,in_cap)))</f>
        <v/>
      </c>
      <c r="BK59" s="16">
        <f>MAX(0,MIN(in_cap,IF(AE59&gt;0,(in_f3-AD59*AI59*9/10)/AE59,in_cap)))</f>
        <v/>
      </c>
      <c r="BL59" s="16">
        <f>MAX(0,MIN(in_cap,IF(AE59&gt;0,(in_f3-AD59*AI59*10/10)/AE59,in_cap)))</f>
        <v/>
      </c>
      <c r="BM59" s="15">
        <f>100*(1-(1-X59*(1-EXP(-((AI59*0/10)+(BB59))/Y59)))*(1-MIN(ABS(in_elas)*W59*R59*(AI59*0/10)/V59,1)))</f>
        <v/>
      </c>
      <c r="BN59" s="15">
        <f>100*(1-(1-X59*(1-EXP(-((AI59*1/10)+(BC59))/Y59)))*(1-MIN(ABS(in_elas)*W59*R59*(AI59*1/10)/V59,1)))</f>
        <v/>
      </c>
      <c r="BO59" s="15">
        <f>100*(1-(1-X59*(1-EXP(-((AI59*2/10)+(BD59))/Y59)))*(1-MIN(ABS(in_elas)*W59*R59*(AI59*2/10)/V59,1)))</f>
        <v/>
      </c>
      <c r="BP59" s="15">
        <f>100*(1-(1-X59*(1-EXP(-((AI59*3/10)+(BE59))/Y59)))*(1-MIN(ABS(in_elas)*W59*R59*(AI59*3/10)/V59,1)))</f>
        <v/>
      </c>
      <c r="BQ59" s="15">
        <f>100*(1-(1-X59*(1-EXP(-((AI59*4/10)+(BF59))/Y59)))*(1-MIN(ABS(in_elas)*W59*R59*(AI59*4/10)/V59,1)))</f>
        <v/>
      </c>
      <c r="BR59" s="15">
        <f>100*(1-(1-X59*(1-EXP(-((AI59*5/10)+(BG59))/Y59)))*(1-MIN(ABS(in_elas)*W59*R59*(AI59*5/10)/V59,1)))</f>
        <v/>
      </c>
      <c r="BS59" s="15">
        <f>100*(1-(1-X59*(1-EXP(-((AI59*6/10)+(BH59))/Y59)))*(1-MIN(ABS(in_elas)*W59*R59*(AI59*6/10)/V59,1)))</f>
        <v/>
      </c>
      <c r="BT59" s="15">
        <f>100*(1-(1-X59*(1-EXP(-((AI59*7/10)+(BI59))/Y59)))*(1-MIN(ABS(in_elas)*W59*R59*(AI59*7/10)/V59,1)))</f>
        <v/>
      </c>
      <c r="BU59" s="15">
        <f>100*(1-(1-X59*(1-EXP(-((AI59*8/10)+(BJ59))/Y59)))*(1-MIN(ABS(in_elas)*W59*R59*(AI59*8/10)/V59,1)))</f>
        <v/>
      </c>
      <c r="BV59" s="15">
        <f>100*(1-(1-X59*(1-EXP(-((AI59*9/10)+(BK59))/Y59)))*(1-MIN(ABS(in_elas)*W59*R59*(AI59*9/10)/V59,1)))</f>
        <v/>
      </c>
      <c r="BW59" s="15">
        <f>100*(1-(1-X59*(1-EXP(-((AI59*10/10)+(BL59))/Y59)))*(1-MIN(ABS(in_elas)*W59*R59*(AI59*10/10)/V59,1)))</f>
        <v/>
      </c>
    </row>
    <row r="60">
      <c r="A60" s="17" t="inlineStr">
        <is>
          <t>GMB</t>
        </is>
      </c>
      <c r="B60" s="17">
        <f>INDEX(Data!$B:$B,MATCH($A60,Data!$A:$A,0))</f>
        <v/>
      </c>
      <c r="C60" s="17">
        <f>INDEX(Data!$D:$D,MATCH($A60,Data!$A:$A,0))</f>
        <v/>
      </c>
      <c r="D60" s="16">
        <f>SUMIFS(Data!$G:$G,Data!$A:$A,$A60,Data!$F:$F,"gen_coal_twh")</f>
        <v/>
      </c>
      <c r="E60" s="16">
        <f>SUMIFS(Data!$G:$G,Data!$A:$A,$A60,Data!$F:$F,"gen_gas_twh")</f>
        <v/>
      </c>
      <c r="F60" s="16">
        <f>SUMIFS(Data!$G:$G,Data!$A:$A,$A60,Data!$F:$F,"gen_oil_twh")</f>
        <v/>
      </c>
      <c r="G60" s="16">
        <f>SUMIFS(Data!$G:$G,Data!$A:$A,$A60,Data!$F:$F,"gen_total_twh")</f>
        <v/>
      </c>
      <c r="H60" s="16">
        <f>SUMIFS(Data!$G:$G,Data!$A:$A,$A60,Data!$F:$F,"em_coal_mt")</f>
        <v/>
      </c>
      <c r="I60" s="16">
        <f>SUMIFS(Data!$G:$G,Data!$A:$A,$A60,Data!$F:$F,"em_gas_mt")</f>
        <v/>
      </c>
      <c r="J60" s="16">
        <f>SUMIFS(Data!$G:$G,Data!$A:$A,$A60,Data!$F:$F,"em_oil_mt")</f>
        <v/>
      </c>
      <c r="K60" s="28">
        <f>IF(COUNTIFS(Data!$A:$A,$A60,Data!$F:$F,"price_electricity_residential_usd_kwh")=0,"",SUMIFS(Data!$G:$G,Data!$A:$A,$A60,Data!$F:$F,"price_electricity_residential_usd_kwh"))</f>
        <v/>
      </c>
      <c r="L60" s="28">
        <f>IF(COUNTIFS(Data!$A:$A,$A60,Data!$F:$F,"price_coal_power_usd_gj")=0,"",SUMIFS(Data!$G:$G,Data!$A:$A,$A60,Data!$F:$F,"price_coal_power_usd_gj"))</f>
        <v/>
      </c>
      <c r="M60" s="28">
        <f>IF(COUNTIFS(Data!$A:$A,$A60,Data!$F:$F,"price_gas_power_usd_gj")=0,"",SUMIFS(Data!$G:$G,Data!$A:$A,$A60,Data!$F:$F,"price_gas_power_usd_gj"))</f>
        <v/>
      </c>
      <c r="N60" s="28">
        <f>IF(COUNTIFS(Data!$A:$A,$A60,Data!$F:$F,"price_gas_industry_usd_gj")=0,"",SUMIFS(Data!$G:$G,Data!$A:$A,$A60,Data!$F:$F,"price_gas_industry_usd_gj"))</f>
        <v/>
      </c>
      <c r="O60" s="28">
        <f>IF(COUNTIFS(Data!$A:$A,$A60,Data!$F:$F,"power_market_structure")=0,"",SUMIFS(Data!$G:$G,Data!$A:$A,$A60,Data!$F:$F,"power_market_structure"))</f>
        <v/>
      </c>
      <c r="P60" s="28">
        <f>IF(COUNTIFS(Data!$A:$A,$A60,Data!$F:$F,"rise_renewable_energy_score")=0,"",SUMIFS(Data!$G:$G,Data!$A:$A,$A60,Data!$F:$F,"rise_renewable_energy_score"))</f>
        <v/>
      </c>
      <c r="Q60" s="16">
        <f>H60+I60+J60</f>
        <v/>
      </c>
      <c r="R60" s="28">
        <f>Q60/G60</f>
        <v/>
      </c>
      <c r="S60" s="28">
        <f>IF(D60&gt;0,H60/D60,0.85)</f>
        <v/>
      </c>
      <c r="T60" s="28">
        <f>IF(E60&gt;0,I60/E60,0.4)</f>
        <v/>
      </c>
      <c r="U60" s="28">
        <f>IF(D60+F60&gt;0,(H60+J60)/(D60+F60),0)</f>
        <v/>
      </c>
      <c r="V60" s="16">
        <f>K60*1000</f>
        <v/>
      </c>
      <c r="W60" s="15">
        <f>IF(O60=3,in_pt3,IF(O60=2,in_pt2,IF(O60=1,in_pt1,IF(C60="High income",in_pt_hi,in_pt_oth))))</f>
        <v/>
      </c>
      <c r="X60" s="28">
        <f>IF(Q60&gt;0,in_kappa*(in_rise_lo+(in_rise_hi-in_rise_lo)*IF(P60="",in_rise_miss,P60)/100)*(D60+F60)*MAX(U60-in_gas_rep*T60,0)/Q60,0)</f>
        <v/>
      </c>
      <c r="Y60" s="16">
        <f>IF(IF(M60="",N60,M60)="",MAX(in_sw_floor,in_sw_miss),MAX(in_sw_floor,(IF(M60="",N60,M60)*in_hr_gas-L60*in_hr_coal)/MAX(S60-T60,0.1)))</f>
        <v/>
      </c>
      <c r="Z60" s="28">
        <f>IF(C60="Low income",in_b40_li,IF(C60="Lower middle income",in_b40_lmi,IF(C60="Upper middle income",in_b40_umi,IF(C60="High income",in_b40_hi,0.03))))</f>
        <v/>
      </c>
      <c r="AA60" s="15">
        <f>(D60+F60)/G60</f>
        <v/>
      </c>
      <c r="AB60" s="28">
        <f>100*W60*R60/V60/in_phase</f>
        <v/>
      </c>
      <c r="AC60" s="29">
        <f>100*Z60*W60*R60/V60*(1-IF(W60&gt;0,MIN(in_rebate/(W60*in_res_sh*in_q40),1),1))</f>
        <v/>
      </c>
      <c r="AD60" s="28">
        <f>IF(AA60&gt;0,100*U60*(1-W60)/(in_whole_sh*V60),0)</f>
        <v/>
      </c>
      <c r="AE60" s="28">
        <f>IF(AA60&gt;0,100*MAX(U60-R60,0)/(in_whole_sh*V60),0)</f>
        <v/>
      </c>
      <c r="AF60" s="16">
        <f>IF(AB60&gt;0,in_f1/AB60,in_cap)</f>
        <v/>
      </c>
      <c r="AG60" s="16">
        <f>IF(AC60&gt;0,in_f2/AC60,in_cap)</f>
        <v/>
      </c>
      <c r="AH60" s="16">
        <f>IF(AD60&gt;0,in_f3/AD60,in_cap)</f>
        <v/>
      </c>
      <c r="AI60" s="16">
        <f>MIN(in_cap,AF60,AG60,AH60)</f>
        <v/>
      </c>
      <c r="AJ60" s="30">
        <f>100*(1-(1-X60*(1-EXP(-((AI60)+(0))/Y60)))*(1-MIN(ABS(in_elas)*W60*R60*(AI60)/V60,1)))</f>
        <v/>
      </c>
      <c r="AK60" s="17">
        <f>IF(AI60&gt;=in_cap-1E-9,"rate cap",TRIM(IF(ABS(AI60-AF60)&lt;1E-9,"F1 ","")&amp;IF(ABS(AI60-AG60)&lt;1E-9,"F2 ","")&amp;IF(ABS(AI60-AH60)&lt;1E-9,"F3","")))</f>
        <v/>
      </c>
      <c r="AL60" s="15">
        <f>100*(1-(1-X60*(1-EXP(-((MIN(in_cap,IF(AB60&gt;0,(in_f1+1)/AB60,in_cap),AG60,AH60))+(0))/Y60)))*(1-MIN(ABS(in_elas)*W60*R60*(MIN(in_cap,IF(AB60&gt;0,(in_f1+1)/AB60,in_cap),AG60,AH60))/V60,1)))-AJ60</f>
        <v/>
      </c>
      <c r="AM60" s="16">
        <f>MIN(in_cap,IF(AE60&gt;0,in_f3/AE60,in_cap))</f>
        <v/>
      </c>
      <c r="AN60" s="30">
        <f>100*(1-(1-X60*(1-EXP(-((0)+(AM60))/Y60)))*(1-MIN(ABS(in_elas)*W60*R60*(0)/V60,1)))</f>
        <v/>
      </c>
      <c r="AO60" s="17">
        <f>IF(AM60&gt;=in_cap-1E-9,"rate cap","F3")</f>
        <v/>
      </c>
      <c r="AP60" s="15">
        <f>100*(1-(1-X60*(1-EXP(-((50)+(0))/Y60)))*(1-MIN(ABS(in_elas)*W60*R60*(50)/V60,1)))</f>
        <v/>
      </c>
      <c r="AQ60" s="15">
        <f>100*(1-(1-X60*(1-EXP(-((0)+(50))/Y60)))*(1-MIN(ABS(in_elas)*W60*R60*(0)/V60,1)))</f>
        <v/>
      </c>
      <c r="AR60" s="15">
        <f>IF(AP60&gt;0,AQ60/AP60,"")</f>
        <v/>
      </c>
      <c r="AS60" s="16">
        <f>50*AB60</f>
        <v/>
      </c>
      <c r="AT60" s="30">
        <f>MAX(BM60:BW60)</f>
        <v/>
      </c>
      <c r="AU60" s="31">
        <f>AI60*(MATCH(AT60,BM60:BW60,0)-1)/10</f>
        <v/>
      </c>
      <c r="AV60" s="31">
        <f>INDEX(BB60:BL60,1,(MATCH(AT60,BM60:BW60,0)-1)+1)</f>
        <v/>
      </c>
      <c r="AW60" s="31">
        <f>AB60*AU60</f>
        <v/>
      </c>
      <c r="AX60" s="30">
        <f>AC60*AU60</f>
        <v/>
      </c>
      <c r="AY60" s="31">
        <f>AD60*AU60+AE60*AV60</f>
        <v/>
      </c>
      <c r="AZ60" s="32">
        <f>TRIM(IF(AND(AU60&gt;0,ABS(AU60-AF60)&lt;1E-6),"F1 ","")&amp;IF(AND(AU60&gt;0,ABS(AU60-AG60)&lt;1E-6),"F2 ","")&amp;IF(AY60&gt;=in_f3-1E-6,"F3 ","")&amp;IF(AV60&gt;=in_cap-1E-9,"rate cap",""))</f>
        <v/>
      </c>
      <c r="BA60" s="31">
        <f>Q60*AT60/100</f>
        <v/>
      </c>
      <c r="BB60" s="16">
        <f>MAX(0,MIN(in_cap,IF(AE60&gt;0,(in_f3-AD60*AI60*0/10)/AE60,in_cap)))</f>
        <v/>
      </c>
      <c r="BC60" s="16">
        <f>MAX(0,MIN(in_cap,IF(AE60&gt;0,(in_f3-AD60*AI60*1/10)/AE60,in_cap)))</f>
        <v/>
      </c>
      <c r="BD60" s="16">
        <f>MAX(0,MIN(in_cap,IF(AE60&gt;0,(in_f3-AD60*AI60*2/10)/AE60,in_cap)))</f>
        <v/>
      </c>
      <c r="BE60" s="16">
        <f>MAX(0,MIN(in_cap,IF(AE60&gt;0,(in_f3-AD60*AI60*3/10)/AE60,in_cap)))</f>
        <v/>
      </c>
      <c r="BF60" s="16">
        <f>MAX(0,MIN(in_cap,IF(AE60&gt;0,(in_f3-AD60*AI60*4/10)/AE60,in_cap)))</f>
        <v/>
      </c>
      <c r="BG60" s="16">
        <f>MAX(0,MIN(in_cap,IF(AE60&gt;0,(in_f3-AD60*AI60*5/10)/AE60,in_cap)))</f>
        <v/>
      </c>
      <c r="BH60" s="16">
        <f>MAX(0,MIN(in_cap,IF(AE60&gt;0,(in_f3-AD60*AI60*6/10)/AE60,in_cap)))</f>
        <v/>
      </c>
      <c r="BI60" s="16">
        <f>MAX(0,MIN(in_cap,IF(AE60&gt;0,(in_f3-AD60*AI60*7/10)/AE60,in_cap)))</f>
        <v/>
      </c>
      <c r="BJ60" s="16">
        <f>MAX(0,MIN(in_cap,IF(AE60&gt;0,(in_f3-AD60*AI60*8/10)/AE60,in_cap)))</f>
        <v/>
      </c>
      <c r="BK60" s="16">
        <f>MAX(0,MIN(in_cap,IF(AE60&gt;0,(in_f3-AD60*AI60*9/10)/AE60,in_cap)))</f>
        <v/>
      </c>
      <c r="BL60" s="16">
        <f>MAX(0,MIN(in_cap,IF(AE60&gt;0,(in_f3-AD60*AI60*10/10)/AE60,in_cap)))</f>
        <v/>
      </c>
      <c r="BM60" s="15">
        <f>100*(1-(1-X60*(1-EXP(-((AI60*0/10)+(BB60))/Y60)))*(1-MIN(ABS(in_elas)*W60*R60*(AI60*0/10)/V60,1)))</f>
        <v/>
      </c>
      <c r="BN60" s="15">
        <f>100*(1-(1-X60*(1-EXP(-((AI60*1/10)+(BC60))/Y60)))*(1-MIN(ABS(in_elas)*W60*R60*(AI60*1/10)/V60,1)))</f>
        <v/>
      </c>
      <c r="BO60" s="15">
        <f>100*(1-(1-X60*(1-EXP(-((AI60*2/10)+(BD60))/Y60)))*(1-MIN(ABS(in_elas)*W60*R60*(AI60*2/10)/V60,1)))</f>
        <v/>
      </c>
      <c r="BP60" s="15">
        <f>100*(1-(1-X60*(1-EXP(-((AI60*3/10)+(BE60))/Y60)))*(1-MIN(ABS(in_elas)*W60*R60*(AI60*3/10)/V60,1)))</f>
        <v/>
      </c>
      <c r="BQ60" s="15">
        <f>100*(1-(1-X60*(1-EXP(-((AI60*4/10)+(BF60))/Y60)))*(1-MIN(ABS(in_elas)*W60*R60*(AI60*4/10)/V60,1)))</f>
        <v/>
      </c>
      <c r="BR60" s="15">
        <f>100*(1-(1-X60*(1-EXP(-((AI60*5/10)+(BG60))/Y60)))*(1-MIN(ABS(in_elas)*W60*R60*(AI60*5/10)/V60,1)))</f>
        <v/>
      </c>
      <c r="BS60" s="15">
        <f>100*(1-(1-X60*(1-EXP(-((AI60*6/10)+(BH60))/Y60)))*(1-MIN(ABS(in_elas)*W60*R60*(AI60*6/10)/V60,1)))</f>
        <v/>
      </c>
      <c r="BT60" s="15">
        <f>100*(1-(1-X60*(1-EXP(-((AI60*7/10)+(BI60))/Y60)))*(1-MIN(ABS(in_elas)*W60*R60*(AI60*7/10)/V60,1)))</f>
        <v/>
      </c>
      <c r="BU60" s="15">
        <f>100*(1-(1-X60*(1-EXP(-((AI60*8/10)+(BJ60))/Y60)))*(1-MIN(ABS(in_elas)*W60*R60*(AI60*8/10)/V60,1)))</f>
        <v/>
      </c>
      <c r="BV60" s="15">
        <f>100*(1-(1-X60*(1-EXP(-((AI60*9/10)+(BK60))/Y60)))*(1-MIN(ABS(in_elas)*W60*R60*(AI60*9/10)/V60,1)))</f>
        <v/>
      </c>
      <c r="BW60" s="15">
        <f>100*(1-(1-X60*(1-EXP(-((AI60*10/10)+(BL60))/Y60)))*(1-MIN(ABS(in_elas)*W60*R60*(AI60*10/10)/V60,1)))</f>
        <v/>
      </c>
    </row>
    <row r="61">
      <c r="A61" s="17" t="inlineStr">
        <is>
          <t>GNB</t>
        </is>
      </c>
      <c r="B61" s="17">
        <f>INDEX(Data!$B:$B,MATCH($A61,Data!$A:$A,0))</f>
        <v/>
      </c>
      <c r="C61" s="17">
        <f>INDEX(Data!$D:$D,MATCH($A61,Data!$A:$A,0))</f>
        <v/>
      </c>
      <c r="D61" s="16">
        <f>SUMIFS(Data!$G:$G,Data!$A:$A,$A61,Data!$F:$F,"gen_coal_twh")</f>
        <v/>
      </c>
      <c r="E61" s="16">
        <f>SUMIFS(Data!$G:$G,Data!$A:$A,$A61,Data!$F:$F,"gen_gas_twh")</f>
        <v/>
      </c>
      <c r="F61" s="16">
        <f>SUMIFS(Data!$G:$G,Data!$A:$A,$A61,Data!$F:$F,"gen_oil_twh")</f>
        <v/>
      </c>
      <c r="G61" s="16">
        <f>SUMIFS(Data!$G:$G,Data!$A:$A,$A61,Data!$F:$F,"gen_total_twh")</f>
        <v/>
      </c>
      <c r="H61" s="16">
        <f>SUMIFS(Data!$G:$G,Data!$A:$A,$A61,Data!$F:$F,"em_coal_mt")</f>
        <v/>
      </c>
      <c r="I61" s="16">
        <f>SUMIFS(Data!$G:$G,Data!$A:$A,$A61,Data!$F:$F,"em_gas_mt")</f>
        <v/>
      </c>
      <c r="J61" s="16">
        <f>SUMIFS(Data!$G:$G,Data!$A:$A,$A61,Data!$F:$F,"em_oil_mt")</f>
        <v/>
      </c>
      <c r="K61" s="28">
        <f>IF(COUNTIFS(Data!$A:$A,$A61,Data!$F:$F,"price_electricity_residential_usd_kwh")=0,"",SUMIFS(Data!$G:$G,Data!$A:$A,$A61,Data!$F:$F,"price_electricity_residential_usd_kwh"))</f>
        <v/>
      </c>
      <c r="L61" s="28">
        <f>IF(COUNTIFS(Data!$A:$A,$A61,Data!$F:$F,"price_coal_power_usd_gj")=0,"",SUMIFS(Data!$G:$G,Data!$A:$A,$A61,Data!$F:$F,"price_coal_power_usd_gj"))</f>
        <v/>
      </c>
      <c r="M61" s="28">
        <f>IF(COUNTIFS(Data!$A:$A,$A61,Data!$F:$F,"price_gas_power_usd_gj")=0,"",SUMIFS(Data!$G:$G,Data!$A:$A,$A61,Data!$F:$F,"price_gas_power_usd_gj"))</f>
        <v/>
      </c>
      <c r="N61" s="28">
        <f>IF(COUNTIFS(Data!$A:$A,$A61,Data!$F:$F,"price_gas_industry_usd_gj")=0,"",SUMIFS(Data!$G:$G,Data!$A:$A,$A61,Data!$F:$F,"price_gas_industry_usd_gj"))</f>
        <v/>
      </c>
      <c r="O61" s="28">
        <f>IF(COUNTIFS(Data!$A:$A,$A61,Data!$F:$F,"power_market_structure")=0,"",SUMIFS(Data!$G:$G,Data!$A:$A,$A61,Data!$F:$F,"power_market_structure"))</f>
        <v/>
      </c>
      <c r="P61" s="28">
        <f>IF(COUNTIFS(Data!$A:$A,$A61,Data!$F:$F,"rise_renewable_energy_score")=0,"",SUMIFS(Data!$G:$G,Data!$A:$A,$A61,Data!$F:$F,"rise_renewable_energy_score"))</f>
        <v/>
      </c>
      <c r="Q61" s="16">
        <f>H61+I61+J61</f>
        <v/>
      </c>
      <c r="R61" s="28">
        <f>Q61/G61</f>
        <v/>
      </c>
      <c r="S61" s="28">
        <f>IF(D61&gt;0,H61/D61,0.85)</f>
        <v/>
      </c>
      <c r="T61" s="28">
        <f>IF(E61&gt;0,I61/E61,0.4)</f>
        <v/>
      </c>
      <c r="U61" s="28">
        <f>IF(D61+F61&gt;0,(H61+J61)/(D61+F61),0)</f>
        <v/>
      </c>
      <c r="V61" s="16">
        <f>K61*1000</f>
        <v/>
      </c>
      <c r="W61" s="15">
        <f>IF(O61=3,in_pt3,IF(O61=2,in_pt2,IF(O61=1,in_pt1,IF(C61="High income",in_pt_hi,in_pt_oth))))</f>
        <v/>
      </c>
      <c r="X61" s="28">
        <f>IF(Q61&gt;0,in_kappa*(in_rise_lo+(in_rise_hi-in_rise_lo)*IF(P61="",in_rise_miss,P61)/100)*(D61+F61)*MAX(U61-in_gas_rep*T61,0)/Q61,0)</f>
        <v/>
      </c>
      <c r="Y61" s="16">
        <f>IF(IF(M61="",N61,M61)="",MAX(in_sw_floor,in_sw_miss),MAX(in_sw_floor,(IF(M61="",N61,M61)*in_hr_gas-L61*in_hr_coal)/MAX(S61-T61,0.1)))</f>
        <v/>
      </c>
      <c r="Z61" s="28">
        <f>IF(C61="Low income",in_b40_li,IF(C61="Lower middle income",in_b40_lmi,IF(C61="Upper middle income",in_b40_umi,IF(C61="High income",in_b40_hi,0.03))))</f>
        <v/>
      </c>
      <c r="AA61" s="15">
        <f>(D61+F61)/G61</f>
        <v/>
      </c>
      <c r="AB61" s="28">
        <f>100*W61*R61/V61/in_phase</f>
        <v/>
      </c>
      <c r="AC61" s="29">
        <f>100*Z61*W61*R61/V61*(1-IF(W61&gt;0,MIN(in_rebate/(W61*in_res_sh*in_q40),1),1))</f>
        <v/>
      </c>
      <c r="AD61" s="28">
        <f>IF(AA61&gt;0,100*U61*(1-W61)/(in_whole_sh*V61),0)</f>
        <v/>
      </c>
      <c r="AE61" s="28">
        <f>IF(AA61&gt;0,100*MAX(U61-R61,0)/(in_whole_sh*V61),0)</f>
        <v/>
      </c>
      <c r="AF61" s="16">
        <f>IF(AB61&gt;0,in_f1/AB61,in_cap)</f>
        <v/>
      </c>
      <c r="AG61" s="16">
        <f>IF(AC61&gt;0,in_f2/AC61,in_cap)</f>
        <v/>
      </c>
      <c r="AH61" s="16">
        <f>IF(AD61&gt;0,in_f3/AD61,in_cap)</f>
        <v/>
      </c>
      <c r="AI61" s="16">
        <f>MIN(in_cap,AF61,AG61,AH61)</f>
        <v/>
      </c>
      <c r="AJ61" s="30">
        <f>100*(1-(1-X61*(1-EXP(-((AI61)+(0))/Y61)))*(1-MIN(ABS(in_elas)*W61*R61*(AI61)/V61,1)))</f>
        <v/>
      </c>
      <c r="AK61" s="17">
        <f>IF(AI61&gt;=in_cap-1E-9,"rate cap",TRIM(IF(ABS(AI61-AF61)&lt;1E-9,"F1 ","")&amp;IF(ABS(AI61-AG61)&lt;1E-9,"F2 ","")&amp;IF(ABS(AI61-AH61)&lt;1E-9,"F3","")))</f>
        <v/>
      </c>
      <c r="AL61" s="15">
        <f>100*(1-(1-X61*(1-EXP(-((MIN(in_cap,IF(AB61&gt;0,(in_f1+1)/AB61,in_cap),AG61,AH61))+(0))/Y61)))*(1-MIN(ABS(in_elas)*W61*R61*(MIN(in_cap,IF(AB61&gt;0,(in_f1+1)/AB61,in_cap),AG61,AH61))/V61,1)))-AJ61</f>
        <v/>
      </c>
      <c r="AM61" s="16">
        <f>MIN(in_cap,IF(AE61&gt;0,in_f3/AE61,in_cap))</f>
        <v/>
      </c>
      <c r="AN61" s="30">
        <f>100*(1-(1-X61*(1-EXP(-((0)+(AM61))/Y61)))*(1-MIN(ABS(in_elas)*W61*R61*(0)/V61,1)))</f>
        <v/>
      </c>
      <c r="AO61" s="17">
        <f>IF(AM61&gt;=in_cap-1E-9,"rate cap","F3")</f>
        <v/>
      </c>
      <c r="AP61" s="15">
        <f>100*(1-(1-X61*(1-EXP(-((50)+(0))/Y61)))*(1-MIN(ABS(in_elas)*W61*R61*(50)/V61,1)))</f>
        <v/>
      </c>
      <c r="AQ61" s="15">
        <f>100*(1-(1-X61*(1-EXP(-((0)+(50))/Y61)))*(1-MIN(ABS(in_elas)*W61*R61*(0)/V61,1)))</f>
        <v/>
      </c>
      <c r="AR61" s="15">
        <f>IF(AP61&gt;0,AQ61/AP61,"")</f>
        <v/>
      </c>
      <c r="AS61" s="16">
        <f>50*AB61</f>
        <v/>
      </c>
      <c r="AT61" s="30">
        <f>MAX(BM61:BW61)</f>
        <v/>
      </c>
      <c r="AU61" s="31">
        <f>AI61*(MATCH(AT61,BM61:BW61,0)-1)/10</f>
        <v/>
      </c>
      <c r="AV61" s="31">
        <f>INDEX(BB61:BL61,1,(MATCH(AT61,BM61:BW61,0)-1)+1)</f>
        <v/>
      </c>
      <c r="AW61" s="31">
        <f>AB61*AU61</f>
        <v/>
      </c>
      <c r="AX61" s="30">
        <f>AC61*AU61</f>
        <v/>
      </c>
      <c r="AY61" s="31">
        <f>AD61*AU61+AE61*AV61</f>
        <v/>
      </c>
      <c r="AZ61" s="32">
        <f>TRIM(IF(AND(AU61&gt;0,ABS(AU61-AF61)&lt;1E-6),"F1 ","")&amp;IF(AND(AU61&gt;0,ABS(AU61-AG61)&lt;1E-6),"F2 ","")&amp;IF(AY61&gt;=in_f3-1E-6,"F3 ","")&amp;IF(AV61&gt;=in_cap-1E-9,"rate cap",""))</f>
        <v/>
      </c>
      <c r="BA61" s="31">
        <f>Q61*AT61/100</f>
        <v/>
      </c>
      <c r="BB61" s="16">
        <f>MAX(0,MIN(in_cap,IF(AE61&gt;0,(in_f3-AD61*AI61*0/10)/AE61,in_cap)))</f>
        <v/>
      </c>
      <c r="BC61" s="16">
        <f>MAX(0,MIN(in_cap,IF(AE61&gt;0,(in_f3-AD61*AI61*1/10)/AE61,in_cap)))</f>
        <v/>
      </c>
      <c r="BD61" s="16">
        <f>MAX(0,MIN(in_cap,IF(AE61&gt;0,(in_f3-AD61*AI61*2/10)/AE61,in_cap)))</f>
        <v/>
      </c>
      <c r="BE61" s="16">
        <f>MAX(0,MIN(in_cap,IF(AE61&gt;0,(in_f3-AD61*AI61*3/10)/AE61,in_cap)))</f>
        <v/>
      </c>
      <c r="BF61" s="16">
        <f>MAX(0,MIN(in_cap,IF(AE61&gt;0,(in_f3-AD61*AI61*4/10)/AE61,in_cap)))</f>
        <v/>
      </c>
      <c r="BG61" s="16">
        <f>MAX(0,MIN(in_cap,IF(AE61&gt;0,(in_f3-AD61*AI61*5/10)/AE61,in_cap)))</f>
        <v/>
      </c>
      <c r="BH61" s="16">
        <f>MAX(0,MIN(in_cap,IF(AE61&gt;0,(in_f3-AD61*AI61*6/10)/AE61,in_cap)))</f>
        <v/>
      </c>
      <c r="BI61" s="16">
        <f>MAX(0,MIN(in_cap,IF(AE61&gt;0,(in_f3-AD61*AI61*7/10)/AE61,in_cap)))</f>
        <v/>
      </c>
      <c r="BJ61" s="16">
        <f>MAX(0,MIN(in_cap,IF(AE61&gt;0,(in_f3-AD61*AI61*8/10)/AE61,in_cap)))</f>
        <v/>
      </c>
      <c r="BK61" s="16">
        <f>MAX(0,MIN(in_cap,IF(AE61&gt;0,(in_f3-AD61*AI61*9/10)/AE61,in_cap)))</f>
        <v/>
      </c>
      <c r="BL61" s="16">
        <f>MAX(0,MIN(in_cap,IF(AE61&gt;0,(in_f3-AD61*AI61*10/10)/AE61,in_cap)))</f>
        <v/>
      </c>
      <c r="BM61" s="15">
        <f>100*(1-(1-X61*(1-EXP(-((AI61*0/10)+(BB61))/Y61)))*(1-MIN(ABS(in_elas)*W61*R61*(AI61*0/10)/V61,1)))</f>
        <v/>
      </c>
      <c r="BN61" s="15">
        <f>100*(1-(1-X61*(1-EXP(-((AI61*1/10)+(BC61))/Y61)))*(1-MIN(ABS(in_elas)*W61*R61*(AI61*1/10)/V61,1)))</f>
        <v/>
      </c>
      <c r="BO61" s="15">
        <f>100*(1-(1-X61*(1-EXP(-((AI61*2/10)+(BD61))/Y61)))*(1-MIN(ABS(in_elas)*W61*R61*(AI61*2/10)/V61,1)))</f>
        <v/>
      </c>
      <c r="BP61" s="15">
        <f>100*(1-(1-X61*(1-EXP(-((AI61*3/10)+(BE61))/Y61)))*(1-MIN(ABS(in_elas)*W61*R61*(AI61*3/10)/V61,1)))</f>
        <v/>
      </c>
      <c r="BQ61" s="15">
        <f>100*(1-(1-X61*(1-EXP(-((AI61*4/10)+(BF61))/Y61)))*(1-MIN(ABS(in_elas)*W61*R61*(AI61*4/10)/V61,1)))</f>
        <v/>
      </c>
      <c r="BR61" s="15">
        <f>100*(1-(1-X61*(1-EXP(-((AI61*5/10)+(BG61))/Y61)))*(1-MIN(ABS(in_elas)*W61*R61*(AI61*5/10)/V61,1)))</f>
        <v/>
      </c>
      <c r="BS61" s="15">
        <f>100*(1-(1-X61*(1-EXP(-((AI61*6/10)+(BH61))/Y61)))*(1-MIN(ABS(in_elas)*W61*R61*(AI61*6/10)/V61,1)))</f>
        <v/>
      </c>
      <c r="BT61" s="15">
        <f>100*(1-(1-X61*(1-EXP(-((AI61*7/10)+(BI61))/Y61)))*(1-MIN(ABS(in_elas)*W61*R61*(AI61*7/10)/V61,1)))</f>
        <v/>
      </c>
      <c r="BU61" s="15">
        <f>100*(1-(1-X61*(1-EXP(-((AI61*8/10)+(BJ61))/Y61)))*(1-MIN(ABS(in_elas)*W61*R61*(AI61*8/10)/V61,1)))</f>
        <v/>
      </c>
      <c r="BV61" s="15">
        <f>100*(1-(1-X61*(1-EXP(-((AI61*9/10)+(BK61))/Y61)))*(1-MIN(ABS(in_elas)*W61*R61*(AI61*9/10)/V61,1)))</f>
        <v/>
      </c>
      <c r="BW61" s="15">
        <f>100*(1-(1-X61*(1-EXP(-((AI61*10/10)+(BL61))/Y61)))*(1-MIN(ABS(in_elas)*W61*R61*(AI61*10/10)/V61,1)))</f>
        <v/>
      </c>
    </row>
    <row r="62">
      <c r="A62" s="17" t="inlineStr">
        <is>
          <t>GNQ</t>
        </is>
      </c>
      <c r="B62" s="17">
        <f>INDEX(Data!$B:$B,MATCH($A62,Data!$A:$A,0))</f>
        <v/>
      </c>
      <c r="C62" s="17">
        <f>INDEX(Data!$D:$D,MATCH($A62,Data!$A:$A,0))</f>
        <v/>
      </c>
      <c r="D62" s="16">
        <f>SUMIFS(Data!$G:$G,Data!$A:$A,$A62,Data!$F:$F,"gen_coal_twh")</f>
        <v/>
      </c>
      <c r="E62" s="16">
        <f>SUMIFS(Data!$G:$G,Data!$A:$A,$A62,Data!$F:$F,"gen_gas_twh")</f>
        <v/>
      </c>
      <c r="F62" s="16">
        <f>SUMIFS(Data!$G:$G,Data!$A:$A,$A62,Data!$F:$F,"gen_oil_twh")</f>
        <v/>
      </c>
      <c r="G62" s="16">
        <f>SUMIFS(Data!$G:$G,Data!$A:$A,$A62,Data!$F:$F,"gen_total_twh")</f>
        <v/>
      </c>
      <c r="H62" s="16">
        <f>SUMIFS(Data!$G:$G,Data!$A:$A,$A62,Data!$F:$F,"em_coal_mt")</f>
        <v/>
      </c>
      <c r="I62" s="16">
        <f>SUMIFS(Data!$G:$G,Data!$A:$A,$A62,Data!$F:$F,"em_gas_mt")</f>
        <v/>
      </c>
      <c r="J62" s="16">
        <f>SUMIFS(Data!$G:$G,Data!$A:$A,$A62,Data!$F:$F,"em_oil_mt")</f>
        <v/>
      </c>
      <c r="K62" s="28">
        <f>IF(COUNTIFS(Data!$A:$A,$A62,Data!$F:$F,"price_electricity_residential_usd_kwh")=0,"",SUMIFS(Data!$G:$G,Data!$A:$A,$A62,Data!$F:$F,"price_electricity_residential_usd_kwh"))</f>
        <v/>
      </c>
      <c r="L62" s="28">
        <f>IF(COUNTIFS(Data!$A:$A,$A62,Data!$F:$F,"price_coal_power_usd_gj")=0,"",SUMIFS(Data!$G:$G,Data!$A:$A,$A62,Data!$F:$F,"price_coal_power_usd_gj"))</f>
        <v/>
      </c>
      <c r="M62" s="28">
        <f>IF(COUNTIFS(Data!$A:$A,$A62,Data!$F:$F,"price_gas_power_usd_gj")=0,"",SUMIFS(Data!$G:$G,Data!$A:$A,$A62,Data!$F:$F,"price_gas_power_usd_gj"))</f>
        <v/>
      </c>
      <c r="N62" s="28">
        <f>IF(COUNTIFS(Data!$A:$A,$A62,Data!$F:$F,"price_gas_industry_usd_gj")=0,"",SUMIFS(Data!$G:$G,Data!$A:$A,$A62,Data!$F:$F,"price_gas_industry_usd_gj"))</f>
        <v/>
      </c>
      <c r="O62" s="28">
        <f>IF(COUNTIFS(Data!$A:$A,$A62,Data!$F:$F,"power_market_structure")=0,"",SUMIFS(Data!$G:$G,Data!$A:$A,$A62,Data!$F:$F,"power_market_structure"))</f>
        <v/>
      </c>
      <c r="P62" s="28">
        <f>IF(COUNTIFS(Data!$A:$A,$A62,Data!$F:$F,"rise_renewable_energy_score")=0,"",SUMIFS(Data!$G:$G,Data!$A:$A,$A62,Data!$F:$F,"rise_renewable_energy_score"))</f>
        <v/>
      </c>
      <c r="Q62" s="16">
        <f>H62+I62+J62</f>
        <v/>
      </c>
      <c r="R62" s="28">
        <f>Q62/G62</f>
        <v/>
      </c>
      <c r="S62" s="28">
        <f>IF(D62&gt;0,H62/D62,0.85)</f>
        <v/>
      </c>
      <c r="T62" s="28">
        <f>IF(E62&gt;0,I62/E62,0.4)</f>
        <v/>
      </c>
      <c r="U62" s="28">
        <f>IF(D62+F62&gt;0,(H62+J62)/(D62+F62),0)</f>
        <v/>
      </c>
      <c r="V62" s="16">
        <f>K62*1000</f>
        <v/>
      </c>
      <c r="W62" s="15">
        <f>IF(O62=3,in_pt3,IF(O62=2,in_pt2,IF(O62=1,in_pt1,IF(C62="High income",in_pt_hi,in_pt_oth))))</f>
        <v/>
      </c>
      <c r="X62" s="28">
        <f>IF(Q62&gt;0,in_kappa*(in_rise_lo+(in_rise_hi-in_rise_lo)*IF(P62="",in_rise_miss,P62)/100)*(D62+F62)*MAX(U62-in_gas_rep*T62,0)/Q62,0)</f>
        <v/>
      </c>
      <c r="Y62" s="16">
        <f>IF(IF(M62="",N62,M62)="",MAX(in_sw_floor,in_sw_miss),MAX(in_sw_floor,(IF(M62="",N62,M62)*in_hr_gas-L62*in_hr_coal)/MAX(S62-T62,0.1)))</f>
        <v/>
      </c>
      <c r="Z62" s="28">
        <f>IF(C62="Low income",in_b40_li,IF(C62="Lower middle income",in_b40_lmi,IF(C62="Upper middle income",in_b40_umi,IF(C62="High income",in_b40_hi,0.03))))</f>
        <v/>
      </c>
      <c r="AA62" s="15">
        <f>(D62+F62)/G62</f>
        <v/>
      </c>
      <c r="AB62" s="28">
        <f>100*W62*R62/V62/in_phase</f>
        <v/>
      </c>
      <c r="AC62" s="29">
        <f>100*Z62*W62*R62/V62*(1-IF(W62&gt;0,MIN(in_rebate/(W62*in_res_sh*in_q40),1),1))</f>
        <v/>
      </c>
      <c r="AD62" s="28">
        <f>IF(AA62&gt;0,100*U62*(1-W62)/(in_whole_sh*V62),0)</f>
        <v/>
      </c>
      <c r="AE62" s="28">
        <f>IF(AA62&gt;0,100*MAX(U62-R62,0)/(in_whole_sh*V62),0)</f>
        <v/>
      </c>
      <c r="AF62" s="16">
        <f>IF(AB62&gt;0,in_f1/AB62,in_cap)</f>
        <v/>
      </c>
      <c r="AG62" s="16">
        <f>IF(AC62&gt;0,in_f2/AC62,in_cap)</f>
        <v/>
      </c>
      <c r="AH62" s="16">
        <f>IF(AD62&gt;0,in_f3/AD62,in_cap)</f>
        <v/>
      </c>
      <c r="AI62" s="16">
        <f>MIN(in_cap,AF62,AG62,AH62)</f>
        <v/>
      </c>
      <c r="AJ62" s="30">
        <f>100*(1-(1-X62*(1-EXP(-((AI62)+(0))/Y62)))*(1-MIN(ABS(in_elas)*W62*R62*(AI62)/V62,1)))</f>
        <v/>
      </c>
      <c r="AK62" s="17">
        <f>IF(AI62&gt;=in_cap-1E-9,"rate cap",TRIM(IF(ABS(AI62-AF62)&lt;1E-9,"F1 ","")&amp;IF(ABS(AI62-AG62)&lt;1E-9,"F2 ","")&amp;IF(ABS(AI62-AH62)&lt;1E-9,"F3","")))</f>
        <v/>
      </c>
      <c r="AL62" s="15">
        <f>100*(1-(1-X62*(1-EXP(-((MIN(in_cap,IF(AB62&gt;0,(in_f1+1)/AB62,in_cap),AG62,AH62))+(0))/Y62)))*(1-MIN(ABS(in_elas)*W62*R62*(MIN(in_cap,IF(AB62&gt;0,(in_f1+1)/AB62,in_cap),AG62,AH62))/V62,1)))-AJ62</f>
        <v/>
      </c>
      <c r="AM62" s="16">
        <f>MIN(in_cap,IF(AE62&gt;0,in_f3/AE62,in_cap))</f>
        <v/>
      </c>
      <c r="AN62" s="30">
        <f>100*(1-(1-X62*(1-EXP(-((0)+(AM62))/Y62)))*(1-MIN(ABS(in_elas)*W62*R62*(0)/V62,1)))</f>
        <v/>
      </c>
      <c r="AO62" s="17">
        <f>IF(AM62&gt;=in_cap-1E-9,"rate cap","F3")</f>
        <v/>
      </c>
      <c r="AP62" s="15">
        <f>100*(1-(1-X62*(1-EXP(-((50)+(0))/Y62)))*(1-MIN(ABS(in_elas)*W62*R62*(50)/V62,1)))</f>
        <v/>
      </c>
      <c r="AQ62" s="15">
        <f>100*(1-(1-X62*(1-EXP(-((0)+(50))/Y62)))*(1-MIN(ABS(in_elas)*W62*R62*(0)/V62,1)))</f>
        <v/>
      </c>
      <c r="AR62" s="15">
        <f>IF(AP62&gt;0,AQ62/AP62,"")</f>
        <v/>
      </c>
      <c r="AS62" s="16">
        <f>50*AB62</f>
        <v/>
      </c>
      <c r="AT62" s="30">
        <f>MAX(BM62:BW62)</f>
        <v/>
      </c>
      <c r="AU62" s="31">
        <f>AI62*(MATCH(AT62,BM62:BW62,0)-1)/10</f>
        <v/>
      </c>
      <c r="AV62" s="31">
        <f>INDEX(BB62:BL62,1,(MATCH(AT62,BM62:BW62,0)-1)+1)</f>
        <v/>
      </c>
      <c r="AW62" s="31">
        <f>AB62*AU62</f>
        <v/>
      </c>
      <c r="AX62" s="30">
        <f>AC62*AU62</f>
        <v/>
      </c>
      <c r="AY62" s="31">
        <f>AD62*AU62+AE62*AV62</f>
        <v/>
      </c>
      <c r="AZ62" s="32">
        <f>TRIM(IF(AND(AU62&gt;0,ABS(AU62-AF62)&lt;1E-6),"F1 ","")&amp;IF(AND(AU62&gt;0,ABS(AU62-AG62)&lt;1E-6),"F2 ","")&amp;IF(AY62&gt;=in_f3-1E-6,"F3 ","")&amp;IF(AV62&gt;=in_cap-1E-9,"rate cap",""))</f>
        <v/>
      </c>
      <c r="BA62" s="31">
        <f>Q62*AT62/100</f>
        <v/>
      </c>
      <c r="BB62" s="16">
        <f>MAX(0,MIN(in_cap,IF(AE62&gt;0,(in_f3-AD62*AI62*0/10)/AE62,in_cap)))</f>
        <v/>
      </c>
      <c r="BC62" s="16">
        <f>MAX(0,MIN(in_cap,IF(AE62&gt;0,(in_f3-AD62*AI62*1/10)/AE62,in_cap)))</f>
        <v/>
      </c>
      <c r="BD62" s="16">
        <f>MAX(0,MIN(in_cap,IF(AE62&gt;0,(in_f3-AD62*AI62*2/10)/AE62,in_cap)))</f>
        <v/>
      </c>
      <c r="BE62" s="16">
        <f>MAX(0,MIN(in_cap,IF(AE62&gt;0,(in_f3-AD62*AI62*3/10)/AE62,in_cap)))</f>
        <v/>
      </c>
      <c r="BF62" s="16">
        <f>MAX(0,MIN(in_cap,IF(AE62&gt;0,(in_f3-AD62*AI62*4/10)/AE62,in_cap)))</f>
        <v/>
      </c>
      <c r="BG62" s="16">
        <f>MAX(0,MIN(in_cap,IF(AE62&gt;0,(in_f3-AD62*AI62*5/10)/AE62,in_cap)))</f>
        <v/>
      </c>
      <c r="BH62" s="16">
        <f>MAX(0,MIN(in_cap,IF(AE62&gt;0,(in_f3-AD62*AI62*6/10)/AE62,in_cap)))</f>
        <v/>
      </c>
      <c r="BI62" s="16">
        <f>MAX(0,MIN(in_cap,IF(AE62&gt;0,(in_f3-AD62*AI62*7/10)/AE62,in_cap)))</f>
        <v/>
      </c>
      <c r="BJ62" s="16">
        <f>MAX(0,MIN(in_cap,IF(AE62&gt;0,(in_f3-AD62*AI62*8/10)/AE62,in_cap)))</f>
        <v/>
      </c>
      <c r="BK62" s="16">
        <f>MAX(0,MIN(in_cap,IF(AE62&gt;0,(in_f3-AD62*AI62*9/10)/AE62,in_cap)))</f>
        <v/>
      </c>
      <c r="BL62" s="16">
        <f>MAX(0,MIN(in_cap,IF(AE62&gt;0,(in_f3-AD62*AI62*10/10)/AE62,in_cap)))</f>
        <v/>
      </c>
      <c r="BM62" s="15">
        <f>100*(1-(1-X62*(1-EXP(-((AI62*0/10)+(BB62))/Y62)))*(1-MIN(ABS(in_elas)*W62*R62*(AI62*0/10)/V62,1)))</f>
        <v/>
      </c>
      <c r="BN62" s="15">
        <f>100*(1-(1-X62*(1-EXP(-((AI62*1/10)+(BC62))/Y62)))*(1-MIN(ABS(in_elas)*W62*R62*(AI62*1/10)/V62,1)))</f>
        <v/>
      </c>
      <c r="BO62" s="15">
        <f>100*(1-(1-X62*(1-EXP(-((AI62*2/10)+(BD62))/Y62)))*(1-MIN(ABS(in_elas)*W62*R62*(AI62*2/10)/V62,1)))</f>
        <v/>
      </c>
      <c r="BP62" s="15">
        <f>100*(1-(1-X62*(1-EXP(-((AI62*3/10)+(BE62))/Y62)))*(1-MIN(ABS(in_elas)*W62*R62*(AI62*3/10)/V62,1)))</f>
        <v/>
      </c>
      <c r="BQ62" s="15">
        <f>100*(1-(1-X62*(1-EXP(-((AI62*4/10)+(BF62))/Y62)))*(1-MIN(ABS(in_elas)*W62*R62*(AI62*4/10)/V62,1)))</f>
        <v/>
      </c>
      <c r="BR62" s="15">
        <f>100*(1-(1-X62*(1-EXP(-((AI62*5/10)+(BG62))/Y62)))*(1-MIN(ABS(in_elas)*W62*R62*(AI62*5/10)/V62,1)))</f>
        <v/>
      </c>
      <c r="BS62" s="15">
        <f>100*(1-(1-X62*(1-EXP(-((AI62*6/10)+(BH62))/Y62)))*(1-MIN(ABS(in_elas)*W62*R62*(AI62*6/10)/V62,1)))</f>
        <v/>
      </c>
      <c r="BT62" s="15">
        <f>100*(1-(1-X62*(1-EXP(-((AI62*7/10)+(BI62))/Y62)))*(1-MIN(ABS(in_elas)*W62*R62*(AI62*7/10)/V62,1)))</f>
        <v/>
      </c>
      <c r="BU62" s="15">
        <f>100*(1-(1-X62*(1-EXP(-((AI62*8/10)+(BJ62))/Y62)))*(1-MIN(ABS(in_elas)*W62*R62*(AI62*8/10)/V62,1)))</f>
        <v/>
      </c>
      <c r="BV62" s="15">
        <f>100*(1-(1-X62*(1-EXP(-((AI62*9/10)+(BK62))/Y62)))*(1-MIN(ABS(in_elas)*W62*R62*(AI62*9/10)/V62,1)))</f>
        <v/>
      </c>
      <c r="BW62" s="15">
        <f>100*(1-(1-X62*(1-EXP(-((AI62*10/10)+(BL62))/Y62)))*(1-MIN(ABS(in_elas)*W62*R62*(AI62*10/10)/V62,1)))</f>
        <v/>
      </c>
    </row>
    <row r="63">
      <c r="A63" s="17" t="inlineStr">
        <is>
          <t>GRC</t>
        </is>
      </c>
      <c r="B63" s="17">
        <f>INDEX(Data!$B:$B,MATCH($A63,Data!$A:$A,0))</f>
        <v/>
      </c>
      <c r="C63" s="17">
        <f>INDEX(Data!$D:$D,MATCH($A63,Data!$A:$A,0))</f>
        <v/>
      </c>
      <c r="D63" s="16">
        <f>SUMIFS(Data!$G:$G,Data!$A:$A,$A63,Data!$F:$F,"gen_coal_twh")</f>
        <v/>
      </c>
      <c r="E63" s="16">
        <f>SUMIFS(Data!$G:$G,Data!$A:$A,$A63,Data!$F:$F,"gen_gas_twh")</f>
        <v/>
      </c>
      <c r="F63" s="16">
        <f>SUMIFS(Data!$G:$G,Data!$A:$A,$A63,Data!$F:$F,"gen_oil_twh")</f>
        <v/>
      </c>
      <c r="G63" s="16">
        <f>SUMIFS(Data!$G:$G,Data!$A:$A,$A63,Data!$F:$F,"gen_total_twh")</f>
        <v/>
      </c>
      <c r="H63" s="16">
        <f>SUMIFS(Data!$G:$G,Data!$A:$A,$A63,Data!$F:$F,"em_coal_mt")</f>
        <v/>
      </c>
      <c r="I63" s="16">
        <f>SUMIFS(Data!$G:$G,Data!$A:$A,$A63,Data!$F:$F,"em_gas_mt")</f>
        <v/>
      </c>
      <c r="J63" s="16">
        <f>SUMIFS(Data!$G:$G,Data!$A:$A,$A63,Data!$F:$F,"em_oil_mt")</f>
        <v/>
      </c>
      <c r="K63" s="28">
        <f>IF(COUNTIFS(Data!$A:$A,$A63,Data!$F:$F,"price_electricity_residential_usd_kwh")=0,"",SUMIFS(Data!$G:$G,Data!$A:$A,$A63,Data!$F:$F,"price_electricity_residential_usd_kwh"))</f>
        <v/>
      </c>
      <c r="L63" s="28">
        <f>IF(COUNTIFS(Data!$A:$A,$A63,Data!$F:$F,"price_coal_power_usd_gj")=0,"",SUMIFS(Data!$G:$G,Data!$A:$A,$A63,Data!$F:$F,"price_coal_power_usd_gj"))</f>
        <v/>
      </c>
      <c r="M63" s="28">
        <f>IF(COUNTIFS(Data!$A:$A,$A63,Data!$F:$F,"price_gas_power_usd_gj")=0,"",SUMIFS(Data!$G:$G,Data!$A:$A,$A63,Data!$F:$F,"price_gas_power_usd_gj"))</f>
        <v/>
      </c>
      <c r="N63" s="28">
        <f>IF(COUNTIFS(Data!$A:$A,$A63,Data!$F:$F,"price_gas_industry_usd_gj")=0,"",SUMIFS(Data!$G:$G,Data!$A:$A,$A63,Data!$F:$F,"price_gas_industry_usd_gj"))</f>
        <v/>
      </c>
      <c r="O63" s="28">
        <f>IF(COUNTIFS(Data!$A:$A,$A63,Data!$F:$F,"power_market_structure")=0,"",SUMIFS(Data!$G:$G,Data!$A:$A,$A63,Data!$F:$F,"power_market_structure"))</f>
        <v/>
      </c>
      <c r="P63" s="28">
        <f>IF(COUNTIFS(Data!$A:$A,$A63,Data!$F:$F,"rise_renewable_energy_score")=0,"",SUMIFS(Data!$G:$G,Data!$A:$A,$A63,Data!$F:$F,"rise_renewable_energy_score"))</f>
        <v/>
      </c>
      <c r="Q63" s="16">
        <f>H63+I63+J63</f>
        <v/>
      </c>
      <c r="R63" s="28">
        <f>Q63/G63</f>
        <v/>
      </c>
      <c r="S63" s="28">
        <f>IF(D63&gt;0,H63/D63,0.85)</f>
        <v/>
      </c>
      <c r="T63" s="28">
        <f>IF(E63&gt;0,I63/E63,0.4)</f>
        <v/>
      </c>
      <c r="U63" s="28">
        <f>IF(D63+F63&gt;0,(H63+J63)/(D63+F63),0)</f>
        <v/>
      </c>
      <c r="V63" s="16">
        <f>K63*1000</f>
        <v/>
      </c>
      <c r="W63" s="15">
        <f>IF(O63=3,in_pt3,IF(O63=2,in_pt2,IF(O63=1,in_pt1,IF(C63="High income",in_pt_hi,in_pt_oth))))</f>
        <v/>
      </c>
      <c r="X63" s="28">
        <f>IF(Q63&gt;0,in_kappa*(in_rise_lo+(in_rise_hi-in_rise_lo)*IF(P63="",in_rise_miss,P63)/100)*(D63+F63)*MAX(U63-in_gas_rep*T63,0)/Q63,0)</f>
        <v/>
      </c>
      <c r="Y63" s="16">
        <f>IF(IF(M63="",N63,M63)="",MAX(in_sw_floor,in_sw_miss),MAX(in_sw_floor,(IF(M63="",N63,M63)*in_hr_gas-L63*in_hr_coal)/MAX(S63-T63,0.1)))</f>
        <v/>
      </c>
      <c r="Z63" s="28">
        <f>IF(C63="Low income",in_b40_li,IF(C63="Lower middle income",in_b40_lmi,IF(C63="Upper middle income",in_b40_umi,IF(C63="High income",in_b40_hi,0.03))))</f>
        <v/>
      </c>
      <c r="AA63" s="15">
        <f>(D63+F63)/G63</f>
        <v/>
      </c>
      <c r="AB63" s="28">
        <f>100*W63*R63/V63/in_phase</f>
        <v/>
      </c>
      <c r="AC63" s="29">
        <f>100*Z63*W63*R63/V63*(1-IF(W63&gt;0,MIN(in_rebate/(W63*in_res_sh*in_q40),1),1))</f>
        <v/>
      </c>
      <c r="AD63" s="28">
        <f>IF(AA63&gt;0,100*U63*(1-W63)/(in_whole_sh*V63),0)</f>
        <v/>
      </c>
      <c r="AE63" s="28">
        <f>IF(AA63&gt;0,100*MAX(U63-R63,0)/(in_whole_sh*V63),0)</f>
        <v/>
      </c>
      <c r="AF63" s="16">
        <f>IF(AB63&gt;0,in_f1/AB63,in_cap)</f>
        <v/>
      </c>
      <c r="AG63" s="16">
        <f>IF(AC63&gt;0,in_f2/AC63,in_cap)</f>
        <v/>
      </c>
      <c r="AH63" s="16">
        <f>IF(AD63&gt;0,in_f3/AD63,in_cap)</f>
        <v/>
      </c>
      <c r="AI63" s="16">
        <f>MIN(in_cap,AF63,AG63,AH63)</f>
        <v/>
      </c>
      <c r="AJ63" s="30">
        <f>100*(1-(1-X63*(1-EXP(-((AI63)+(0))/Y63)))*(1-MIN(ABS(in_elas)*W63*R63*(AI63)/V63,1)))</f>
        <v/>
      </c>
      <c r="AK63" s="17">
        <f>IF(AI63&gt;=in_cap-1E-9,"rate cap",TRIM(IF(ABS(AI63-AF63)&lt;1E-9,"F1 ","")&amp;IF(ABS(AI63-AG63)&lt;1E-9,"F2 ","")&amp;IF(ABS(AI63-AH63)&lt;1E-9,"F3","")))</f>
        <v/>
      </c>
      <c r="AL63" s="15">
        <f>100*(1-(1-X63*(1-EXP(-((MIN(in_cap,IF(AB63&gt;0,(in_f1+1)/AB63,in_cap),AG63,AH63))+(0))/Y63)))*(1-MIN(ABS(in_elas)*W63*R63*(MIN(in_cap,IF(AB63&gt;0,(in_f1+1)/AB63,in_cap),AG63,AH63))/V63,1)))-AJ63</f>
        <v/>
      </c>
      <c r="AM63" s="16">
        <f>MIN(in_cap,IF(AE63&gt;0,in_f3/AE63,in_cap))</f>
        <v/>
      </c>
      <c r="AN63" s="30">
        <f>100*(1-(1-X63*(1-EXP(-((0)+(AM63))/Y63)))*(1-MIN(ABS(in_elas)*W63*R63*(0)/V63,1)))</f>
        <v/>
      </c>
      <c r="AO63" s="17">
        <f>IF(AM63&gt;=in_cap-1E-9,"rate cap","F3")</f>
        <v/>
      </c>
      <c r="AP63" s="15">
        <f>100*(1-(1-X63*(1-EXP(-((50)+(0))/Y63)))*(1-MIN(ABS(in_elas)*W63*R63*(50)/V63,1)))</f>
        <v/>
      </c>
      <c r="AQ63" s="15">
        <f>100*(1-(1-X63*(1-EXP(-((0)+(50))/Y63)))*(1-MIN(ABS(in_elas)*W63*R63*(0)/V63,1)))</f>
        <v/>
      </c>
      <c r="AR63" s="15">
        <f>IF(AP63&gt;0,AQ63/AP63,"")</f>
        <v/>
      </c>
      <c r="AS63" s="16">
        <f>50*AB63</f>
        <v/>
      </c>
      <c r="AT63" s="30">
        <f>MAX(BM63:BW63)</f>
        <v/>
      </c>
      <c r="AU63" s="31">
        <f>AI63*(MATCH(AT63,BM63:BW63,0)-1)/10</f>
        <v/>
      </c>
      <c r="AV63" s="31">
        <f>INDEX(BB63:BL63,1,(MATCH(AT63,BM63:BW63,0)-1)+1)</f>
        <v/>
      </c>
      <c r="AW63" s="31">
        <f>AB63*AU63</f>
        <v/>
      </c>
      <c r="AX63" s="30">
        <f>AC63*AU63</f>
        <v/>
      </c>
      <c r="AY63" s="31">
        <f>AD63*AU63+AE63*AV63</f>
        <v/>
      </c>
      <c r="AZ63" s="32">
        <f>TRIM(IF(AND(AU63&gt;0,ABS(AU63-AF63)&lt;1E-6),"F1 ","")&amp;IF(AND(AU63&gt;0,ABS(AU63-AG63)&lt;1E-6),"F2 ","")&amp;IF(AY63&gt;=in_f3-1E-6,"F3 ","")&amp;IF(AV63&gt;=in_cap-1E-9,"rate cap",""))</f>
        <v/>
      </c>
      <c r="BA63" s="31">
        <f>Q63*AT63/100</f>
        <v/>
      </c>
      <c r="BB63" s="16">
        <f>MAX(0,MIN(in_cap,IF(AE63&gt;0,(in_f3-AD63*AI63*0/10)/AE63,in_cap)))</f>
        <v/>
      </c>
      <c r="BC63" s="16">
        <f>MAX(0,MIN(in_cap,IF(AE63&gt;0,(in_f3-AD63*AI63*1/10)/AE63,in_cap)))</f>
        <v/>
      </c>
      <c r="BD63" s="16">
        <f>MAX(0,MIN(in_cap,IF(AE63&gt;0,(in_f3-AD63*AI63*2/10)/AE63,in_cap)))</f>
        <v/>
      </c>
      <c r="BE63" s="16">
        <f>MAX(0,MIN(in_cap,IF(AE63&gt;0,(in_f3-AD63*AI63*3/10)/AE63,in_cap)))</f>
        <v/>
      </c>
      <c r="BF63" s="16">
        <f>MAX(0,MIN(in_cap,IF(AE63&gt;0,(in_f3-AD63*AI63*4/10)/AE63,in_cap)))</f>
        <v/>
      </c>
      <c r="BG63" s="16">
        <f>MAX(0,MIN(in_cap,IF(AE63&gt;0,(in_f3-AD63*AI63*5/10)/AE63,in_cap)))</f>
        <v/>
      </c>
      <c r="BH63" s="16">
        <f>MAX(0,MIN(in_cap,IF(AE63&gt;0,(in_f3-AD63*AI63*6/10)/AE63,in_cap)))</f>
        <v/>
      </c>
      <c r="BI63" s="16">
        <f>MAX(0,MIN(in_cap,IF(AE63&gt;0,(in_f3-AD63*AI63*7/10)/AE63,in_cap)))</f>
        <v/>
      </c>
      <c r="BJ63" s="16">
        <f>MAX(0,MIN(in_cap,IF(AE63&gt;0,(in_f3-AD63*AI63*8/10)/AE63,in_cap)))</f>
        <v/>
      </c>
      <c r="BK63" s="16">
        <f>MAX(0,MIN(in_cap,IF(AE63&gt;0,(in_f3-AD63*AI63*9/10)/AE63,in_cap)))</f>
        <v/>
      </c>
      <c r="BL63" s="16">
        <f>MAX(0,MIN(in_cap,IF(AE63&gt;0,(in_f3-AD63*AI63*10/10)/AE63,in_cap)))</f>
        <v/>
      </c>
      <c r="BM63" s="15">
        <f>100*(1-(1-X63*(1-EXP(-((AI63*0/10)+(BB63))/Y63)))*(1-MIN(ABS(in_elas)*W63*R63*(AI63*0/10)/V63,1)))</f>
        <v/>
      </c>
      <c r="BN63" s="15">
        <f>100*(1-(1-X63*(1-EXP(-((AI63*1/10)+(BC63))/Y63)))*(1-MIN(ABS(in_elas)*W63*R63*(AI63*1/10)/V63,1)))</f>
        <v/>
      </c>
      <c r="BO63" s="15">
        <f>100*(1-(1-X63*(1-EXP(-((AI63*2/10)+(BD63))/Y63)))*(1-MIN(ABS(in_elas)*W63*R63*(AI63*2/10)/V63,1)))</f>
        <v/>
      </c>
      <c r="BP63" s="15">
        <f>100*(1-(1-X63*(1-EXP(-((AI63*3/10)+(BE63))/Y63)))*(1-MIN(ABS(in_elas)*W63*R63*(AI63*3/10)/V63,1)))</f>
        <v/>
      </c>
      <c r="BQ63" s="15">
        <f>100*(1-(1-X63*(1-EXP(-((AI63*4/10)+(BF63))/Y63)))*(1-MIN(ABS(in_elas)*W63*R63*(AI63*4/10)/V63,1)))</f>
        <v/>
      </c>
      <c r="BR63" s="15">
        <f>100*(1-(1-X63*(1-EXP(-((AI63*5/10)+(BG63))/Y63)))*(1-MIN(ABS(in_elas)*W63*R63*(AI63*5/10)/V63,1)))</f>
        <v/>
      </c>
      <c r="BS63" s="15">
        <f>100*(1-(1-X63*(1-EXP(-((AI63*6/10)+(BH63))/Y63)))*(1-MIN(ABS(in_elas)*W63*R63*(AI63*6/10)/V63,1)))</f>
        <v/>
      </c>
      <c r="BT63" s="15">
        <f>100*(1-(1-X63*(1-EXP(-((AI63*7/10)+(BI63))/Y63)))*(1-MIN(ABS(in_elas)*W63*R63*(AI63*7/10)/V63,1)))</f>
        <v/>
      </c>
      <c r="BU63" s="15">
        <f>100*(1-(1-X63*(1-EXP(-((AI63*8/10)+(BJ63))/Y63)))*(1-MIN(ABS(in_elas)*W63*R63*(AI63*8/10)/V63,1)))</f>
        <v/>
      </c>
      <c r="BV63" s="15">
        <f>100*(1-(1-X63*(1-EXP(-((AI63*9/10)+(BK63))/Y63)))*(1-MIN(ABS(in_elas)*W63*R63*(AI63*9/10)/V63,1)))</f>
        <v/>
      </c>
      <c r="BW63" s="15">
        <f>100*(1-(1-X63*(1-EXP(-((AI63*10/10)+(BL63))/Y63)))*(1-MIN(ABS(in_elas)*W63*R63*(AI63*10/10)/V63,1)))</f>
        <v/>
      </c>
    </row>
    <row r="64">
      <c r="A64" s="17" t="inlineStr">
        <is>
          <t>GRD</t>
        </is>
      </c>
      <c r="B64" s="17">
        <f>INDEX(Data!$B:$B,MATCH($A64,Data!$A:$A,0))</f>
        <v/>
      </c>
      <c r="C64" s="17">
        <f>INDEX(Data!$D:$D,MATCH($A64,Data!$A:$A,0))</f>
        <v/>
      </c>
      <c r="D64" s="16">
        <f>SUMIFS(Data!$G:$G,Data!$A:$A,$A64,Data!$F:$F,"gen_coal_twh")</f>
        <v/>
      </c>
      <c r="E64" s="16">
        <f>SUMIFS(Data!$G:$G,Data!$A:$A,$A64,Data!$F:$F,"gen_gas_twh")</f>
        <v/>
      </c>
      <c r="F64" s="16">
        <f>SUMIFS(Data!$G:$G,Data!$A:$A,$A64,Data!$F:$F,"gen_oil_twh")</f>
        <v/>
      </c>
      <c r="G64" s="16">
        <f>SUMIFS(Data!$G:$G,Data!$A:$A,$A64,Data!$F:$F,"gen_total_twh")</f>
        <v/>
      </c>
      <c r="H64" s="16">
        <f>SUMIFS(Data!$G:$G,Data!$A:$A,$A64,Data!$F:$F,"em_coal_mt")</f>
        <v/>
      </c>
      <c r="I64" s="16">
        <f>SUMIFS(Data!$G:$G,Data!$A:$A,$A64,Data!$F:$F,"em_gas_mt")</f>
        <v/>
      </c>
      <c r="J64" s="16">
        <f>SUMIFS(Data!$G:$G,Data!$A:$A,$A64,Data!$F:$F,"em_oil_mt")</f>
        <v/>
      </c>
      <c r="K64" s="28">
        <f>IF(COUNTIFS(Data!$A:$A,$A64,Data!$F:$F,"price_electricity_residential_usd_kwh")=0,"",SUMIFS(Data!$G:$G,Data!$A:$A,$A64,Data!$F:$F,"price_electricity_residential_usd_kwh"))</f>
        <v/>
      </c>
      <c r="L64" s="28">
        <f>IF(COUNTIFS(Data!$A:$A,$A64,Data!$F:$F,"price_coal_power_usd_gj")=0,"",SUMIFS(Data!$G:$G,Data!$A:$A,$A64,Data!$F:$F,"price_coal_power_usd_gj"))</f>
        <v/>
      </c>
      <c r="M64" s="28">
        <f>IF(COUNTIFS(Data!$A:$A,$A64,Data!$F:$F,"price_gas_power_usd_gj")=0,"",SUMIFS(Data!$G:$G,Data!$A:$A,$A64,Data!$F:$F,"price_gas_power_usd_gj"))</f>
        <v/>
      </c>
      <c r="N64" s="28">
        <f>IF(COUNTIFS(Data!$A:$A,$A64,Data!$F:$F,"price_gas_industry_usd_gj")=0,"",SUMIFS(Data!$G:$G,Data!$A:$A,$A64,Data!$F:$F,"price_gas_industry_usd_gj"))</f>
        <v/>
      </c>
      <c r="O64" s="28">
        <f>IF(COUNTIFS(Data!$A:$A,$A64,Data!$F:$F,"power_market_structure")=0,"",SUMIFS(Data!$G:$G,Data!$A:$A,$A64,Data!$F:$F,"power_market_structure"))</f>
        <v/>
      </c>
      <c r="P64" s="28">
        <f>IF(COUNTIFS(Data!$A:$A,$A64,Data!$F:$F,"rise_renewable_energy_score")=0,"",SUMIFS(Data!$G:$G,Data!$A:$A,$A64,Data!$F:$F,"rise_renewable_energy_score"))</f>
        <v/>
      </c>
      <c r="Q64" s="16">
        <f>H64+I64+J64</f>
        <v/>
      </c>
      <c r="R64" s="28">
        <f>Q64/G64</f>
        <v/>
      </c>
      <c r="S64" s="28">
        <f>IF(D64&gt;0,H64/D64,0.85)</f>
        <v/>
      </c>
      <c r="T64" s="28">
        <f>IF(E64&gt;0,I64/E64,0.4)</f>
        <v/>
      </c>
      <c r="U64" s="28">
        <f>IF(D64+F64&gt;0,(H64+J64)/(D64+F64),0)</f>
        <v/>
      </c>
      <c r="V64" s="16">
        <f>K64*1000</f>
        <v/>
      </c>
      <c r="W64" s="15">
        <f>IF(O64=3,in_pt3,IF(O64=2,in_pt2,IF(O64=1,in_pt1,IF(C64="High income",in_pt_hi,in_pt_oth))))</f>
        <v/>
      </c>
      <c r="X64" s="28">
        <f>IF(Q64&gt;0,in_kappa*(in_rise_lo+(in_rise_hi-in_rise_lo)*IF(P64="",in_rise_miss,P64)/100)*(D64+F64)*MAX(U64-in_gas_rep*T64,0)/Q64,0)</f>
        <v/>
      </c>
      <c r="Y64" s="16">
        <f>IF(IF(M64="",N64,M64)="",MAX(in_sw_floor,in_sw_miss),MAX(in_sw_floor,(IF(M64="",N64,M64)*in_hr_gas-L64*in_hr_coal)/MAX(S64-T64,0.1)))</f>
        <v/>
      </c>
      <c r="Z64" s="28">
        <f>IF(C64="Low income",in_b40_li,IF(C64="Lower middle income",in_b40_lmi,IF(C64="Upper middle income",in_b40_umi,IF(C64="High income",in_b40_hi,0.03))))</f>
        <v/>
      </c>
      <c r="AA64" s="15">
        <f>(D64+F64)/G64</f>
        <v/>
      </c>
      <c r="AB64" s="28">
        <f>100*W64*R64/V64/in_phase</f>
        <v/>
      </c>
      <c r="AC64" s="29">
        <f>100*Z64*W64*R64/V64*(1-IF(W64&gt;0,MIN(in_rebate/(W64*in_res_sh*in_q40),1),1))</f>
        <v/>
      </c>
      <c r="AD64" s="28">
        <f>IF(AA64&gt;0,100*U64*(1-W64)/(in_whole_sh*V64),0)</f>
        <v/>
      </c>
      <c r="AE64" s="28">
        <f>IF(AA64&gt;0,100*MAX(U64-R64,0)/(in_whole_sh*V64),0)</f>
        <v/>
      </c>
      <c r="AF64" s="16">
        <f>IF(AB64&gt;0,in_f1/AB64,in_cap)</f>
        <v/>
      </c>
      <c r="AG64" s="16">
        <f>IF(AC64&gt;0,in_f2/AC64,in_cap)</f>
        <v/>
      </c>
      <c r="AH64" s="16">
        <f>IF(AD64&gt;0,in_f3/AD64,in_cap)</f>
        <v/>
      </c>
      <c r="AI64" s="16">
        <f>MIN(in_cap,AF64,AG64,AH64)</f>
        <v/>
      </c>
      <c r="AJ64" s="30">
        <f>100*(1-(1-X64*(1-EXP(-((AI64)+(0))/Y64)))*(1-MIN(ABS(in_elas)*W64*R64*(AI64)/V64,1)))</f>
        <v/>
      </c>
      <c r="AK64" s="17">
        <f>IF(AI64&gt;=in_cap-1E-9,"rate cap",TRIM(IF(ABS(AI64-AF64)&lt;1E-9,"F1 ","")&amp;IF(ABS(AI64-AG64)&lt;1E-9,"F2 ","")&amp;IF(ABS(AI64-AH64)&lt;1E-9,"F3","")))</f>
        <v/>
      </c>
      <c r="AL64" s="15">
        <f>100*(1-(1-X64*(1-EXP(-((MIN(in_cap,IF(AB64&gt;0,(in_f1+1)/AB64,in_cap),AG64,AH64))+(0))/Y64)))*(1-MIN(ABS(in_elas)*W64*R64*(MIN(in_cap,IF(AB64&gt;0,(in_f1+1)/AB64,in_cap),AG64,AH64))/V64,1)))-AJ64</f>
        <v/>
      </c>
      <c r="AM64" s="16">
        <f>MIN(in_cap,IF(AE64&gt;0,in_f3/AE64,in_cap))</f>
        <v/>
      </c>
      <c r="AN64" s="30">
        <f>100*(1-(1-X64*(1-EXP(-((0)+(AM64))/Y64)))*(1-MIN(ABS(in_elas)*W64*R64*(0)/V64,1)))</f>
        <v/>
      </c>
      <c r="AO64" s="17">
        <f>IF(AM64&gt;=in_cap-1E-9,"rate cap","F3")</f>
        <v/>
      </c>
      <c r="AP64" s="15">
        <f>100*(1-(1-X64*(1-EXP(-((50)+(0))/Y64)))*(1-MIN(ABS(in_elas)*W64*R64*(50)/V64,1)))</f>
        <v/>
      </c>
      <c r="AQ64" s="15">
        <f>100*(1-(1-X64*(1-EXP(-((0)+(50))/Y64)))*(1-MIN(ABS(in_elas)*W64*R64*(0)/V64,1)))</f>
        <v/>
      </c>
      <c r="AR64" s="15">
        <f>IF(AP64&gt;0,AQ64/AP64,"")</f>
        <v/>
      </c>
      <c r="AS64" s="16">
        <f>50*AB64</f>
        <v/>
      </c>
      <c r="AT64" s="30">
        <f>MAX(BM64:BW64)</f>
        <v/>
      </c>
      <c r="AU64" s="31">
        <f>AI64*(MATCH(AT64,BM64:BW64,0)-1)/10</f>
        <v/>
      </c>
      <c r="AV64" s="31">
        <f>INDEX(BB64:BL64,1,(MATCH(AT64,BM64:BW64,0)-1)+1)</f>
        <v/>
      </c>
      <c r="AW64" s="31">
        <f>AB64*AU64</f>
        <v/>
      </c>
      <c r="AX64" s="30">
        <f>AC64*AU64</f>
        <v/>
      </c>
      <c r="AY64" s="31">
        <f>AD64*AU64+AE64*AV64</f>
        <v/>
      </c>
      <c r="AZ64" s="32">
        <f>TRIM(IF(AND(AU64&gt;0,ABS(AU64-AF64)&lt;1E-6),"F1 ","")&amp;IF(AND(AU64&gt;0,ABS(AU64-AG64)&lt;1E-6),"F2 ","")&amp;IF(AY64&gt;=in_f3-1E-6,"F3 ","")&amp;IF(AV64&gt;=in_cap-1E-9,"rate cap",""))</f>
        <v/>
      </c>
      <c r="BA64" s="31">
        <f>Q64*AT64/100</f>
        <v/>
      </c>
      <c r="BB64" s="16">
        <f>MAX(0,MIN(in_cap,IF(AE64&gt;0,(in_f3-AD64*AI64*0/10)/AE64,in_cap)))</f>
        <v/>
      </c>
      <c r="BC64" s="16">
        <f>MAX(0,MIN(in_cap,IF(AE64&gt;0,(in_f3-AD64*AI64*1/10)/AE64,in_cap)))</f>
        <v/>
      </c>
      <c r="BD64" s="16">
        <f>MAX(0,MIN(in_cap,IF(AE64&gt;0,(in_f3-AD64*AI64*2/10)/AE64,in_cap)))</f>
        <v/>
      </c>
      <c r="BE64" s="16">
        <f>MAX(0,MIN(in_cap,IF(AE64&gt;0,(in_f3-AD64*AI64*3/10)/AE64,in_cap)))</f>
        <v/>
      </c>
      <c r="BF64" s="16">
        <f>MAX(0,MIN(in_cap,IF(AE64&gt;0,(in_f3-AD64*AI64*4/10)/AE64,in_cap)))</f>
        <v/>
      </c>
      <c r="BG64" s="16">
        <f>MAX(0,MIN(in_cap,IF(AE64&gt;0,(in_f3-AD64*AI64*5/10)/AE64,in_cap)))</f>
        <v/>
      </c>
      <c r="BH64" s="16">
        <f>MAX(0,MIN(in_cap,IF(AE64&gt;0,(in_f3-AD64*AI64*6/10)/AE64,in_cap)))</f>
        <v/>
      </c>
      <c r="BI64" s="16">
        <f>MAX(0,MIN(in_cap,IF(AE64&gt;0,(in_f3-AD64*AI64*7/10)/AE64,in_cap)))</f>
        <v/>
      </c>
      <c r="BJ64" s="16">
        <f>MAX(0,MIN(in_cap,IF(AE64&gt;0,(in_f3-AD64*AI64*8/10)/AE64,in_cap)))</f>
        <v/>
      </c>
      <c r="BK64" s="16">
        <f>MAX(0,MIN(in_cap,IF(AE64&gt;0,(in_f3-AD64*AI64*9/10)/AE64,in_cap)))</f>
        <v/>
      </c>
      <c r="BL64" s="16">
        <f>MAX(0,MIN(in_cap,IF(AE64&gt;0,(in_f3-AD64*AI64*10/10)/AE64,in_cap)))</f>
        <v/>
      </c>
      <c r="BM64" s="15">
        <f>100*(1-(1-X64*(1-EXP(-((AI64*0/10)+(BB64))/Y64)))*(1-MIN(ABS(in_elas)*W64*R64*(AI64*0/10)/V64,1)))</f>
        <v/>
      </c>
      <c r="BN64" s="15">
        <f>100*(1-(1-X64*(1-EXP(-((AI64*1/10)+(BC64))/Y64)))*(1-MIN(ABS(in_elas)*W64*R64*(AI64*1/10)/V64,1)))</f>
        <v/>
      </c>
      <c r="BO64" s="15">
        <f>100*(1-(1-X64*(1-EXP(-((AI64*2/10)+(BD64))/Y64)))*(1-MIN(ABS(in_elas)*W64*R64*(AI64*2/10)/V64,1)))</f>
        <v/>
      </c>
      <c r="BP64" s="15">
        <f>100*(1-(1-X64*(1-EXP(-((AI64*3/10)+(BE64))/Y64)))*(1-MIN(ABS(in_elas)*W64*R64*(AI64*3/10)/V64,1)))</f>
        <v/>
      </c>
      <c r="BQ64" s="15">
        <f>100*(1-(1-X64*(1-EXP(-((AI64*4/10)+(BF64))/Y64)))*(1-MIN(ABS(in_elas)*W64*R64*(AI64*4/10)/V64,1)))</f>
        <v/>
      </c>
      <c r="BR64" s="15">
        <f>100*(1-(1-X64*(1-EXP(-((AI64*5/10)+(BG64))/Y64)))*(1-MIN(ABS(in_elas)*W64*R64*(AI64*5/10)/V64,1)))</f>
        <v/>
      </c>
      <c r="BS64" s="15">
        <f>100*(1-(1-X64*(1-EXP(-((AI64*6/10)+(BH64))/Y64)))*(1-MIN(ABS(in_elas)*W64*R64*(AI64*6/10)/V64,1)))</f>
        <v/>
      </c>
      <c r="BT64" s="15">
        <f>100*(1-(1-X64*(1-EXP(-((AI64*7/10)+(BI64))/Y64)))*(1-MIN(ABS(in_elas)*W64*R64*(AI64*7/10)/V64,1)))</f>
        <v/>
      </c>
      <c r="BU64" s="15">
        <f>100*(1-(1-X64*(1-EXP(-((AI64*8/10)+(BJ64))/Y64)))*(1-MIN(ABS(in_elas)*W64*R64*(AI64*8/10)/V64,1)))</f>
        <v/>
      </c>
      <c r="BV64" s="15">
        <f>100*(1-(1-X64*(1-EXP(-((AI64*9/10)+(BK64))/Y64)))*(1-MIN(ABS(in_elas)*W64*R64*(AI64*9/10)/V64,1)))</f>
        <v/>
      </c>
      <c r="BW64" s="15">
        <f>100*(1-(1-X64*(1-EXP(-((AI64*10/10)+(BL64))/Y64)))*(1-MIN(ABS(in_elas)*W64*R64*(AI64*10/10)/V64,1)))</f>
        <v/>
      </c>
    </row>
    <row r="65">
      <c r="A65" s="17" t="inlineStr">
        <is>
          <t>GTM</t>
        </is>
      </c>
      <c r="B65" s="17">
        <f>INDEX(Data!$B:$B,MATCH($A65,Data!$A:$A,0))</f>
        <v/>
      </c>
      <c r="C65" s="17">
        <f>INDEX(Data!$D:$D,MATCH($A65,Data!$A:$A,0))</f>
        <v/>
      </c>
      <c r="D65" s="16">
        <f>SUMIFS(Data!$G:$G,Data!$A:$A,$A65,Data!$F:$F,"gen_coal_twh")</f>
        <v/>
      </c>
      <c r="E65" s="16">
        <f>SUMIFS(Data!$G:$G,Data!$A:$A,$A65,Data!$F:$F,"gen_gas_twh")</f>
        <v/>
      </c>
      <c r="F65" s="16">
        <f>SUMIFS(Data!$G:$G,Data!$A:$A,$A65,Data!$F:$F,"gen_oil_twh")</f>
        <v/>
      </c>
      <c r="G65" s="16">
        <f>SUMIFS(Data!$G:$G,Data!$A:$A,$A65,Data!$F:$F,"gen_total_twh")</f>
        <v/>
      </c>
      <c r="H65" s="16">
        <f>SUMIFS(Data!$G:$G,Data!$A:$A,$A65,Data!$F:$F,"em_coal_mt")</f>
        <v/>
      </c>
      <c r="I65" s="16">
        <f>SUMIFS(Data!$G:$G,Data!$A:$A,$A65,Data!$F:$F,"em_gas_mt")</f>
        <v/>
      </c>
      <c r="J65" s="16">
        <f>SUMIFS(Data!$G:$G,Data!$A:$A,$A65,Data!$F:$F,"em_oil_mt")</f>
        <v/>
      </c>
      <c r="K65" s="28">
        <f>IF(COUNTIFS(Data!$A:$A,$A65,Data!$F:$F,"price_electricity_residential_usd_kwh")=0,"",SUMIFS(Data!$G:$G,Data!$A:$A,$A65,Data!$F:$F,"price_electricity_residential_usd_kwh"))</f>
        <v/>
      </c>
      <c r="L65" s="28">
        <f>IF(COUNTIFS(Data!$A:$A,$A65,Data!$F:$F,"price_coal_power_usd_gj")=0,"",SUMIFS(Data!$G:$G,Data!$A:$A,$A65,Data!$F:$F,"price_coal_power_usd_gj"))</f>
        <v/>
      </c>
      <c r="M65" s="28">
        <f>IF(COUNTIFS(Data!$A:$A,$A65,Data!$F:$F,"price_gas_power_usd_gj")=0,"",SUMIFS(Data!$G:$G,Data!$A:$A,$A65,Data!$F:$F,"price_gas_power_usd_gj"))</f>
        <v/>
      </c>
      <c r="N65" s="28">
        <f>IF(COUNTIFS(Data!$A:$A,$A65,Data!$F:$F,"price_gas_industry_usd_gj")=0,"",SUMIFS(Data!$G:$G,Data!$A:$A,$A65,Data!$F:$F,"price_gas_industry_usd_gj"))</f>
        <v/>
      </c>
      <c r="O65" s="28">
        <f>IF(COUNTIFS(Data!$A:$A,$A65,Data!$F:$F,"power_market_structure")=0,"",SUMIFS(Data!$G:$G,Data!$A:$A,$A65,Data!$F:$F,"power_market_structure"))</f>
        <v/>
      </c>
      <c r="P65" s="28">
        <f>IF(COUNTIFS(Data!$A:$A,$A65,Data!$F:$F,"rise_renewable_energy_score")=0,"",SUMIFS(Data!$G:$G,Data!$A:$A,$A65,Data!$F:$F,"rise_renewable_energy_score"))</f>
        <v/>
      </c>
      <c r="Q65" s="16">
        <f>H65+I65+J65</f>
        <v/>
      </c>
      <c r="R65" s="28">
        <f>Q65/G65</f>
        <v/>
      </c>
      <c r="S65" s="28">
        <f>IF(D65&gt;0,H65/D65,0.85)</f>
        <v/>
      </c>
      <c r="T65" s="28">
        <f>IF(E65&gt;0,I65/E65,0.4)</f>
        <v/>
      </c>
      <c r="U65" s="28">
        <f>IF(D65+F65&gt;0,(H65+J65)/(D65+F65),0)</f>
        <v/>
      </c>
      <c r="V65" s="16">
        <f>K65*1000</f>
        <v/>
      </c>
      <c r="W65" s="15">
        <f>IF(O65=3,in_pt3,IF(O65=2,in_pt2,IF(O65=1,in_pt1,IF(C65="High income",in_pt_hi,in_pt_oth))))</f>
        <v/>
      </c>
      <c r="X65" s="28">
        <f>IF(Q65&gt;0,in_kappa*(in_rise_lo+(in_rise_hi-in_rise_lo)*IF(P65="",in_rise_miss,P65)/100)*(D65+F65)*MAX(U65-in_gas_rep*T65,0)/Q65,0)</f>
        <v/>
      </c>
      <c r="Y65" s="16">
        <f>IF(IF(M65="",N65,M65)="",MAX(in_sw_floor,in_sw_miss),MAX(in_sw_floor,(IF(M65="",N65,M65)*in_hr_gas-L65*in_hr_coal)/MAX(S65-T65,0.1)))</f>
        <v/>
      </c>
      <c r="Z65" s="28">
        <f>IF(C65="Low income",in_b40_li,IF(C65="Lower middle income",in_b40_lmi,IF(C65="Upper middle income",in_b40_umi,IF(C65="High income",in_b40_hi,0.03))))</f>
        <v/>
      </c>
      <c r="AA65" s="15">
        <f>(D65+F65)/G65</f>
        <v/>
      </c>
      <c r="AB65" s="28">
        <f>100*W65*R65/V65/in_phase</f>
        <v/>
      </c>
      <c r="AC65" s="29">
        <f>100*Z65*W65*R65/V65*(1-IF(W65&gt;0,MIN(in_rebate/(W65*in_res_sh*in_q40),1),1))</f>
        <v/>
      </c>
      <c r="AD65" s="28">
        <f>IF(AA65&gt;0,100*U65*(1-W65)/(in_whole_sh*V65),0)</f>
        <v/>
      </c>
      <c r="AE65" s="28">
        <f>IF(AA65&gt;0,100*MAX(U65-R65,0)/(in_whole_sh*V65),0)</f>
        <v/>
      </c>
      <c r="AF65" s="16">
        <f>IF(AB65&gt;0,in_f1/AB65,in_cap)</f>
        <v/>
      </c>
      <c r="AG65" s="16">
        <f>IF(AC65&gt;0,in_f2/AC65,in_cap)</f>
        <v/>
      </c>
      <c r="AH65" s="16">
        <f>IF(AD65&gt;0,in_f3/AD65,in_cap)</f>
        <v/>
      </c>
      <c r="AI65" s="16">
        <f>MIN(in_cap,AF65,AG65,AH65)</f>
        <v/>
      </c>
      <c r="AJ65" s="30">
        <f>100*(1-(1-X65*(1-EXP(-((AI65)+(0))/Y65)))*(1-MIN(ABS(in_elas)*W65*R65*(AI65)/V65,1)))</f>
        <v/>
      </c>
      <c r="AK65" s="17">
        <f>IF(AI65&gt;=in_cap-1E-9,"rate cap",TRIM(IF(ABS(AI65-AF65)&lt;1E-9,"F1 ","")&amp;IF(ABS(AI65-AG65)&lt;1E-9,"F2 ","")&amp;IF(ABS(AI65-AH65)&lt;1E-9,"F3","")))</f>
        <v/>
      </c>
      <c r="AL65" s="15">
        <f>100*(1-(1-X65*(1-EXP(-((MIN(in_cap,IF(AB65&gt;0,(in_f1+1)/AB65,in_cap),AG65,AH65))+(0))/Y65)))*(1-MIN(ABS(in_elas)*W65*R65*(MIN(in_cap,IF(AB65&gt;0,(in_f1+1)/AB65,in_cap),AG65,AH65))/V65,1)))-AJ65</f>
        <v/>
      </c>
      <c r="AM65" s="16">
        <f>MIN(in_cap,IF(AE65&gt;0,in_f3/AE65,in_cap))</f>
        <v/>
      </c>
      <c r="AN65" s="30">
        <f>100*(1-(1-X65*(1-EXP(-((0)+(AM65))/Y65)))*(1-MIN(ABS(in_elas)*W65*R65*(0)/V65,1)))</f>
        <v/>
      </c>
      <c r="AO65" s="17">
        <f>IF(AM65&gt;=in_cap-1E-9,"rate cap","F3")</f>
        <v/>
      </c>
      <c r="AP65" s="15">
        <f>100*(1-(1-X65*(1-EXP(-((50)+(0))/Y65)))*(1-MIN(ABS(in_elas)*W65*R65*(50)/V65,1)))</f>
        <v/>
      </c>
      <c r="AQ65" s="15">
        <f>100*(1-(1-X65*(1-EXP(-((0)+(50))/Y65)))*(1-MIN(ABS(in_elas)*W65*R65*(0)/V65,1)))</f>
        <v/>
      </c>
      <c r="AR65" s="15">
        <f>IF(AP65&gt;0,AQ65/AP65,"")</f>
        <v/>
      </c>
      <c r="AS65" s="16">
        <f>50*AB65</f>
        <v/>
      </c>
      <c r="AT65" s="30">
        <f>MAX(BM65:BW65)</f>
        <v/>
      </c>
      <c r="AU65" s="31">
        <f>AI65*(MATCH(AT65,BM65:BW65,0)-1)/10</f>
        <v/>
      </c>
      <c r="AV65" s="31">
        <f>INDEX(BB65:BL65,1,(MATCH(AT65,BM65:BW65,0)-1)+1)</f>
        <v/>
      </c>
      <c r="AW65" s="31">
        <f>AB65*AU65</f>
        <v/>
      </c>
      <c r="AX65" s="30">
        <f>AC65*AU65</f>
        <v/>
      </c>
      <c r="AY65" s="31">
        <f>AD65*AU65+AE65*AV65</f>
        <v/>
      </c>
      <c r="AZ65" s="32">
        <f>TRIM(IF(AND(AU65&gt;0,ABS(AU65-AF65)&lt;1E-6),"F1 ","")&amp;IF(AND(AU65&gt;0,ABS(AU65-AG65)&lt;1E-6),"F2 ","")&amp;IF(AY65&gt;=in_f3-1E-6,"F3 ","")&amp;IF(AV65&gt;=in_cap-1E-9,"rate cap",""))</f>
        <v/>
      </c>
      <c r="BA65" s="31">
        <f>Q65*AT65/100</f>
        <v/>
      </c>
      <c r="BB65" s="16">
        <f>MAX(0,MIN(in_cap,IF(AE65&gt;0,(in_f3-AD65*AI65*0/10)/AE65,in_cap)))</f>
        <v/>
      </c>
      <c r="BC65" s="16">
        <f>MAX(0,MIN(in_cap,IF(AE65&gt;0,(in_f3-AD65*AI65*1/10)/AE65,in_cap)))</f>
        <v/>
      </c>
      <c r="BD65" s="16">
        <f>MAX(0,MIN(in_cap,IF(AE65&gt;0,(in_f3-AD65*AI65*2/10)/AE65,in_cap)))</f>
        <v/>
      </c>
      <c r="BE65" s="16">
        <f>MAX(0,MIN(in_cap,IF(AE65&gt;0,(in_f3-AD65*AI65*3/10)/AE65,in_cap)))</f>
        <v/>
      </c>
      <c r="BF65" s="16">
        <f>MAX(0,MIN(in_cap,IF(AE65&gt;0,(in_f3-AD65*AI65*4/10)/AE65,in_cap)))</f>
        <v/>
      </c>
      <c r="BG65" s="16">
        <f>MAX(0,MIN(in_cap,IF(AE65&gt;0,(in_f3-AD65*AI65*5/10)/AE65,in_cap)))</f>
        <v/>
      </c>
      <c r="BH65" s="16">
        <f>MAX(0,MIN(in_cap,IF(AE65&gt;0,(in_f3-AD65*AI65*6/10)/AE65,in_cap)))</f>
        <v/>
      </c>
      <c r="BI65" s="16">
        <f>MAX(0,MIN(in_cap,IF(AE65&gt;0,(in_f3-AD65*AI65*7/10)/AE65,in_cap)))</f>
        <v/>
      </c>
      <c r="BJ65" s="16">
        <f>MAX(0,MIN(in_cap,IF(AE65&gt;0,(in_f3-AD65*AI65*8/10)/AE65,in_cap)))</f>
        <v/>
      </c>
      <c r="BK65" s="16">
        <f>MAX(0,MIN(in_cap,IF(AE65&gt;0,(in_f3-AD65*AI65*9/10)/AE65,in_cap)))</f>
        <v/>
      </c>
      <c r="BL65" s="16">
        <f>MAX(0,MIN(in_cap,IF(AE65&gt;0,(in_f3-AD65*AI65*10/10)/AE65,in_cap)))</f>
        <v/>
      </c>
      <c r="BM65" s="15">
        <f>100*(1-(1-X65*(1-EXP(-((AI65*0/10)+(BB65))/Y65)))*(1-MIN(ABS(in_elas)*W65*R65*(AI65*0/10)/V65,1)))</f>
        <v/>
      </c>
      <c r="BN65" s="15">
        <f>100*(1-(1-X65*(1-EXP(-((AI65*1/10)+(BC65))/Y65)))*(1-MIN(ABS(in_elas)*W65*R65*(AI65*1/10)/V65,1)))</f>
        <v/>
      </c>
      <c r="BO65" s="15">
        <f>100*(1-(1-X65*(1-EXP(-((AI65*2/10)+(BD65))/Y65)))*(1-MIN(ABS(in_elas)*W65*R65*(AI65*2/10)/V65,1)))</f>
        <v/>
      </c>
      <c r="BP65" s="15">
        <f>100*(1-(1-X65*(1-EXP(-((AI65*3/10)+(BE65))/Y65)))*(1-MIN(ABS(in_elas)*W65*R65*(AI65*3/10)/V65,1)))</f>
        <v/>
      </c>
      <c r="BQ65" s="15">
        <f>100*(1-(1-X65*(1-EXP(-((AI65*4/10)+(BF65))/Y65)))*(1-MIN(ABS(in_elas)*W65*R65*(AI65*4/10)/V65,1)))</f>
        <v/>
      </c>
      <c r="BR65" s="15">
        <f>100*(1-(1-X65*(1-EXP(-((AI65*5/10)+(BG65))/Y65)))*(1-MIN(ABS(in_elas)*W65*R65*(AI65*5/10)/V65,1)))</f>
        <v/>
      </c>
      <c r="BS65" s="15">
        <f>100*(1-(1-X65*(1-EXP(-((AI65*6/10)+(BH65))/Y65)))*(1-MIN(ABS(in_elas)*W65*R65*(AI65*6/10)/V65,1)))</f>
        <v/>
      </c>
      <c r="BT65" s="15">
        <f>100*(1-(1-X65*(1-EXP(-((AI65*7/10)+(BI65))/Y65)))*(1-MIN(ABS(in_elas)*W65*R65*(AI65*7/10)/V65,1)))</f>
        <v/>
      </c>
      <c r="BU65" s="15">
        <f>100*(1-(1-X65*(1-EXP(-((AI65*8/10)+(BJ65))/Y65)))*(1-MIN(ABS(in_elas)*W65*R65*(AI65*8/10)/V65,1)))</f>
        <v/>
      </c>
      <c r="BV65" s="15">
        <f>100*(1-(1-X65*(1-EXP(-((AI65*9/10)+(BK65))/Y65)))*(1-MIN(ABS(in_elas)*W65*R65*(AI65*9/10)/V65,1)))</f>
        <v/>
      </c>
      <c r="BW65" s="15">
        <f>100*(1-(1-X65*(1-EXP(-((AI65*10/10)+(BL65))/Y65)))*(1-MIN(ABS(in_elas)*W65*R65*(AI65*10/10)/V65,1)))</f>
        <v/>
      </c>
    </row>
    <row r="66">
      <c r="A66" s="17" t="inlineStr">
        <is>
          <t>GUY</t>
        </is>
      </c>
      <c r="B66" s="17">
        <f>INDEX(Data!$B:$B,MATCH($A66,Data!$A:$A,0))</f>
        <v/>
      </c>
      <c r="C66" s="17">
        <f>INDEX(Data!$D:$D,MATCH($A66,Data!$A:$A,0))</f>
        <v/>
      </c>
      <c r="D66" s="16">
        <f>SUMIFS(Data!$G:$G,Data!$A:$A,$A66,Data!$F:$F,"gen_coal_twh")</f>
        <v/>
      </c>
      <c r="E66" s="16">
        <f>SUMIFS(Data!$G:$G,Data!$A:$A,$A66,Data!$F:$F,"gen_gas_twh")</f>
        <v/>
      </c>
      <c r="F66" s="16">
        <f>SUMIFS(Data!$G:$G,Data!$A:$A,$A66,Data!$F:$F,"gen_oil_twh")</f>
        <v/>
      </c>
      <c r="G66" s="16">
        <f>SUMIFS(Data!$G:$G,Data!$A:$A,$A66,Data!$F:$F,"gen_total_twh")</f>
        <v/>
      </c>
      <c r="H66" s="16">
        <f>SUMIFS(Data!$G:$G,Data!$A:$A,$A66,Data!$F:$F,"em_coal_mt")</f>
        <v/>
      </c>
      <c r="I66" s="16">
        <f>SUMIFS(Data!$G:$G,Data!$A:$A,$A66,Data!$F:$F,"em_gas_mt")</f>
        <v/>
      </c>
      <c r="J66" s="16">
        <f>SUMIFS(Data!$G:$G,Data!$A:$A,$A66,Data!$F:$F,"em_oil_mt")</f>
        <v/>
      </c>
      <c r="K66" s="28">
        <f>IF(COUNTIFS(Data!$A:$A,$A66,Data!$F:$F,"price_electricity_residential_usd_kwh")=0,"",SUMIFS(Data!$G:$G,Data!$A:$A,$A66,Data!$F:$F,"price_electricity_residential_usd_kwh"))</f>
        <v/>
      </c>
      <c r="L66" s="28">
        <f>IF(COUNTIFS(Data!$A:$A,$A66,Data!$F:$F,"price_coal_power_usd_gj")=0,"",SUMIFS(Data!$G:$G,Data!$A:$A,$A66,Data!$F:$F,"price_coal_power_usd_gj"))</f>
        <v/>
      </c>
      <c r="M66" s="28">
        <f>IF(COUNTIFS(Data!$A:$A,$A66,Data!$F:$F,"price_gas_power_usd_gj")=0,"",SUMIFS(Data!$G:$G,Data!$A:$A,$A66,Data!$F:$F,"price_gas_power_usd_gj"))</f>
        <v/>
      </c>
      <c r="N66" s="28">
        <f>IF(COUNTIFS(Data!$A:$A,$A66,Data!$F:$F,"price_gas_industry_usd_gj")=0,"",SUMIFS(Data!$G:$G,Data!$A:$A,$A66,Data!$F:$F,"price_gas_industry_usd_gj"))</f>
        <v/>
      </c>
      <c r="O66" s="28">
        <f>IF(COUNTIFS(Data!$A:$A,$A66,Data!$F:$F,"power_market_structure")=0,"",SUMIFS(Data!$G:$G,Data!$A:$A,$A66,Data!$F:$F,"power_market_structure"))</f>
        <v/>
      </c>
      <c r="P66" s="28">
        <f>IF(COUNTIFS(Data!$A:$A,$A66,Data!$F:$F,"rise_renewable_energy_score")=0,"",SUMIFS(Data!$G:$G,Data!$A:$A,$A66,Data!$F:$F,"rise_renewable_energy_score"))</f>
        <v/>
      </c>
      <c r="Q66" s="16">
        <f>H66+I66+J66</f>
        <v/>
      </c>
      <c r="R66" s="28">
        <f>Q66/G66</f>
        <v/>
      </c>
      <c r="S66" s="28">
        <f>IF(D66&gt;0,H66/D66,0.85)</f>
        <v/>
      </c>
      <c r="T66" s="28">
        <f>IF(E66&gt;0,I66/E66,0.4)</f>
        <v/>
      </c>
      <c r="U66" s="28">
        <f>IF(D66+F66&gt;0,(H66+J66)/(D66+F66),0)</f>
        <v/>
      </c>
      <c r="V66" s="16">
        <f>K66*1000</f>
        <v/>
      </c>
      <c r="W66" s="15">
        <f>IF(O66=3,in_pt3,IF(O66=2,in_pt2,IF(O66=1,in_pt1,IF(C66="High income",in_pt_hi,in_pt_oth))))</f>
        <v/>
      </c>
      <c r="X66" s="28">
        <f>IF(Q66&gt;0,in_kappa*(in_rise_lo+(in_rise_hi-in_rise_lo)*IF(P66="",in_rise_miss,P66)/100)*(D66+F66)*MAX(U66-in_gas_rep*T66,0)/Q66,0)</f>
        <v/>
      </c>
      <c r="Y66" s="16">
        <f>IF(IF(M66="",N66,M66)="",MAX(in_sw_floor,in_sw_miss),MAX(in_sw_floor,(IF(M66="",N66,M66)*in_hr_gas-L66*in_hr_coal)/MAX(S66-T66,0.1)))</f>
        <v/>
      </c>
      <c r="Z66" s="28">
        <f>IF(C66="Low income",in_b40_li,IF(C66="Lower middle income",in_b40_lmi,IF(C66="Upper middle income",in_b40_umi,IF(C66="High income",in_b40_hi,0.03))))</f>
        <v/>
      </c>
      <c r="AA66" s="15">
        <f>(D66+F66)/G66</f>
        <v/>
      </c>
      <c r="AB66" s="28">
        <f>100*W66*R66/V66/in_phase</f>
        <v/>
      </c>
      <c r="AC66" s="29">
        <f>100*Z66*W66*R66/V66*(1-IF(W66&gt;0,MIN(in_rebate/(W66*in_res_sh*in_q40),1),1))</f>
        <v/>
      </c>
      <c r="AD66" s="28">
        <f>IF(AA66&gt;0,100*U66*(1-W66)/(in_whole_sh*V66),0)</f>
        <v/>
      </c>
      <c r="AE66" s="28">
        <f>IF(AA66&gt;0,100*MAX(U66-R66,0)/(in_whole_sh*V66),0)</f>
        <v/>
      </c>
      <c r="AF66" s="16">
        <f>IF(AB66&gt;0,in_f1/AB66,in_cap)</f>
        <v/>
      </c>
      <c r="AG66" s="16">
        <f>IF(AC66&gt;0,in_f2/AC66,in_cap)</f>
        <v/>
      </c>
      <c r="AH66" s="16">
        <f>IF(AD66&gt;0,in_f3/AD66,in_cap)</f>
        <v/>
      </c>
      <c r="AI66" s="16">
        <f>MIN(in_cap,AF66,AG66,AH66)</f>
        <v/>
      </c>
      <c r="AJ66" s="30">
        <f>100*(1-(1-X66*(1-EXP(-((AI66)+(0))/Y66)))*(1-MIN(ABS(in_elas)*W66*R66*(AI66)/V66,1)))</f>
        <v/>
      </c>
      <c r="AK66" s="17">
        <f>IF(AI66&gt;=in_cap-1E-9,"rate cap",TRIM(IF(ABS(AI66-AF66)&lt;1E-9,"F1 ","")&amp;IF(ABS(AI66-AG66)&lt;1E-9,"F2 ","")&amp;IF(ABS(AI66-AH66)&lt;1E-9,"F3","")))</f>
        <v/>
      </c>
      <c r="AL66" s="15">
        <f>100*(1-(1-X66*(1-EXP(-((MIN(in_cap,IF(AB66&gt;0,(in_f1+1)/AB66,in_cap),AG66,AH66))+(0))/Y66)))*(1-MIN(ABS(in_elas)*W66*R66*(MIN(in_cap,IF(AB66&gt;0,(in_f1+1)/AB66,in_cap),AG66,AH66))/V66,1)))-AJ66</f>
        <v/>
      </c>
      <c r="AM66" s="16">
        <f>MIN(in_cap,IF(AE66&gt;0,in_f3/AE66,in_cap))</f>
        <v/>
      </c>
      <c r="AN66" s="30">
        <f>100*(1-(1-X66*(1-EXP(-((0)+(AM66))/Y66)))*(1-MIN(ABS(in_elas)*W66*R66*(0)/V66,1)))</f>
        <v/>
      </c>
      <c r="AO66" s="17">
        <f>IF(AM66&gt;=in_cap-1E-9,"rate cap","F3")</f>
        <v/>
      </c>
      <c r="AP66" s="15">
        <f>100*(1-(1-X66*(1-EXP(-((50)+(0))/Y66)))*(1-MIN(ABS(in_elas)*W66*R66*(50)/V66,1)))</f>
        <v/>
      </c>
      <c r="AQ66" s="15">
        <f>100*(1-(1-X66*(1-EXP(-((0)+(50))/Y66)))*(1-MIN(ABS(in_elas)*W66*R66*(0)/V66,1)))</f>
        <v/>
      </c>
      <c r="AR66" s="15">
        <f>IF(AP66&gt;0,AQ66/AP66,"")</f>
        <v/>
      </c>
      <c r="AS66" s="16">
        <f>50*AB66</f>
        <v/>
      </c>
      <c r="AT66" s="30">
        <f>MAX(BM66:BW66)</f>
        <v/>
      </c>
      <c r="AU66" s="31">
        <f>AI66*(MATCH(AT66,BM66:BW66,0)-1)/10</f>
        <v/>
      </c>
      <c r="AV66" s="31">
        <f>INDEX(BB66:BL66,1,(MATCH(AT66,BM66:BW66,0)-1)+1)</f>
        <v/>
      </c>
      <c r="AW66" s="31">
        <f>AB66*AU66</f>
        <v/>
      </c>
      <c r="AX66" s="30">
        <f>AC66*AU66</f>
        <v/>
      </c>
      <c r="AY66" s="31">
        <f>AD66*AU66+AE66*AV66</f>
        <v/>
      </c>
      <c r="AZ66" s="32">
        <f>TRIM(IF(AND(AU66&gt;0,ABS(AU66-AF66)&lt;1E-6),"F1 ","")&amp;IF(AND(AU66&gt;0,ABS(AU66-AG66)&lt;1E-6),"F2 ","")&amp;IF(AY66&gt;=in_f3-1E-6,"F3 ","")&amp;IF(AV66&gt;=in_cap-1E-9,"rate cap",""))</f>
        <v/>
      </c>
      <c r="BA66" s="31">
        <f>Q66*AT66/100</f>
        <v/>
      </c>
      <c r="BB66" s="16">
        <f>MAX(0,MIN(in_cap,IF(AE66&gt;0,(in_f3-AD66*AI66*0/10)/AE66,in_cap)))</f>
        <v/>
      </c>
      <c r="BC66" s="16">
        <f>MAX(0,MIN(in_cap,IF(AE66&gt;0,(in_f3-AD66*AI66*1/10)/AE66,in_cap)))</f>
        <v/>
      </c>
      <c r="BD66" s="16">
        <f>MAX(0,MIN(in_cap,IF(AE66&gt;0,(in_f3-AD66*AI66*2/10)/AE66,in_cap)))</f>
        <v/>
      </c>
      <c r="BE66" s="16">
        <f>MAX(0,MIN(in_cap,IF(AE66&gt;0,(in_f3-AD66*AI66*3/10)/AE66,in_cap)))</f>
        <v/>
      </c>
      <c r="BF66" s="16">
        <f>MAX(0,MIN(in_cap,IF(AE66&gt;0,(in_f3-AD66*AI66*4/10)/AE66,in_cap)))</f>
        <v/>
      </c>
      <c r="BG66" s="16">
        <f>MAX(0,MIN(in_cap,IF(AE66&gt;0,(in_f3-AD66*AI66*5/10)/AE66,in_cap)))</f>
        <v/>
      </c>
      <c r="BH66" s="16">
        <f>MAX(0,MIN(in_cap,IF(AE66&gt;0,(in_f3-AD66*AI66*6/10)/AE66,in_cap)))</f>
        <v/>
      </c>
      <c r="BI66" s="16">
        <f>MAX(0,MIN(in_cap,IF(AE66&gt;0,(in_f3-AD66*AI66*7/10)/AE66,in_cap)))</f>
        <v/>
      </c>
      <c r="BJ66" s="16">
        <f>MAX(0,MIN(in_cap,IF(AE66&gt;0,(in_f3-AD66*AI66*8/10)/AE66,in_cap)))</f>
        <v/>
      </c>
      <c r="BK66" s="16">
        <f>MAX(0,MIN(in_cap,IF(AE66&gt;0,(in_f3-AD66*AI66*9/10)/AE66,in_cap)))</f>
        <v/>
      </c>
      <c r="BL66" s="16">
        <f>MAX(0,MIN(in_cap,IF(AE66&gt;0,(in_f3-AD66*AI66*10/10)/AE66,in_cap)))</f>
        <v/>
      </c>
      <c r="BM66" s="15">
        <f>100*(1-(1-X66*(1-EXP(-((AI66*0/10)+(BB66))/Y66)))*(1-MIN(ABS(in_elas)*W66*R66*(AI66*0/10)/V66,1)))</f>
        <v/>
      </c>
      <c r="BN66" s="15">
        <f>100*(1-(1-X66*(1-EXP(-((AI66*1/10)+(BC66))/Y66)))*(1-MIN(ABS(in_elas)*W66*R66*(AI66*1/10)/V66,1)))</f>
        <v/>
      </c>
      <c r="BO66" s="15">
        <f>100*(1-(1-X66*(1-EXP(-((AI66*2/10)+(BD66))/Y66)))*(1-MIN(ABS(in_elas)*W66*R66*(AI66*2/10)/V66,1)))</f>
        <v/>
      </c>
      <c r="BP66" s="15">
        <f>100*(1-(1-X66*(1-EXP(-((AI66*3/10)+(BE66))/Y66)))*(1-MIN(ABS(in_elas)*W66*R66*(AI66*3/10)/V66,1)))</f>
        <v/>
      </c>
      <c r="BQ66" s="15">
        <f>100*(1-(1-X66*(1-EXP(-((AI66*4/10)+(BF66))/Y66)))*(1-MIN(ABS(in_elas)*W66*R66*(AI66*4/10)/V66,1)))</f>
        <v/>
      </c>
      <c r="BR66" s="15">
        <f>100*(1-(1-X66*(1-EXP(-((AI66*5/10)+(BG66))/Y66)))*(1-MIN(ABS(in_elas)*W66*R66*(AI66*5/10)/V66,1)))</f>
        <v/>
      </c>
      <c r="BS66" s="15">
        <f>100*(1-(1-X66*(1-EXP(-((AI66*6/10)+(BH66))/Y66)))*(1-MIN(ABS(in_elas)*W66*R66*(AI66*6/10)/V66,1)))</f>
        <v/>
      </c>
      <c r="BT66" s="15">
        <f>100*(1-(1-X66*(1-EXP(-((AI66*7/10)+(BI66))/Y66)))*(1-MIN(ABS(in_elas)*W66*R66*(AI66*7/10)/V66,1)))</f>
        <v/>
      </c>
      <c r="BU66" s="15">
        <f>100*(1-(1-X66*(1-EXP(-((AI66*8/10)+(BJ66))/Y66)))*(1-MIN(ABS(in_elas)*W66*R66*(AI66*8/10)/V66,1)))</f>
        <v/>
      </c>
      <c r="BV66" s="15">
        <f>100*(1-(1-X66*(1-EXP(-((AI66*9/10)+(BK66))/Y66)))*(1-MIN(ABS(in_elas)*W66*R66*(AI66*9/10)/V66,1)))</f>
        <v/>
      </c>
      <c r="BW66" s="15">
        <f>100*(1-(1-X66*(1-EXP(-((AI66*10/10)+(BL66))/Y66)))*(1-MIN(ABS(in_elas)*W66*R66*(AI66*10/10)/V66,1)))</f>
        <v/>
      </c>
    </row>
    <row r="67">
      <c r="A67" s="17" t="inlineStr">
        <is>
          <t>HKG</t>
        </is>
      </c>
      <c r="B67" s="17">
        <f>INDEX(Data!$B:$B,MATCH($A67,Data!$A:$A,0))</f>
        <v/>
      </c>
      <c r="C67" s="17">
        <f>INDEX(Data!$D:$D,MATCH($A67,Data!$A:$A,0))</f>
        <v/>
      </c>
      <c r="D67" s="16">
        <f>SUMIFS(Data!$G:$G,Data!$A:$A,$A67,Data!$F:$F,"gen_coal_twh")</f>
        <v/>
      </c>
      <c r="E67" s="16">
        <f>SUMIFS(Data!$G:$G,Data!$A:$A,$A67,Data!$F:$F,"gen_gas_twh")</f>
        <v/>
      </c>
      <c r="F67" s="16">
        <f>SUMIFS(Data!$G:$G,Data!$A:$A,$A67,Data!$F:$F,"gen_oil_twh")</f>
        <v/>
      </c>
      <c r="G67" s="16">
        <f>SUMIFS(Data!$G:$G,Data!$A:$A,$A67,Data!$F:$F,"gen_total_twh")</f>
        <v/>
      </c>
      <c r="H67" s="16">
        <f>SUMIFS(Data!$G:$G,Data!$A:$A,$A67,Data!$F:$F,"em_coal_mt")</f>
        <v/>
      </c>
      <c r="I67" s="16">
        <f>SUMIFS(Data!$G:$G,Data!$A:$A,$A67,Data!$F:$F,"em_gas_mt")</f>
        <v/>
      </c>
      <c r="J67" s="16">
        <f>SUMIFS(Data!$G:$G,Data!$A:$A,$A67,Data!$F:$F,"em_oil_mt")</f>
        <v/>
      </c>
      <c r="K67" s="28">
        <f>IF(COUNTIFS(Data!$A:$A,$A67,Data!$F:$F,"price_electricity_residential_usd_kwh")=0,"",SUMIFS(Data!$G:$G,Data!$A:$A,$A67,Data!$F:$F,"price_electricity_residential_usd_kwh"))</f>
        <v/>
      </c>
      <c r="L67" s="28">
        <f>IF(COUNTIFS(Data!$A:$A,$A67,Data!$F:$F,"price_coal_power_usd_gj")=0,"",SUMIFS(Data!$G:$G,Data!$A:$A,$A67,Data!$F:$F,"price_coal_power_usd_gj"))</f>
        <v/>
      </c>
      <c r="M67" s="28">
        <f>IF(COUNTIFS(Data!$A:$A,$A67,Data!$F:$F,"price_gas_power_usd_gj")=0,"",SUMIFS(Data!$G:$G,Data!$A:$A,$A67,Data!$F:$F,"price_gas_power_usd_gj"))</f>
        <v/>
      </c>
      <c r="N67" s="28">
        <f>IF(COUNTIFS(Data!$A:$A,$A67,Data!$F:$F,"price_gas_industry_usd_gj")=0,"",SUMIFS(Data!$G:$G,Data!$A:$A,$A67,Data!$F:$F,"price_gas_industry_usd_gj"))</f>
        <v/>
      </c>
      <c r="O67" s="28">
        <f>IF(COUNTIFS(Data!$A:$A,$A67,Data!$F:$F,"power_market_structure")=0,"",SUMIFS(Data!$G:$G,Data!$A:$A,$A67,Data!$F:$F,"power_market_structure"))</f>
        <v/>
      </c>
      <c r="P67" s="28">
        <f>IF(COUNTIFS(Data!$A:$A,$A67,Data!$F:$F,"rise_renewable_energy_score")=0,"",SUMIFS(Data!$G:$G,Data!$A:$A,$A67,Data!$F:$F,"rise_renewable_energy_score"))</f>
        <v/>
      </c>
      <c r="Q67" s="16">
        <f>H67+I67+J67</f>
        <v/>
      </c>
      <c r="R67" s="28">
        <f>Q67/G67</f>
        <v/>
      </c>
      <c r="S67" s="28">
        <f>IF(D67&gt;0,H67/D67,0.85)</f>
        <v/>
      </c>
      <c r="T67" s="28">
        <f>IF(E67&gt;0,I67/E67,0.4)</f>
        <v/>
      </c>
      <c r="U67" s="28">
        <f>IF(D67+F67&gt;0,(H67+J67)/(D67+F67),0)</f>
        <v/>
      </c>
      <c r="V67" s="16">
        <f>K67*1000</f>
        <v/>
      </c>
      <c r="W67" s="15">
        <f>IF(O67=3,in_pt3,IF(O67=2,in_pt2,IF(O67=1,in_pt1,IF(C67="High income",in_pt_hi,in_pt_oth))))</f>
        <v/>
      </c>
      <c r="X67" s="28">
        <f>IF(Q67&gt;0,in_kappa*(in_rise_lo+(in_rise_hi-in_rise_lo)*IF(P67="",in_rise_miss,P67)/100)*(D67+F67)*MAX(U67-in_gas_rep*T67,0)/Q67,0)</f>
        <v/>
      </c>
      <c r="Y67" s="16">
        <f>IF(IF(M67="",N67,M67)="",MAX(in_sw_floor,in_sw_miss),MAX(in_sw_floor,(IF(M67="",N67,M67)*in_hr_gas-L67*in_hr_coal)/MAX(S67-T67,0.1)))</f>
        <v/>
      </c>
      <c r="Z67" s="28">
        <f>IF(C67="Low income",in_b40_li,IF(C67="Lower middle income",in_b40_lmi,IF(C67="Upper middle income",in_b40_umi,IF(C67="High income",in_b40_hi,0.03))))</f>
        <v/>
      </c>
      <c r="AA67" s="15">
        <f>(D67+F67)/G67</f>
        <v/>
      </c>
      <c r="AB67" s="28">
        <f>100*W67*R67/V67/in_phase</f>
        <v/>
      </c>
      <c r="AC67" s="29">
        <f>100*Z67*W67*R67/V67*(1-IF(W67&gt;0,MIN(in_rebate/(W67*in_res_sh*in_q40),1),1))</f>
        <v/>
      </c>
      <c r="AD67" s="28">
        <f>IF(AA67&gt;0,100*U67*(1-W67)/(in_whole_sh*V67),0)</f>
        <v/>
      </c>
      <c r="AE67" s="28">
        <f>IF(AA67&gt;0,100*MAX(U67-R67,0)/(in_whole_sh*V67),0)</f>
        <v/>
      </c>
      <c r="AF67" s="16">
        <f>IF(AB67&gt;0,in_f1/AB67,in_cap)</f>
        <v/>
      </c>
      <c r="AG67" s="16">
        <f>IF(AC67&gt;0,in_f2/AC67,in_cap)</f>
        <v/>
      </c>
      <c r="AH67" s="16">
        <f>IF(AD67&gt;0,in_f3/AD67,in_cap)</f>
        <v/>
      </c>
      <c r="AI67" s="16">
        <f>MIN(in_cap,AF67,AG67,AH67)</f>
        <v/>
      </c>
      <c r="AJ67" s="30">
        <f>100*(1-(1-X67*(1-EXP(-((AI67)+(0))/Y67)))*(1-MIN(ABS(in_elas)*W67*R67*(AI67)/V67,1)))</f>
        <v/>
      </c>
      <c r="AK67" s="17">
        <f>IF(AI67&gt;=in_cap-1E-9,"rate cap",TRIM(IF(ABS(AI67-AF67)&lt;1E-9,"F1 ","")&amp;IF(ABS(AI67-AG67)&lt;1E-9,"F2 ","")&amp;IF(ABS(AI67-AH67)&lt;1E-9,"F3","")))</f>
        <v/>
      </c>
      <c r="AL67" s="15">
        <f>100*(1-(1-X67*(1-EXP(-((MIN(in_cap,IF(AB67&gt;0,(in_f1+1)/AB67,in_cap),AG67,AH67))+(0))/Y67)))*(1-MIN(ABS(in_elas)*W67*R67*(MIN(in_cap,IF(AB67&gt;0,(in_f1+1)/AB67,in_cap),AG67,AH67))/V67,1)))-AJ67</f>
        <v/>
      </c>
      <c r="AM67" s="16">
        <f>MIN(in_cap,IF(AE67&gt;0,in_f3/AE67,in_cap))</f>
        <v/>
      </c>
      <c r="AN67" s="30">
        <f>100*(1-(1-X67*(1-EXP(-((0)+(AM67))/Y67)))*(1-MIN(ABS(in_elas)*W67*R67*(0)/V67,1)))</f>
        <v/>
      </c>
      <c r="AO67" s="17">
        <f>IF(AM67&gt;=in_cap-1E-9,"rate cap","F3")</f>
        <v/>
      </c>
      <c r="AP67" s="15">
        <f>100*(1-(1-X67*(1-EXP(-((50)+(0))/Y67)))*(1-MIN(ABS(in_elas)*W67*R67*(50)/V67,1)))</f>
        <v/>
      </c>
      <c r="AQ67" s="15">
        <f>100*(1-(1-X67*(1-EXP(-((0)+(50))/Y67)))*(1-MIN(ABS(in_elas)*W67*R67*(0)/V67,1)))</f>
        <v/>
      </c>
      <c r="AR67" s="15">
        <f>IF(AP67&gt;0,AQ67/AP67,"")</f>
        <v/>
      </c>
      <c r="AS67" s="16">
        <f>50*AB67</f>
        <v/>
      </c>
      <c r="AT67" s="30">
        <f>MAX(BM67:BW67)</f>
        <v/>
      </c>
      <c r="AU67" s="31">
        <f>AI67*(MATCH(AT67,BM67:BW67,0)-1)/10</f>
        <v/>
      </c>
      <c r="AV67" s="31">
        <f>INDEX(BB67:BL67,1,(MATCH(AT67,BM67:BW67,0)-1)+1)</f>
        <v/>
      </c>
      <c r="AW67" s="31">
        <f>AB67*AU67</f>
        <v/>
      </c>
      <c r="AX67" s="30">
        <f>AC67*AU67</f>
        <v/>
      </c>
      <c r="AY67" s="31">
        <f>AD67*AU67+AE67*AV67</f>
        <v/>
      </c>
      <c r="AZ67" s="32">
        <f>TRIM(IF(AND(AU67&gt;0,ABS(AU67-AF67)&lt;1E-6),"F1 ","")&amp;IF(AND(AU67&gt;0,ABS(AU67-AG67)&lt;1E-6),"F2 ","")&amp;IF(AY67&gt;=in_f3-1E-6,"F3 ","")&amp;IF(AV67&gt;=in_cap-1E-9,"rate cap",""))</f>
        <v/>
      </c>
      <c r="BA67" s="31">
        <f>Q67*AT67/100</f>
        <v/>
      </c>
      <c r="BB67" s="16">
        <f>MAX(0,MIN(in_cap,IF(AE67&gt;0,(in_f3-AD67*AI67*0/10)/AE67,in_cap)))</f>
        <v/>
      </c>
      <c r="BC67" s="16">
        <f>MAX(0,MIN(in_cap,IF(AE67&gt;0,(in_f3-AD67*AI67*1/10)/AE67,in_cap)))</f>
        <v/>
      </c>
      <c r="BD67" s="16">
        <f>MAX(0,MIN(in_cap,IF(AE67&gt;0,(in_f3-AD67*AI67*2/10)/AE67,in_cap)))</f>
        <v/>
      </c>
      <c r="BE67" s="16">
        <f>MAX(0,MIN(in_cap,IF(AE67&gt;0,(in_f3-AD67*AI67*3/10)/AE67,in_cap)))</f>
        <v/>
      </c>
      <c r="BF67" s="16">
        <f>MAX(0,MIN(in_cap,IF(AE67&gt;0,(in_f3-AD67*AI67*4/10)/AE67,in_cap)))</f>
        <v/>
      </c>
      <c r="BG67" s="16">
        <f>MAX(0,MIN(in_cap,IF(AE67&gt;0,(in_f3-AD67*AI67*5/10)/AE67,in_cap)))</f>
        <v/>
      </c>
      <c r="BH67" s="16">
        <f>MAX(0,MIN(in_cap,IF(AE67&gt;0,(in_f3-AD67*AI67*6/10)/AE67,in_cap)))</f>
        <v/>
      </c>
      <c r="BI67" s="16">
        <f>MAX(0,MIN(in_cap,IF(AE67&gt;0,(in_f3-AD67*AI67*7/10)/AE67,in_cap)))</f>
        <v/>
      </c>
      <c r="BJ67" s="16">
        <f>MAX(0,MIN(in_cap,IF(AE67&gt;0,(in_f3-AD67*AI67*8/10)/AE67,in_cap)))</f>
        <v/>
      </c>
      <c r="BK67" s="16">
        <f>MAX(0,MIN(in_cap,IF(AE67&gt;0,(in_f3-AD67*AI67*9/10)/AE67,in_cap)))</f>
        <v/>
      </c>
      <c r="BL67" s="16">
        <f>MAX(0,MIN(in_cap,IF(AE67&gt;0,(in_f3-AD67*AI67*10/10)/AE67,in_cap)))</f>
        <v/>
      </c>
      <c r="BM67" s="15">
        <f>100*(1-(1-X67*(1-EXP(-((AI67*0/10)+(BB67))/Y67)))*(1-MIN(ABS(in_elas)*W67*R67*(AI67*0/10)/V67,1)))</f>
        <v/>
      </c>
      <c r="BN67" s="15">
        <f>100*(1-(1-X67*(1-EXP(-((AI67*1/10)+(BC67))/Y67)))*(1-MIN(ABS(in_elas)*W67*R67*(AI67*1/10)/V67,1)))</f>
        <v/>
      </c>
      <c r="BO67" s="15">
        <f>100*(1-(1-X67*(1-EXP(-((AI67*2/10)+(BD67))/Y67)))*(1-MIN(ABS(in_elas)*W67*R67*(AI67*2/10)/V67,1)))</f>
        <v/>
      </c>
      <c r="BP67" s="15">
        <f>100*(1-(1-X67*(1-EXP(-((AI67*3/10)+(BE67))/Y67)))*(1-MIN(ABS(in_elas)*W67*R67*(AI67*3/10)/V67,1)))</f>
        <v/>
      </c>
      <c r="BQ67" s="15">
        <f>100*(1-(1-X67*(1-EXP(-((AI67*4/10)+(BF67))/Y67)))*(1-MIN(ABS(in_elas)*W67*R67*(AI67*4/10)/V67,1)))</f>
        <v/>
      </c>
      <c r="BR67" s="15">
        <f>100*(1-(1-X67*(1-EXP(-((AI67*5/10)+(BG67))/Y67)))*(1-MIN(ABS(in_elas)*W67*R67*(AI67*5/10)/V67,1)))</f>
        <v/>
      </c>
      <c r="BS67" s="15">
        <f>100*(1-(1-X67*(1-EXP(-((AI67*6/10)+(BH67))/Y67)))*(1-MIN(ABS(in_elas)*W67*R67*(AI67*6/10)/V67,1)))</f>
        <v/>
      </c>
      <c r="BT67" s="15">
        <f>100*(1-(1-X67*(1-EXP(-((AI67*7/10)+(BI67))/Y67)))*(1-MIN(ABS(in_elas)*W67*R67*(AI67*7/10)/V67,1)))</f>
        <v/>
      </c>
      <c r="BU67" s="15">
        <f>100*(1-(1-X67*(1-EXP(-((AI67*8/10)+(BJ67))/Y67)))*(1-MIN(ABS(in_elas)*W67*R67*(AI67*8/10)/V67,1)))</f>
        <v/>
      </c>
      <c r="BV67" s="15">
        <f>100*(1-(1-X67*(1-EXP(-((AI67*9/10)+(BK67))/Y67)))*(1-MIN(ABS(in_elas)*W67*R67*(AI67*9/10)/V67,1)))</f>
        <v/>
      </c>
      <c r="BW67" s="15">
        <f>100*(1-(1-X67*(1-EXP(-((AI67*10/10)+(BL67))/Y67)))*(1-MIN(ABS(in_elas)*W67*R67*(AI67*10/10)/V67,1)))</f>
        <v/>
      </c>
    </row>
    <row r="68">
      <c r="A68" s="17" t="inlineStr">
        <is>
          <t>HND</t>
        </is>
      </c>
      <c r="B68" s="17">
        <f>INDEX(Data!$B:$B,MATCH($A68,Data!$A:$A,0))</f>
        <v/>
      </c>
      <c r="C68" s="17">
        <f>INDEX(Data!$D:$D,MATCH($A68,Data!$A:$A,0))</f>
        <v/>
      </c>
      <c r="D68" s="16">
        <f>SUMIFS(Data!$G:$G,Data!$A:$A,$A68,Data!$F:$F,"gen_coal_twh")</f>
        <v/>
      </c>
      <c r="E68" s="16">
        <f>SUMIFS(Data!$G:$G,Data!$A:$A,$A68,Data!$F:$F,"gen_gas_twh")</f>
        <v/>
      </c>
      <c r="F68" s="16">
        <f>SUMIFS(Data!$G:$G,Data!$A:$A,$A68,Data!$F:$F,"gen_oil_twh")</f>
        <v/>
      </c>
      <c r="G68" s="16">
        <f>SUMIFS(Data!$G:$G,Data!$A:$A,$A68,Data!$F:$F,"gen_total_twh")</f>
        <v/>
      </c>
      <c r="H68" s="16">
        <f>SUMIFS(Data!$G:$G,Data!$A:$A,$A68,Data!$F:$F,"em_coal_mt")</f>
        <v/>
      </c>
      <c r="I68" s="16">
        <f>SUMIFS(Data!$G:$G,Data!$A:$A,$A68,Data!$F:$F,"em_gas_mt")</f>
        <v/>
      </c>
      <c r="J68" s="16">
        <f>SUMIFS(Data!$G:$G,Data!$A:$A,$A68,Data!$F:$F,"em_oil_mt")</f>
        <v/>
      </c>
      <c r="K68" s="28">
        <f>IF(COUNTIFS(Data!$A:$A,$A68,Data!$F:$F,"price_electricity_residential_usd_kwh")=0,"",SUMIFS(Data!$G:$G,Data!$A:$A,$A68,Data!$F:$F,"price_electricity_residential_usd_kwh"))</f>
        <v/>
      </c>
      <c r="L68" s="28">
        <f>IF(COUNTIFS(Data!$A:$A,$A68,Data!$F:$F,"price_coal_power_usd_gj")=0,"",SUMIFS(Data!$G:$G,Data!$A:$A,$A68,Data!$F:$F,"price_coal_power_usd_gj"))</f>
        <v/>
      </c>
      <c r="M68" s="28">
        <f>IF(COUNTIFS(Data!$A:$A,$A68,Data!$F:$F,"price_gas_power_usd_gj")=0,"",SUMIFS(Data!$G:$G,Data!$A:$A,$A68,Data!$F:$F,"price_gas_power_usd_gj"))</f>
        <v/>
      </c>
      <c r="N68" s="28">
        <f>IF(COUNTIFS(Data!$A:$A,$A68,Data!$F:$F,"price_gas_industry_usd_gj")=0,"",SUMIFS(Data!$G:$G,Data!$A:$A,$A68,Data!$F:$F,"price_gas_industry_usd_gj"))</f>
        <v/>
      </c>
      <c r="O68" s="28">
        <f>IF(COUNTIFS(Data!$A:$A,$A68,Data!$F:$F,"power_market_structure")=0,"",SUMIFS(Data!$G:$G,Data!$A:$A,$A68,Data!$F:$F,"power_market_structure"))</f>
        <v/>
      </c>
      <c r="P68" s="28">
        <f>IF(COUNTIFS(Data!$A:$A,$A68,Data!$F:$F,"rise_renewable_energy_score")=0,"",SUMIFS(Data!$G:$G,Data!$A:$A,$A68,Data!$F:$F,"rise_renewable_energy_score"))</f>
        <v/>
      </c>
      <c r="Q68" s="16">
        <f>H68+I68+J68</f>
        <v/>
      </c>
      <c r="R68" s="28">
        <f>Q68/G68</f>
        <v/>
      </c>
      <c r="S68" s="28">
        <f>IF(D68&gt;0,H68/D68,0.85)</f>
        <v/>
      </c>
      <c r="T68" s="28">
        <f>IF(E68&gt;0,I68/E68,0.4)</f>
        <v/>
      </c>
      <c r="U68" s="28">
        <f>IF(D68+F68&gt;0,(H68+J68)/(D68+F68),0)</f>
        <v/>
      </c>
      <c r="V68" s="16">
        <f>K68*1000</f>
        <v/>
      </c>
      <c r="W68" s="15">
        <f>IF(O68=3,in_pt3,IF(O68=2,in_pt2,IF(O68=1,in_pt1,IF(C68="High income",in_pt_hi,in_pt_oth))))</f>
        <v/>
      </c>
      <c r="X68" s="28">
        <f>IF(Q68&gt;0,in_kappa*(in_rise_lo+(in_rise_hi-in_rise_lo)*IF(P68="",in_rise_miss,P68)/100)*(D68+F68)*MAX(U68-in_gas_rep*T68,0)/Q68,0)</f>
        <v/>
      </c>
      <c r="Y68" s="16">
        <f>IF(IF(M68="",N68,M68)="",MAX(in_sw_floor,in_sw_miss),MAX(in_sw_floor,(IF(M68="",N68,M68)*in_hr_gas-L68*in_hr_coal)/MAX(S68-T68,0.1)))</f>
        <v/>
      </c>
      <c r="Z68" s="28">
        <f>IF(C68="Low income",in_b40_li,IF(C68="Lower middle income",in_b40_lmi,IF(C68="Upper middle income",in_b40_umi,IF(C68="High income",in_b40_hi,0.03))))</f>
        <v/>
      </c>
      <c r="AA68" s="15">
        <f>(D68+F68)/G68</f>
        <v/>
      </c>
      <c r="AB68" s="28">
        <f>100*W68*R68/V68/in_phase</f>
        <v/>
      </c>
      <c r="AC68" s="29">
        <f>100*Z68*W68*R68/V68*(1-IF(W68&gt;0,MIN(in_rebate/(W68*in_res_sh*in_q40),1),1))</f>
        <v/>
      </c>
      <c r="AD68" s="28">
        <f>IF(AA68&gt;0,100*U68*(1-W68)/(in_whole_sh*V68),0)</f>
        <v/>
      </c>
      <c r="AE68" s="28">
        <f>IF(AA68&gt;0,100*MAX(U68-R68,0)/(in_whole_sh*V68),0)</f>
        <v/>
      </c>
      <c r="AF68" s="16">
        <f>IF(AB68&gt;0,in_f1/AB68,in_cap)</f>
        <v/>
      </c>
      <c r="AG68" s="16">
        <f>IF(AC68&gt;0,in_f2/AC68,in_cap)</f>
        <v/>
      </c>
      <c r="AH68" s="16">
        <f>IF(AD68&gt;0,in_f3/AD68,in_cap)</f>
        <v/>
      </c>
      <c r="AI68" s="16">
        <f>MIN(in_cap,AF68,AG68,AH68)</f>
        <v/>
      </c>
      <c r="AJ68" s="30">
        <f>100*(1-(1-X68*(1-EXP(-((AI68)+(0))/Y68)))*(1-MIN(ABS(in_elas)*W68*R68*(AI68)/V68,1)))</f>
        <v/>
      </c>
      <c r="AK68" s="17">
        <f>IF(AI68&gt;=in_cap-1E-9,"rate cap",TRIM(IF(ABS(AI68-AF68)&lt;1E-9,"F1 ","")&amp;IF(ABS(AI68-AG68)&lt;1E-9,"F2 ","")&amp;IF(ABS(AI68-AH68)&lt;1E-9,"F3","")))</f>
        <v/>
      </c>
      <c r="AL68" s="15">
        <f>100*(1-(1-X68*(1-EXP(-((MIN(in_cap,IF(AB68&gt;0,(in_f1+1)/AB68,in_cap),AG68,AH68))+(0))/Y68)))*(1-MIN(ABS(in_elas)*W68*R68*(MIN(in_cap,IF(AB68&gt;0,(in_f1+1)/AB68,in_cap),AG68,AH68))/V68,1)))-AJ68</f>
        <v/>
      </c>
      <c r="AM68" s="16">
        <f>MIN(in_cap,IF(AE68&gt;0,in_f3/AE68,in_cap))</f>
        <v/>
      </c>
      <c r="AN68" s="30">
        <f>100*(1-(1-X68*(1-EXP(-((0)+(AM68))/Y68)))*(1-MIN(ABS(in_elas)*W68*R68*(0)/V68,1)))</f>
        <v/>
      </c>
      <c r="AO68" s="17">
        <f>IF(AM68&gt;=in_cap-1E-9,"rate cap","F3")</f>
        <v/>
      </c>
      <c r="AP68" s="15">
        <f>100*(1-(1-X68*(1-EXP(-((50)+(0))/Y68)))*(1-MIN(ABS(in_elas)*W68*R68*(50)/V68,1)))</f>
        <v/>
      </c>
      <c r="AQ68" s="15">
        <f>100*(1-(1-X68*(1-EXP(-((0)+(50))/Y68)))*(1-MIN(ABS(in_elas)*W68*R68*(0)/V68,1)))</f>
        <v/>
      </c>
      <c r="AR68" s="15">
        <f>IF(AP68&gt;0,AQ68/AP68,"")</f>
        <v/>
      </c>
      <c r="AS68" s="16">
        <f>50*AB68</f>
        <v/>
      </c>
      <c r="AT68" s="30">
        <f>MAX(BM68:BW68)</f>
        <v/>
      </c>
      <c r="AU68" s="31">
        <f>AI68*(MATCH(AT68,BM68:BW68,0)-1)/10</f>
        <v/>
      </c>
      <c r="AV68" s="31">
        <f>INDEX(BB68:BL68,1,(MATCH(AT68,BM68:BW68,0)-1)+1)</f>
        <v/>
      </c>
      <c r="AW68" s="31">
        <f>AB68*AU68</f>
        <v/>
      </c>
      <c r="AX68" s="30">
        <f>AC68*AU68</f>
        <v/>
      </c>
      <c r="AY68" s="31">
        <f>AD68*AU68+AE68*AV68</f>
        <v/>
      </c>
      <c r="AZ68" s="32">
        <f>TRIM(IF(AND(AU68&gt;0,ABS(AU68-AF68)&lt;1E-6),"F1 ","")&amp;IF(AND(AU68&gt;0,ABS(AU68-AG68)&lt;1E-6),"F2 ","")&amp;IF(AY68&gt;=in_f3-1E-6,"F3 ","")&amp;IF(AV68&gt;=in_cap-1E-9,"rate cap",""))</f>
        <v/>
      </c>
      <c r="BA68" s="31">
        <f>Q68*AT68/100</f>
        <v/>
      </c>
      <c r="BB68" s="16">
        <f>MAX(0,MIN(in_cap,IF(AE68&gt;0,(in_f3-AD68*AI68*0/10)/AE68,in_cap)))</f>
        <v/>
      </c>
      <c r="BC68" s="16">
        <f>MAX(0,MIN(in_cap,IF(AE68&gt;0,(in_f3-AD68*AI68*1/10)/AE68,in_cap)))</f>
        <v/>
      </c>
      <c r="BD68" s="16">
        <f>MAX(0,MIN(in_cap,IF(AE68&gt;0,(in_f3-AD68*AI68*2/10)/AE68,in_cap)))</f>
        <v/>
      </c>
      <c r="BE68" s="16">
        <f>MAX(0,MIN(in_cap,IF(AE68&gt;0,(in_f3-AD68*AI68*3/10)/AE68,in_cap)))</f>
        <v/>
      </c>
      <c r="BF68" s="16">
        <f>MAX(0,MIN(in_cap,IF(AE68&gt;0,(in_f3-AD68*AI68*4/10)/AE68,in_cap)))</f>
        <v/>
      </c>
      <c r="BG68" s="16">
        <f>MAX(0,MIN(in_cap,IF(AE68&gt;0,(in_f3-AD68*AI68*5/10)/AE68,in_cap)))</f>
        <v/>
      </c>
      <c r="BH68" s="16">
        <f>MAX(0,MIN(in_cap,IF(AE68&gt;0,(in_f3-AD68*AI68*6/10)/AE68,in_cap)))</f>
        <v/>
      </c>
      <c r="BI68" s="16">
        <f>MAX(0,MIN(in_cap,IF(AE68&gt;0,(in_f3-AD68*AI68*7/10)/AE68,in_cap)))</f>
        <v/>
      </c>
      <c r="BJ68" s="16">
        <f>MAX(0,MIN(in_cap,IF(AE68&gt;0,(in_f3-AD68*AI68*8/10)/AE68,in_cap)))</f>
        <v/>
      </c>
      <c r="BK68" s="16">
        <f>MAX(0,MIN(in_cap,IF(AE68&gt;0,(in_f3-AD68*AI68*9/10)/AE68,in_cap)))</f>
        <v/>
      </c>
      <c r="BL68" s="16">
        <f>MAX(0,MIN(in_cap,IF(AE68&gt;0,(in_f3-AD68*AI68*10/10)/AE68,in_cap)))</f>
        <v/>
      </c>
      <c r="BM68" s="15">
        <f>100*(1-(1-X68*(1-EXP(-((AI68*0/10)+(BB68))/Y68)))*(1-MIN(ABS(in_elas)*W68*R68*(AI68*0/10)/V68,1)))</f>
        <v/>
      </c>
      <c r="BN68" s="15">
        <f>100*(1-(1-X68*(1-EXP(-((AI68*1/10)+(BC68))/Y68)))*(1-MIN(ABS(in_elas)*W68*R68*(AI68*1/10)/V68,1)))</f>
        <v/>
      </c>
      <c r="BO68" s="15">
        <f>100*(1-(1-X68*(1-EXP(-((AI68*2/10)+(BD68))/Y68)))*(1-MIN(ABS(in_elas)*W68*R68*(AI68*2/10)/V68,1)))</f>
        <v/>
      </c>
      <c r="BP68" s="15">
        <f>100*(1-(1-X68*(1-EXP(-((AI68*3/10)+(BE68))/Y68)))*(1-MIN(ABS(in_elas)*W68*R68*(AI68*3/10)/V68,1)))</f>
        <v/>
      </c>
      <c r="BQ68" s="15">
        <f>100*(1-(1-X68*(1-EXP(-((AI68*4/10)+(BF68))/Y68)))*(1-MIN(ABS(in_elas)*W68*R68*(AI68*4/10)/V68,1)))</f>
        <v/>
      </c>
      <c r="BR68" s="15">
        <f>100*(1-(1-X68*(1-EXP(-((AI68*5/10)+(BG68))/Y68)))*(1-MIN(ABS(in_elas)*W68*R68*(AI68*5/10)/V68,1)))</f>
        <v/>
      </c>
      <c r="BS68" s="15">
        <f>100*(1-(1-X68*(1-EXP(-((AI68*6/10)+(BH68))/Y68)))*(1-MIN(ABS(in_elas)*W68*R68*(AI68*6/10)/V68,1)))</f>
        <v/>
      </c>
      <c r="BT68" s="15">
        <f>100*(1-(1-X68*(1-EXP(-((AI68*7/10)+(BI68))/Y68)))*(1-MIN(ABS(in_elas)*W68*R68*(AI68*7/10)/V68,1)))</f>
        <v/>
      </c>
      <c r="BU68" s="15">
        <f>100*(1-(1-X68*(1-EXP(-((AI68*8/10)+(BJ68))/Y68)))*(1-MIN(ABS(in_elas)*W68*R68*(AI68*8/10)/V68,1)))</f>
        <v/>
      </c>
      <c r="BV68" s="15">
        <f>100*(1-(1-X68*(1-EXP(-((AI68*9/10)+(BK68))/Y68)))*(1-MIN(ABS(in_elas)*W68*R68*(AI68*9/10)/V68,1)))</f>
        <v/>
      </c>
      <c r="BW68" s="15">
        <f>100*(1-(1-X68*(1-EXP(-((AI68*10/10)+(BL68))/Y68)))*(1-MIN(ABS(in_elas)*W68*R68*(AI68*10/10)/V68,1)))</f>
        <v/>
      </c>
    </row>
    <row r="69">
      <c r="A69" s="17" t="inlineStr">
        <is>
          <t>HRV</t>
        </is>
      </c>
      <c r="B69" s="17">
        <f>INDEX(Data!$B:$B,MATCH($A69,Data!$A:$A,0))</f>
        <v/>
      </c>
      <c r="C69" s="17">
        <f>INDEX(Data!$D:$D,MATCH($A69,Data!$A:$A,0))</f>
        <v/>
      </c>
      <c r="D69" s="16">
        <f>SUMIFS(Data!$G:$G,Data!$A:$A,$A69,Data!$F:$F,"gen_coal_twh")</f>
        <v/>
      </c>
      <c r="E69" s="16">
        <f>SUMIFS(Data!$G:$G,Data!$A:$A,$A69,Data!$F:$F,"gen_gas_twh")</f>
        <v/>
      </c>
      <c r="F69" s="16">
        <f>SUMIFS(Data!$G:$G,Data!$A:$A,$A69,Data!$F:$F,"gen_oil_twh")</f>
        <v/>
      </c>
      <c r="G69" s="16">
        <f>SUMIFS(Data!$G:$G,Data!$A:$A,$A69,Data!$F:$F,"gen_total_twh")</f>
        <v/>
      </c>
      <c r="H69" s="16">
        <f>SUMIFS(Data!$G:$G,Data!$A:$A,$A69,Data!$F:$F,"em_coal_mt")</f>
        <v/>
      </c>
      <c r="I69" s="16">
        <f>SUMIFS(Data!$G:$G,Data!$A:$A,$A69,Data!$F:$F,"em_gas_mt")</f>
        <v/>
      </c>
      <c r="J69" s="16">
        <f>SUMIFS(Data!$G:$G,Data!$A:$A,$A69,Data!$F:$F,"em_oil_mt")</f>
        <v/>
      </c>
      <c r="K69" s="28">
        <f>IF(COUNTIFS(Data!$A:$A,$A69,Data!$F:$F,"price_electricity_residential_usd_kwh")=0,"",SUMIFS(Data!$G:$G,Data!$A:$A,$A69,Data!$F:$F,"price_electricity_residential_usd_kwh"))</f>
        <v/>
      </c>
      <c r="L69" s="28">
        <f>IF(COUNTIFS(Data!$A:$A,$A69,Data!$F:$F,"price_coal_power_usd_gj")=0,"",SUMIFS(Data!$G:$G,Data!$A:$A,$A69,Data!$F:$F,"price_coal_power_usd_gj"))</f>
        <v/>
      </c>
      <c r="M69" s="28">
        <f>IF(COUNTIFS(Data!$A:$A,$A69,Data!$F:$F,"price_gas_power_usd_gj")=0,"",SUMIFS(Data!$G:$G,Data!$A:$A,$A69,Data!$F:$F,"price_gas_power_usd_gj"))</f>
        <v/>
      </c>
      <c r="N69" s="28">
        <f>IF(COUNTIFS(Data!$A:$A,$A69,Data!$F:$F,"price_gas_industry_usd_gj")=0,"",SUMIFS(Data!$G:$G,Data!$A:$A,$A69,Data!$F:$F,"price_gas_industry_usd_gj"))</f>
        <v/>
      </c>
      <c r="O69" s="28">
        <f>IF(COUNTIFS(Data!$A:$A,$A69,Data!$F:$F,"power_market_structure")=0,"",SUMIFS(Data!$G:$G,Data!$A:$A,$A69,Data!$F:$F,"power_market_structure"))</f>
        <v/>
      </c>
      <c r="P69" s="28">
        <f>IF(COUNTIFS(Data!$A:$A,$A69,Data!$F:$F,"rise_renewable_energy_score")=0,"",SUMIFS(Data!$G:$G,Data!$A:$A,$A69,Data!$F:$F,"rise_renewable_energy_score"))</f>
        <v/>
      </c>
      <c r="Q69" s="16">
        <f>H69+I69+J69</f>
        <v/>
      </c>
      <c r="R69" s="28">
        <f>Q69/G69</f>
        <v/>
      </c>
      <c r="S69" s="28">
        <f>IF(D69&gt;0,H69/D69,0.85)</f>
        <v/>
      </c>
      <c r="T69" s="28">
        <f>IF(E69&gt;0,I69/E69,0.4)</f>
        <v/>
      </c>
      <c r="U69" s="28">
        <f>IF(D69+F69&gt;0,(H69+J69)/(D69+F69),0)</f>
        <v/>
      </c>
      <c r="V69" s="16">
        <f>K69*1000</f>
        <v/>
      </c>
      <c r="W69" s="15">
        <f>IF(O69=3,in_pt3,IF(O69=2,in_pt2,IF(O69=1,in_pt1,IF(C69="High income",in_pt_hi,in_pt_oth))))</f>
        <v/>
      </c>
      <c r="X69" s="28">
        <f>IF(Q69&gt;0,in_kappa*(in_rise_lo+(in_rise_hi-in_rise_lo)*IF(P69="",in_rise_miss,P69)/100)*(D69+F69)*MAX(U69-in_gas_rep*T69,0)/Q69,0)</f>
        <v/>
      </c>
      <c r="Y69" s="16">
        <f>IF(IF(M69="",N69,M69)="",MAX(in_sw_floor,in_sw_miss),MAX(in_sw_floor,(IF(M69="",N69,M69)*in_hr_gas-L69*in_hr_coal)/MAX(S69-T69,0.1)))</f>
        <v/>
      </c>
      <c r="Z69" s="28">
        <f>IF(C69="Low income",in_b40_li,IF(C69="Lower middle income",in_b40_lmi,IF(C69="Upper middle income",in_b40_umi,IF(C69="High income",in_b40_hi,0.03))))</f>
        <v/>
      </c>
      <c r="AA69" s="15">
        <f>(D69+F69)/G69</f>
        <v/>
      </c>
      <c r="AB69" s="28">
        <f>100*W69*R69/V69/in_phase</f>
        <v/>
      </c>
      <c r="AC69" s="29">
        <f>100*Z69*W69*R69/V69*(1-IF(W69&gt;0,MIN(in_rebate/(W69*in_res_sh*in_q40),1),1))</f>
        <v/>
      </c>
      <c r="AD69" s="28">
        <f>IF(AA69&gt;0,100*U69*(1-W69)/(in_whole_sh*V69),0)</f>
        <v/>
      </c>
      <c r="AE69" s="28">
        <f>IF(AA69&gt;0,100*MAX(U69-R69,0)/(in_whole_sh*V69),0)</f>
        <v/>
      </c>
      <c r="AF69" s="16">
        <f>IF(AB69&gt;0,in_f1/AB69,in_cap)</f>
        <v/>
      </c>
      <c r="AG69" s="16">
        <f>IF(AC69&gt;0,in_f2/AC69,in_cap)</f>
        <v/>
      </c>
      <c r="AH69" s="16">
        <f>IF(AD69&gt;0,in_f3/AD69,in_cap)</f>
        <v/>
      </c>
      <c r="AI69" s="16">
        <f>MIN(in_cap,AF69,AG69,AH69)</f>
        <v/>
      </c>
      <c r="AJ69" s="30">
        <f>100*(1-(1-X69*(1-EXP(-((AI69)+(0))/Y69)))*(1-MIN(ABS(in_elas)*W69*R69*(AI69)/V69,1)))</f>
        <v/>
      </c>
      <c r="AK69" s="17">
        <f>IF(AI69&gt;=in_cap-1E-9,"rate cap",TRIM(IF(ABS(AI69-AF69)&lt;1E-9,"F1 ","")&amp;IF(ABS(AI69-AG69)&lt;1E-9,"F2 ","")&amp;IF(ABS(AI69-AH69)&lt;1E-9,"F3","")))</f>
        <v/>
      </c>
      <c r="AL69" s="15">
        <f>100*(1-(1-X69*(1-EXP(-((MIN(in_cap,IF(AB69&gt;0,(in_f1+1)/AB69,in_cap),AG69,AH69))+(0))/Y69)))*(1-MIN(ABS(in_elas)*W69*R69*(MIN(in_cap,IF(AB69&gt;0,(in_f1+1)/AB69,in_cap),AG69,AH69))/V69,1)))-AJ69</f>
        <v/>
      </c>
      <c r="AM69" s="16">
        <f>MIN(in_cap,IF(AE69&gt;0,in_f3/AE69,in_cap))</f>
        <v/>
      </c>
      <c r="AN69" s="30">
        <f>100*(1-(1-X69*(1-EXP(-((0)+(AM69))/Y69)))*(1-MIN(ABS(in_elas)*W69*R69*(0)/V69,1)))</f>
        <v/>
      </c>
      <c r="AO69" s="17">
        <f>IF(AM69&gt;=in_cap-1E-9,"rate cap","F3")</f>
        <v/>
      </c>
      <c r="AP69" s="15">
        <f>100*(1-(1-X69*(1-EXP(-((50)+(0))/Y69)))*(1-MIN(ABS(in_elas)*W69*R69*(50)/V69,1)))</f>
        <v/>
      </c>
      <c r="AQ69" s="15">
        <f>100*(1-(1-X69*(1-EXP(-((0)+(50))/Y69)))*(1-MIN(ABS(in_elas)*W69*R69*(0)/V69,1)))</f>
        <v/>
      </c>
      <c r="AR69" s="15">
        <f>IF(AP69&gt;0,AQ69/AP69,"")</f>
        <v/>
      </c>
      <c r="AS69" s="16">
        <f>50*AB69</f>
        <v/>
      </c>
      <c r="AT69" s="30">
        <f>MAX(BM69:BW69)</f>
        <v/>
      </c>
      <c r="AU69" s="31">
        <f>AI69*(MATCH(AT69,BM69:BW69,0)-1)/10</f>
        <v/>
      </c>
      <c r="AV69" s="31">
        <f>INDEX(BB69:BL69,1,(MATCH(AT69,BM69:BW69,0)-1)+1)</f>
        <v/>
      </c>
      <c r="AW69" s="31">
        <f>AB69*AU69</f>
        <v/>
      </c>
      <c r="AX69" s="30">
        <f>AC69*AU69</f>
        <v/>
      </c>
      <c r="AY69" s="31">
        <f>AD69*AU69+AE69*AV69</f>
        <v/>
      </c>
      <c r="AZ69" s="32">
        <f>TRIM(IF(AND(AU69&gt;0,ABS(AU69-AF69)&lt;1E-6),"F1 ","")&amp;IF(AND(AU69&gt;0,ABS(AU69-AG69)&lt;1E-6),"F2 ","")&amp;IF(AY69&gt;=in_f3-1E-6,"F3 ","")&amp;IF(AV69&gt;=in_cap-1E-9,"rate cap",""))</f>
        <v/>
      </c>
      <c r="BA69" s="31">
        <f>Q69*AT69/100</f>
        <v/>
      </c>
      <c r="BB69" s="16">
        <f>MAX(0,MIN(in_cap,IF(AE69&gt;0,(in_f3-AD69*AI69*0/10)/AE69,in_cap)))</f>
        <v/>
      </c>
      <c r="BC69" s="16">
        <f>MAX(0,MIN(in_cap,IF(AE69&gt;0,(in_f3-AD69*AI69*1/10)/AE69,in_cap)))</f>
        <v/>
      </c>
      <c r="BD69" s="16">
        <f>MAX(0,MIN(in_cap,IF(AE69&gt;0,(in_f3-AD69*AI69*2/10)/AE69,in_cap)))</f>
        <v/>
      </c>
      <c r="BE69" s="16">
        <f>MAX(0,MIN(in_cap,IF(AE69&gt;0,(in_f3-AD69*AI69*3/10)/AE69,in_cap)))</f>
        <v/>
      </c>
      <c r="BF69" s="16">
        <f>MAX(0,MIN(in_cap,IF(AE69&gt;0,(in_f3-AD69*AI69*4/10)/AE69,in_cap)))</f>
        <v/>
      </c>
      <c r="BG69" s="16">
        <f>MAX(0,MIN(in_cap,IF(AE69&gt;0,(in_f3-AD69*AI69*5/10)/AE69,in_cap)))</f>
        <v/>
      </c>
      <c r="BH69" s="16">
        <f>MAX(0,MIN(in_cap,IF(AE69&gt;0,(in_f3-AD69*AI69*6/10)/AE69,in_cap)))</f>
        <v/>
      </c>
      <c r="BI69" s="16">
        <f>MAX(0,MIN(in_cap,IF(AE69&gt;0,(in_f3-AD69*AI69*7/10)/AE69,in_cap)))</f>
        <v/>
      </c>
      <c r="BJ69" s="16">
        <f>MAX(0,MIN(in_cap,IF(AE69&gt;0,(in_f3-AD69*AI69*8/10)/AE69,in_cap)))</f>
        <v/>
      </c>
      <c r="BK69" s="16">
        <f>MAX(0,MIN(in_cap,IF(AE69&gt;0,(in_f3-AD69*AI69*9/10)/AE69,in_cap)))</f>
        <v/>
      </c>
      <c r="BL69" s="16">
        <f>MAX(0,MIN(in_cap,IF(AE69&gt;0,(in_f3-AD69*AI69*10/10)/AE69,in_cap)))</f>
        <v/>
      </c>
      <c r="BM69" s="15">
        <f>100*(1-(1-X69*(1-EXP(-((AI69*0/10)+(BB69))/Y69)))*(1-MIN(ABS(in_elas)*W69*R69*(AI69*0/10)/V69,1)))</f>
        <v/>
      </c>
      <c r="BN69" s="15">
        <f>100*(1-(1-X69*(1-EXP(-((AI69*1/10)+(BC69))/Y69)))*(1-MIN(ABS(in_elas)*W69*R69*(AI69*1/10)/V69,1)))</f>
        <v/>
      </c>
      <c r="BO69" s="15">
        <f>100*(1-(1-X69*(1-EXP(-((AI69*2/10)+(BD69))/Y69)))*(1-MIN(ABS(in_elas)*W69*R69*(AI69*2/10)/V69,1)))</f>
        <v/>
      </c>
      <c r="BP69" s="15">
        <f>100*(1-(1-X69*(1-EXP(-((AI69*3/10)+(BE69))/Y69)))*(1-MIN(ABS(in_elas)*W69*R69*(AI69*3/10)/V69,1)))</f>
        <v/>
      </c>
      <c r="BQ69" s="15">
        <f>100*(1-(1-X69*(1-EXP(-((AI69*4/10)+(BF69))/Y69)))*(1-MIN(ABS(in_elas)*W69*R69*(AI69*4/10)/V69,1)))</f>
        <v/>
      </c>
      <c r="BR69" s="15">
        <f>100*(1-(1-X69*(1-EXP(-((AI69*5/10)+(BG69))/Y69)))*(1-MIN(ABS(in_elas)*W69*R69*(AI69*5/10)/V69,1)))</f>
        <v/>
      </c>
      <c r="BS69" s="15">
        <f>100*(1-(1-X69*(1-EXP(-((AI69*6/10)+(BH69))/Y69)))*(1-MIN(ABS(in_elas)*W69*R69*(AI69*6/10)/V69,1)))</f>
        <v/>
      </c>
      <c r="BT69" s="15">
        <f>100*(1-(1-X69*(1-EXP(-((AI69*7/10)+(BI69))/Y69)))*(1-MIN(ABS(in_elas)*W69*R69*(AI69*7/10)/V69,1)))</f>
        <v/>
      </c>
      <c r="BU69" s="15">
        <f>100*(1-(1-X69*(1-EXP(-((AI69*8/10)+(BJ69))/Y69)))*(1-MIN(ABS(in_elas)*W69*R69*(AI69*8/10)/V69,1)))</f>
        <v/>
      </c>
      <c r="BV69" s="15">
        <f>100*(1-(1-X69*(1-EXP(-((AI69*9/10)+(BK69))/Y69)))*(1-MIN(ABS(in_elas)*W69*R69*(AI69*9/10)/V69,1)))</f>
        <v/>
      </c>
      <c r="BW69" s="15">
        <f>100*(1-(1-X69*(1-EXP(-((AI69*10/10)+(BL69))/Y69)))*(1-MIN(ABS(in_elas)*W69*R69*(AI69*10/10)/V69,1)))</f>
        <v/>
      </c>
    </row>
    <row r="70">
      <c r="A70" s="17" t="inlineStr">
        <is>
          <t>HTI</t>
        </is>
      </c>
      <c r="B70" s="17">
        <f>INDEX(Data!$B:$B,MATCH($A70,Data!$A:$A,0))</f>
        <v/>
      </c>
      <c r="C70" s="17">
        <f>INDEX(Data!$D:$D,MATCH($A70,Data!$A:$A,0))</f>
        <v/>
      </c>
      <c r="D70" s="16">
        <f>SUMIFS(Data!$G:$G,Data!$A:$A,$A70,Data!$F:$F,"gen_coal_twh")</f>
        <v/>
      </c>
      <c r="E70" s="16">
        <f>SUMIFS(Data!$G:$G,Data!$A:$A,$A70,Data!$F:$F,"gen_gas_twh")</f>
        <v/>
      </c>
      <c r="F70" s="16">
        <f>SUMIFS(Data!$G:$G,Data!$A:$A,$A70,Data!$F:$F,"gen_oil_twh")</f>
        <v/>
      </c>
      <c r="G70" s="16">
        <f>SUMIFS(Data!$G:$G,Data!$A:$A,$A70,Data!$F:$F,"gen_total_twh")</f>
        <v/>
      </c>
      <c r="H70" s="16">
        <f>SUMIFS(Data!$G:$G,Data!$A:$A,$A70,Data!$F:$F,"em_coal_mt")</f>
        <v/>
      </c>
      <c r="I70" s="16">
        <f>SUMIFS(Data!$G:$G,Data!$A:$A,$A70,Data!$F:$F,"em_gas_mt")</f>
        <v/>
      </c>
      <c r="J70" s="16">
        <f>SUMIFS(Data!$G:$G,Data!$A:$A,$A70,Data!$F:$F,"em_oil_mt")</f>
        <v/>
      </c>
      <c r="K70" s="28">
        <f>IF(COUNTIFS(Data!$A:$A,$A70,Data!$F:$F,"price_electricity_residential_usd_kwh")=0,"",SUMIFS(Data!$G:$G,Data!$A:$A,$A70,Data!$F:$F,"price_electricity_residential_usd_kwh"))</f>
        <v/>
      </c>
      <c r="L70" s="28">
        <f>IF(COUNTIFS(Data!$A:$A,$A70,Data!$F:$F,"price_coal_power_usd_gj")=0,"",SUMIFS(Data!$G:$G,Data!$A:$A,$A70,Data!$F:$F,"price_coal_power_usd_gj"))</f>
        <v/>
      </c>
      <c r="M70" s="28">
        <f>IF(COUNTIFS(Data!$A:$A,$A70,Data!$F:$F,"price_gas_power_usd_gj")=0,"",SUMIFS(Data!$G:$G,Data!$A:$A,$A70,Data!$F:$F,"price_gas_power_usd_gj"))</f>
        <v/>
      </c>
      <c r="N70" s="28">
        <f>IF(COUNTIFS(Data!$A:$A,$A70,Data!$F:$F,"price_gas_industry_usd_gj")=0,"",SUMIFS(Data!$G:$G,Data!$A:$A,$A70,Data!$F:$F,"price_gas_industry_usd_gj"))</f>
        <v/>
      </c>
      <c r="O70" s="28">
        <f>IF(COUNTIFS(Data!$A:$A,$A70,Data!$F:$F,"power_market_structure")=0,"",SUMIFS(Data!$G:$G,Data!$A:$A,$A70,Data!$F:$F,"power_market_structure"))</f>
        <v/>
      </c>
      <c r="P70" s="28">
        <f>IF(COUNTIFS(Data!$A:$A,$A70,Data!$F:$F,"rise_renewable_energy_score")=0,"",SUMIFS(Data!$G:$G,Data!$A:$A,$A70,Data!$F:$F,"rise_renewable_energy_score"))</f>
        <v/>
      </c>
      <c r="Q70" s="16">
        <f>H70+I70+J70</f>
        <v/>
      </c>
      <c r="R70" s="28">
        <f>Q70/G70</f>
        <v/>
      </c>
      <c r="S70" s="28">
        <f>IF(D70&gt;0,H70/D70,0.85)</f>
        <v/>
      </c>
      <c r="T70" s="28">
        <f>IF(E70&gt;0,I70/E70,0.4)</f>
        <v/>
      </c>
      <c r="U70" s="28">
        <f>IF(D70+F70&gt;0,(H70+J70)/(D70+F70),0)</f>
        <v/>
      </c>
      <c r="V70" s="16">
        <f>K70*1000</f>
        <v/>
      </c>
      <c r="W70" s="15">
        <f>IF(O70=3,in_pt3,IF(O70=2,in_pt2,IF(O70=1,in_pt1,IF(C70="High income",in_pt_hi,in_pt_oth))))</f>
        <v/>
      </c>
      <c r="X70" s="28">
        <f>IF(Q70&gt;0,in_kappa*(in_rise_lo+(in_rise_hi-in_rise_lo)*IF(P70="",in_rise_miss,P70)/100)*(D70+F70)*MAX(U70-in_gas_rep*T70,0)/Q70,0)</f>
        <v/>
      </c>
      <c r="Y70" s="16">
        <f>IF(IF(M70="",N70,M70)="",MAX(in_sw_floor,in_sw_miss),MAX(in_sw_floor,(IF(M70="",N70,M70)*in_hr_gas-L70*in_hr_coal)/MAX(S70-T70,0.1)))</f>
        <v/>
      </c>
      <c r="Z70" s="28">
        <f>IF(C70="Low income",in_b40_li,IF(C70="Lower middle income",in_b40_lmi,IF(C70="Upper middle income",in_b40_umi,IF(C70="High income",in_b40_hi,0.03))))</f>
        <v/>
      </c>
      <c r="AA70" s="15">
        <f>(D70+F70)/G70</f>
        <v/>
      </c>
      <c r="AB70" s="28">
        <f>100*W70*R70/V70/in_phase</f>
        <v/>
      </c>
      <c r="AC70" s="29">
        <f>100*Z70*W70*R70/V70*(1-IF(W70&gt;0,MIN(in_rebate/(W70*in_res_sh*in_q40),1),1))</f>
        <v/>
      </c>
      <c r="AD70" s="28">
        <f>IF(AA70&gt;0,100*U70*(1-W70)/(in_whole_sh*V70),0)</f>
        <v/>
      </c>
      <c r="AE70" s="28">
        <f>IF(AA70&gt;0,100*MAX(U70-R70,0)/(in_whole_sh*V70),0)</f>
        <v/>
      </c>
      <c r="AF70" s="16">
        <f>IF(AB70&gt;0,in_f1/AB70,in_cap)</f>
        <v/>
      </c>
      <c r="AG70" s="16">
        <f>IF(AC70&gt;0,in_f2/AC70,in_cap)</f>
        <v/>
      </c>
      <c r="AH70" s="16">
        <f>IF(AD70&gt;0,in_f3/AD70,in_cap)</f>
        <v/>
      </c>
      <c r="AI70" s="16">
        <f>MIN(in_cap,AF70,AG70,AH70)</f>
        <v/>
      </c>
      <c r="AJ70" s="30">
        <f>100*(1-(1-X70*(1-EXP(-((AI70)+(0))/Y70)))*(1-MIN(ABS(in_elas)*W70*R70*(AI70)/V70,1)))</f>
        <v/>
      </c>
      <c r="AK70" s="17">
        <f>IF(AI70&gt;=in_cap-1E-9,"rate cap",TRIM(IF(ABS(AI70-AF70)&lt;1E-9,"F1 ","")&amp;IF(ABS(AI70-AG70)&lt;1E-9,"F2 ","")&amp;IF(ABS(AI70-AH70)&lt;1E-9,"F3","")))</f>
        <v/>
      </c>
      <c r="AL70" s="15">
        <f>100*(1-(1-X70*(1-EXP(-((MIN(in_cap,IF(AB70&gt;0,(in_f1+1)/AB70,in_cap),AG70,AH70))+(0))/Y70)))*(1-MIN(ABS(in_elas)*W70*R70*(MIN(in_cap,IF(AB70&gt;0,(in_f1+1)/AB70,in_cap),AG70,AH70))/V70,1)))-AJ70</f>
        <v/>
      </c>
      <c r="AM70" s="16">
        <f>MIN(in_cap,IF(AE70&gt;0,in_f3/AE70,in_cap))</f>
        <v/>
      </c>
      <c r="AN70" s="30">
        <f>100*(1-(1-X70*(1-EXP(-((0)+(AM70))/Y70)))*(1-MIN(ABS(in_elas)*W70*R70*(0)/V70,1)))</f>
        <v/>
      </c>
      <c r="AO70" s="17">
        <f>IF(AM70&gt;=in_cap-1E-9,"rate cap","F3")</f>
        <v/>
      </c>
      <c r="AP70" s="15">
        <f>100*(1-(1-X70*(1-EXP(-((50)+(0))/Y70)))*(1-MIN(ABS(in_elas)*W70*R70*(50)/V70,1)))</f>
        <v/>
      </c>
      <c r="AQ70" s="15">
        <f>100*(1-(1-X70*(1-EXP(-((0)+(50))/Y70)))*(1-MIN(ABS(in_elas)*W70*R70*(0)/V70,1)))</f>
        <v/>
      </c>
      <c r="AR70" s="15">
        <f>IF(AP70&gt;0,AQ70/AP70,"")</f>
        <v/>
      </c>
      <c r="AS70" s="16">
        <f>50*AB70</f>
        <v/>
      </c>
      <c r="AT70" s="30">
        <f>MAX(BM70:BW70)</f>
        <v/>
      </c>
      <c r="AU70" s="31">
        <f>AI70*(MATCH(AT70,BM70:BW70,0)-1)/10</f>
        <v/>
      </c>
      <c r="AV70" s="31">
        <f>INDEX(BB70:BL70,1,(MATCH(AT70,BM70:BW70,0)-1)+1)</f>
        <v/>
      </c>
      <c r="AW70" s="31">
        <f>AB70*AU70</f>
        <v/>
      </c>
      <c r="AX70" s="30">
        <f>AC70*AU70</f>
        <v/>
      </c>
      <c r="AY70" s="31">
        <f>AD70*AU70+AE70*AV70</f>
        <v/>
      </c>
      <c r="AZ70" s="32">
        <f>TRIM(IF(AND(AU70&gt;0,ABS(AU70-AF70)&lt;1E-6),"F1 ","")&amp;IF(AND(AU70&gt;0,ABS(AU70-AG70)&lt;1E-6),"F2 ","")&amp;IF(AY70&gt;=in_f3-1E-6,"F3 ","")&amp;IF(AV70&gt;=in_cap-1E-9,"rate cap",""))</f>
        <v/>
      </c>
      <c r="BA70" s="31">
        <f>Q70*AT70/100</f>
        <v/>
      </c>
      <c r="BB70" s="16">
        <f>MAX(0,MIN(in_cap,IF(AE70&gt;0,(in_f3-AD70*AI70*0/10)/AE70,in_cap)))</f>
        <v/>
      </c>
      <c r="BC70" s="16">
        <f>MAX(0,MIN(in_cap,IF(AE70&gt;0,(in_f3-AD70*AI70*1/10)/AE70,in_cap)))</f>
        <v/>
      </c>
      <c r="BD70" s="16">
        <f>MAX(0,MIN(in_cap,IF(AE70&gt;0,(in_f3-AD70*AI70*2/10)/AE70,in_cap)))</f>
        <v/>
      </c>
      <c r="BE70" s="16">
        <f>MAX(0,MIN(in_cap,IF(AE70&gt;0,(in_f3-AD70*AI70*3/10)/AE70,in_cap)))</f>
        <v/>
      </c>
      <c r="BF70" s="16">
        <f>MAX(0,MIN(in_cap,IF(AE70&gt;0,(in_f3-AD70*AI70*4/10)/AE70,in_cap)))</f>
        <v/>
      </c>
      <c r="BG70" s="16">
        <f>MAX(0,MIN(in_cap,IF(AE70&gt;0,(in_f3-AD70*AI70*5/10)/AE70,in_cap)))</f>
        <v/>
      </c>
      <c r="BH70" s="16">
        <f>MAX(0,MIN(in_cap,IF(AE70&gt;0,(in_f3-AD70*AI70*6/10)/AE70,in_cap)))</f>
        <v/>
      </c>
      <c r="BI70" s="16">
        <f>MAX(0,MIN(in_cap,IF(AE70&gt;0,(in_f3-AD70*AI70*7/10)/AE70,in_cap)))</f>
        <v/>
      </c>
      <c r="BJ70" s="16">
        <f>MAX(0,MIN(in_cap,IF(AE70&gt;0,(in_f3-AD70*AI70*8/10)/AE70,in_cap)))</f>
        <v/>
      </c>
      <c r="BK70" s="16">
        <f>MAX(0,MIN(in_cap,IF(AE70&gt;0,(in_f3-AD70*AI70*9/10)/AE70,in_cap)))</f>
        <v/>
      </c>
      <c r="BL70" s="16">
        <f>MAX(0,MIN(in_cap,IF(AE70&gt;0,(in_f3-AD70*AI70*10/10)/AE70,in_cap)))</f>
        <v/>
      </c>
      <c r="BM70" s="15">
        <f>100*(1-(1-X70*(1-EXP(-((AI70*0/10)+(BB70))/Y70)))*(1-MIN(ABS(in_elas)*W70*R70*(AI70*0/10)/V70,1)))</f>
        <v/>
      </c>
      <c r="BN70" s="15">
        <f>100*(1-(1-X70*(1-EXP(-((AI70*1/10)+(BC70))/Y70)))*(1-MIN(ABS(in_elas)*W70*R70*(AI70*1/10)/V70,1)))</f>
        <v/>
      </c>
      <c r="BO70" s="15">
        <f>100*(1-(1-X70*(1-EXP(-((AI70*2/10)+(BD70))/Y70)))*(1-MIN(ABS(in_elas)*W70*R70*(AI70*2/10)/V70,1)))</f>
        <v/>
      </c>
      <c r="BP70" s="15">
        <f>100*(1-(1-X70*(1-EXP(-((AI70*3/10)+(BE70))/Y70)))*(1-MIN(ABS(in_elas)*W70*R70*(AI70*3/10)/V70,1)))</f>
        <v/>
      </c>
      <c r="BQ70" s="15">
        <f>100*(1-(1-X70*(1-EXP(-((AI70*4/10)+(BF70))/Y70)))*(1-MIN(ABS(in_elas)*W70*R70*(AI70*4/10)/V70,1)))</f>
        <v/>
      </c>
      <c r="BR70" s="15">
        <f>100*(1-(1-X70*(1-EXP(-((AI70*5/10)+(BG70))/Y70)))*(1-MIN(ABS(in_elas)*W70*R70*(AI70*5/10)/V70,1)))</f>
        <v/>
      </c>
      <c r="BS70" s="15">
        <f>100*(1-(1-X70*(1-EXP(-((AI70*6/10)+(BH70))/Y70)))*(1-MIN(ABS(in_elas)*W70*R70*(AI70*6/10)/V70,1)))</f>
        <v/>
      </c>
      <c r="BT70" s="15">
        <f>100*(1-(1-X70*(1-EXP(-((AI70*7/10)+(BI70))/Y70)))*(1-MIN(ABS(in_elas)*W70*R70*(AI70*7/10)/V70,1)))</f>
        <v/>
      </c>
      <c r="BU70" s="15">
        <f>100*(1-(1-X70*(1-EXP(-((AI70*8/10)+(BJ70))/Y70)))*(1-MIN(ABS(in_elas)*W70*R70*(AI70*8/10)/V70,1)))</f>
        <v/>
      </c>
      <c r="BV70" s="15">
        <f>100*(1-(1-X70*(1-EXP(-((AI70*9/10)+(BK70))/Y70)))*(1-MIN(ABS(in_elas)*W70*R70*(AI70*9/10)/V70,1)))</f>
        <v/>
      </c>
      <c r="BW70" s="15">
        <f>100*(1-(1-X70*(1-EXP(-((AI70*10/10)+(BL70))/Y70)))*(1-MIN(ABS(in_elas)*W70*R70*(AI70*10/10)/V70,1)))</f>
        <v/>
      </c>
    </row>
    <row r="71">
      <c r="A71" s="17" t="inlineStr">
        <is>
          <t>HUN</t>
        </is>
      </c>
      <c r="B71" s="17">
        <f>INDEX(Data!$B:$B,MATCH($A71,Data!$A:$A,0))</f>
        <v/>
      </c>
      <c r="C71" s="17">
        <f>INDEX(Data!$D:$D,MATCH($A71,Data!$A:$A,0))</f>
        <v/>
      </c>
      <c r="D71" s="16">
        <f>SUMIFS(Data!$G:$G,Data!$A:$A,$A71,Data!$F:$F,"gen_coal_twh")</f>
        <v/>
      </c>
      <c r="E71" s="16">
        <f>SUMIFS(Data!$G:$G,Data!$A:$A,$A71,Data!$F:$F,"gen_gas_twh")</f>
        <v/>
      </c>
      <c r="F71" s="16">
        <f>SUMIFS(Data!$G:$G,Data!$A:$A,$A71,Data!$F:$F,"gen_oil_twh")</f>
        <v/>
      </c>
      <c r="G71" s="16">
        <f>SUMIFS(Data!$G:$G,Data!$A:$A,$A71,Data!$F:$F,"gen_total_twh")</f>
        <v/>
      </c>
      <c r="H71" s="16">
        <f>SUMIFS(Data!$G:$G,Data!$A:$A,$A71,Data!$F:$F,"em_coal_mt")</f>
        <v/>
      </c>
      <c r="I71" s="16">
        <f>SUMIFS(Data!$G:$G,Data!$A:$A,$A71,Data!$F:$F,"em_gas_mt")</f>
        <v/>
      </c>
      <c r="J71" s="16">
        <f>SUMIFS(Data!$G:$G,Data!$A:$A,$A71,Data!$F:$F,"em_oil_mt")</f>
        <v/>
      </c>
      <c r="K71" s="28">
        <f>IF(COUNTIFS(Data!$A:$A,$A71,Data!$F:$F,"price_electricity_residential_usd_kwh")=0,"",SUMIFS(Data!$G:$G,Data!$A:$A,$A71,Data!$F:$F,"price_electricity_residential_usd_kwh"))</f>
        <v/>
      </c>
      <c r="L71" s="28">
        <f>IF(COUNTIFS(Data!$A:$A,$A71,Data!$F:$F,"price_coal_power_usd_gj")=0,"",SUMIFS(Data!$G:$G,Data!$A:$A,$A71,Data!$F:$F,"price_coal_power_usd_gj"))</f>
        <v/>
      </c>
      <c r="M71" s="28">
        <f>IF(COUNTIFS(Data!$A:$A,$A71,Data!$F:$F,"price_gas_power_usd_gj")=0,"",SUMIFS(Data!$G:$G,Data!$A:$A,$A71,Data!$F:$F,"price_gas_power_usd_gj"))</f>
        <v/>
      </c>
      <c r="N71" s="28">
        <f>IF(COUNTIFS(Data!$A:$A,$A71,Data!$F:$F,"price_gas_industry_usd_gj")=0,"",SUMIFS(Data!$G:$G,Data!$A:$A,$A71,Data!$F:$F,"price_gas_industry_usd_gj"))</f>
        <v/>
      </c>
      <c r="O71" s="28">
        <f>IF(COUNTIFS(Data!$A:$A,$A71,Data!$F:$F,"power_market_structure")=0,"",SUMIFS(Data!$G:$G,Data!$A:$A,$A71,Data!$F:$F,"power_market_structure"))</f>
        <v/>
      </c>
      <c r="P71" s="28">
        <f>IF(COUNTIFS(Data!$A:$A,$A71,Data!$F:$F,"rise_renewable_energy_score")=0,"",SUMIFS(Data!$G:$G,Data!$A:$A,$A71,Data!$F:$F,"rise_renewable_energy_score"))</f>
        <v/>
      </c>
      <c r="Q71" s="16">
        <f>H71+I71+J71</f>
        <v/>
      </c>
      <c r="R71" s="28">
        <f>Q71/G71</f>
        <v/>
      </c>
      <c r="S71" s="28">
        <f>IF(D71&gt;0,H71/D71,0.85)</f>
        <v/>
      </c>
      <c r="T71" s="28">
        <f>IF(E71&gt;0,I71/E71,0.4)</f>
        <v/>
      </c>
      <c r="U71" s="28">
        <f>IF(D71+F71&gt;0,(H71+J71)/(D71+F71),0)</f>
        <v/>
      </c>
      <c r="V71" s="16">
        <f>K71*1000</f>
        <v/>
      </c>
      <c r="W71" s="15">
        <f>IF(O71=3,in_pt3,IF(O71=2,in_pt2,IF(O71=1,in_pt1,IF(C71="High income",in_pt_hi,in_pt_oth))))</f>
        <v/>
      </c>
      <c r="X71" s="28">
        <f>IF(Q71&gt;0,in_kappa*(in_rise_lo+(in_rise_hi-in_rise_lo)*IF(P71="",in_rise_miss,P71)/100)*(D71+F71)*MAX(U71-in_gas_rep*T71,0)/Q71,0)</f>
        <v/>
      </c>
      <c r="Y71" s="16">
        <f>IF(IF(M71="",N71,M71)="",MAX(in_sw_floor,in_sw_miss),MAX(in_sw_floor,(IF(M71="",N71,M71)*in_hr_gas-L71*in_hr_coal)/MAX(S71-T71,0.1)))</f>
        <v/>
      </c>
      <c r="Z71" s="28">
        <f>IF(C71="Low income",in_b40_li,IF(C71="Lower middle income",in_b40_lmi,IF(C71="Upper middle income",in_b40_umi,IF(C71="High income",in_b40_hi,0.03))))</f>
        <v/>
      </c>
      <c r="AA71" s="15">
        <f>(D71+F71)/G71</f>
        <v/>
      </c>
      <c r="AB71" s="28">
        <f>100*W71*R71/V71/in_phase</f>
        <v/>
      </c>
      <c r="AC71" s="29">
        <f>100*Z71*W71*R71/V71*(1-IF(W71&gt;0,MIN(in_rebate/(W71*in_res_sh*in_q40),1),1))</f>
        <v/>
      </c>
      <c r="AD71" s="28">
        <f>IF(AA71&gt;0,100*U71*(1-W71)/(in_whole_sh*V71),0)</f>
        <v/>
      </c>
      <c r="AE71" s="28">
        <f>IF(AA71&gt;0,100*MAX(U71-R71,0)/(in_whole_sh*V71),0)</f>
        <v/>
      </c>
      <c r="AF71" s="16">
        <f>IF(AB71&gt;0,in_f1/AB71,in_cap)</f>
        <v/>
      </c>
      <c r="AG71" s="16">
        <f>IF(AC71&gt;0,in_f2/AC71,in_cap)</f>
        <v/>
      </c>
      <c r="AH71" s="16">
        <f>IF(AD71&gt;0,in_f3/AD71,in_cap)</f>
        <v/>
      </c>
      <c r="AI71" s="16">
        <f>MIN(in_cap,AF71,AG71,AH71)</f>
        <v/>
      </c>
      <c r="AJ71" s="30">
        <f>100*(1-(1-X71*(1-EXP(-((AI71)+(0))/Y71)))*(1-MIN(ABS(in_elas)*W71*R71*(AI71)/V71,1)))</f>
        <v/>
      </c>
      <c r="AK71" s="17">
        <f>IF(AI71&gt;=in_cap-1E-9,"rate cap",TRIM(IF(ABS(AI71-AF71)&lt;1E-9,"F1 ","")&amp;IF(ABS(AI71-AG71)&lt;1E-9,"F2 ","")&amp;IF(ABS(AI71-AH71)&lt;1E-9,"F3","")))</f>
        <v/>
      </c>
      <c r="AL71" s="15">
        <f>100*(1-(1-X71*(1-EXP(-((MIN(in_cap,IF(AB71&gt;0,(in_f1+1)/AB71,in_cap),AG71,AH71))+(0))/Y71)))*(1-MIN(ABS(in_elas)*W71*R71*(MIN(in_cap,IF(AB71&gt;0,(in_f1+1)/AB71,in_cap),AG71,AH71))/V71,1)))-AJ71</f>
        <v/>
      </c>
      <c r="AM71" s="16">
        <f>MIN(in_cap,IF(AE71&gt;0,in_f3/AE71,in_cap))</f>
        <v/>
      </c>
      <c r="AN71" s="30">
        <f>100*(1-(1-X71*(1-EXP(-((0)+(AM71))/Y71)))*(1-MIN(ABS(in_elas)*W71*R71*(0)/V71,1)))</f>
        <v/>
      </c>
      <c r="AO71" s="17">
        <f>IF(AM71&gt;=in_cap-1E-9,"rate cap","F3")</f>
        <v/>
      </c>
      <c r="AP71" s="15">
        <f>100*(1-(1-X71*(1-EXP(-((50)+(0))/Y71)))*(1-MIN(ABS(in_elas)*W71*R71*(50)/V71,1)))</f>
        <v/>
      </c>
      <c r="AQ71" s="15">
        <f>100*(1-(1-X71*(1-EXP(-((0)+(50))/Y71)))*(1-MIN(ABS(in_elas)*W71*R71*(0)/V71,1)))</f>
        <v/>
      </c>
      <c r="AR71" s="15">
        <f>IF(AP71&gt;0,AQ71/AP71,"")</f>
        <v/>
      </c>
      <c r="AS71" s="16">
        <f>50*AB71</f>
        <v/>
      </c>
      <c r="AT71" s="30">
        <f>MAX(BM71:BW71)</f>
        <v/>
      </c>
      <c r="AU71" s="31">
        <f>AI71*(MATCH(AT71,BM71:BW71,0)-1)/10</f>
        <v/>
      </c>
      <c r="AV71" s="31">
        <f>INDEX(BB71:BL71,1,(MATCH(AT71,BM71:BW71,0)-1)+1)</f>
        <v/>
      </c>
      <c r="AW71" s="31">
        <f>AB71*AU71</f>
        <v/>
      </c>
      <c r="AX71" s="30">
        <f>AC71*AU71</f>
        <v/>
      </c>
      <c r="AY71" s="31">
        <f>AD71*AU71+AE71*AV71</f>
        <v/>
      </c>
      <c r="AZ71" s="32">
        <f>TRIM(IF(AND(AU71&gt;0,ABS(AU71-AF71)&lt;1E-6),"F1 ","")&amp;IF(AND(AU71&gt;0,ABS(AU71-AG71)&lt;1E-6),"F2 ","")&amp;IF(AY71&gt;=in_f3-1E-6,"F3 ","")&amp;IF(AV71&gt;=in_cap-1E-9,"rate cap",""))</f>
        <v/>
      </c>
      <c r="BA71" s="31">
        <f>Q71*AT71/100</f>
        <v/>
      </c>
      <c r="BB71" s="16">
        <f>MAX(0,MIN(in_cap,IF(AE71&gt;0,(in_f3-AD71*AI71*0/10)/AE71,in_cap)))</f>
        <v/>
      </c>
      <c r="BC71" s="16">
        <f>MAX(0,MIN(in_cap,IF(AE71&gt;0,(in_f3-AD71*AI71*1/10)/AE71,in_cap)))</f>
        <v/>
      </c>
      <c r="BD71" s="16">
        <f>MAX(0,MIN(in_cap,IF(AE71&gt;0,(in_f3-AD71*AI71*2/10)/AE71,in_cap)))</f>
        <v/>
      </c>
      <c r="BE71" s="16">
        <f>MAX(0,MIN(in_cap,IF(AE71&gt;0,(in_f3-AD71*AI71*3/10)/AE71,in_cap)))</f>
        <v/>
      </c>
      <c r="BF71" s="16">
        <f>MAX(0,MIN(in_cap,IF(AE71&gt;0,(in_f3-AD71*AI71*4/10)/AE71,in_cap)))</f>
        <v/>
      </c>
      <c r="BG71" s="16">
        <f>MAX(0,MIN(in_cap,IF(AE71&gt;0,(in_f3-AD71*AI71*5/10)/AE71,in_cap)))</f>
        <v/>
      </c>
      <c r="BH71" s="16">
        <f>MAX(0,MIN(in_cap,IF(AE71&gt;0,(in_f3-AD71*AI71*6/10)/AE71,in_cap)))</f>
        <v/>
      </c>
      <c r="BI71" s="16">
        <f>MAX(0,MIN(in_cap,IF(AE71&gt;0,(in_f3-AD71*AI71*7/10)/AE71,in_cap)))</f>
        <v/>
      </c>
      <c r="BJ71" s="16">
        <f>MAX(0,MIN(in_cap,IF(AE71&gt;0,(in_f3-AD71*AI71*8/10)/AE71,in_cap)))</f>
        <v/>
      </c>
      <c r="BK71" s="16">
        <f>MAX(0,MIN(in_cap,IF(AE71&gt;0,(in_f3-AD71*AI71*9/10)/AE71,in_cap)))</f>
        <v/>
      </c>
      <c r="BL71" s="16">
        <f>MAX(0,MIN(in_cap,IF(AE71&gt;0,(in_f3-AD71*AI71*10/10)/AE71,in_cap)))</f>
        <v/>
      </c>
      <c r="BM71" s="15">
        <f>100*(1-(1-X71*(1-EXP(-((AI71*0/10)+(BB71))/Y71)))*(1-MIN(ABS(in_elas)*W71*R71*(AI71*0/10)/V71,1)))</f>
        <v/>
      </c>
      <c r="BN71" s="15">
        <f>100*(1-(1-X71*(1-EXP(-((AI71*1/10)+(BC71))/Y71)))*(1-MIN(ABS(in_elas)*W71*R71*(AI71*1/10)/V71,1)))</f>
        <v/>
      </c>
      <c r="BO71" s="15">
        <f>100*(1-(1-X71*(1-EXP(-((AI71*2/10)+(BD71))/Y71)))*(1-MIN(ABS(in_elas)*W71*R71*(AI71*2/10)/V71,1)))</f>
        <v/>
      </c>
      <c r="BP71" s="15">
        <f>100*(1-(1-X71*(1-EXP(-((AI71*3/10)+(BE71))/Y71)))*(1-MIN(ABS(in_elas)*W71*R71*(AI71*3/10)/V71,1)))</f>
        <v/>
      </c>
      <c r="BQ71" s="15">
        <f>100*(1-(1-X71*(1-EXP(-((AI71*4/10)+(BF71))/Y71)))*(1-MIN(ABS(in_elas)*W71*R71*(AI71*4/10)/V71,1)))</f>
        <v/>
      </c>
      <c r="BR71" s="15">
        <f>100*(1-(1-X71*(1-EXP(-((AI71*5/10)+(BG71))/Y71)))*(1-MIN(ABS(in_elas)*W71*R71*(AI71*5/10)/V71,1)))</f>
        <v/>
      </c>
      <c r="BS71" s="15">
        <f>100*(1-(1-X71*(1-EXP(-((AI71*6/10)+(BH71))/Y71)))*(1-MIN(ABS(in_elas)*W71*R71*(AI71*6/10)/V71,1)))</f>
        <v/>
      </c>
      <c r="BT71" s="15">
        <f>100*(1-(1-X71*(1-EXP(-((AI71*7/10)+(BI71))/Y71)))*(1-MIN(ABS(in_elas)*W71*R71*(AI71*7/10)/V71,1)))</f>
        <v/>
      </c>
      <c r="BU71" s="15">
        <f>100*(1-(1-X71*(1-EXP(-((AI71*8/10)+(BJ71))/Y71)))*(1-MIN(ABS(in_elas)*W71*R71*(AI71*8/10)/V71,1)))</f>
        <v/>
      </c>
      <c r="BV71" s="15">
        <f>100*(1-(1-X71*(1-EXP(-((AI71*9/10)+(BK71))/Y71)))*(1-MIN(ABS(in_elas)*W71*R71*(AI71*9/10)/V71,1)))</f>
        <v/>
      </c>
      <c r="BW71" s="15">
        <f>100*(1-(1-X71*(1-EXP(-((AI71*10/10)+(BL71))/Y71)))*(1-MIN(ABS(in_elas)*W71*R71*(AI71*10/10)/V71,1)))</f>
        <v/>
      </c>
    </row>
    <row r="72">
      <c r="A72" s="17" t="inlineStr">
        <is>
          <t>IDN</t>
        </is>
      </c>
      <c r="B72" s="17">
        <f>INDEX(Data!$B:$B,MATCH($A72,Data!$A:$A,0))</f>
        <v/>
      </c>
      <c r="C72" s="17">
        <f>INDEX(Data!$D:$D,MATCH($A72,Data!$A:$A,0))</f>
        <v/>
      </c>
      <c r="D72" s="16">
        <f>SUMIFS(Data!$G:$G,Data!$A:$A,$A72,Data!$F:$F,"gen_coal_twh")</f>
        <v/>
      </c>
      <c r="E72" s="16">
        <f>SUMIFS(Data!$G:$G,Data!$A:$A,$A72,Data!$F:$F,"gen_gas_twh")</f>
        <v/>
      </c>
      <c r="F72" s="16">
        <f>SUMIFS(Data!$G:$G,Data!$A:$A,$A72,Data!$F:$F,"gen_oil_twh")</f>
        <v/>
      </c>
      <c r="G72" s="16">
        <f>SUMIFS(Data!$G:$G,Data!$A:$A,$A72,Data!$F:$F,"gen_total_twh")</f>
        <v/>
      </c>
      <c r="H72" s="16">
        <f>SUMIFS(Data!$G:$G,Data!$A:$A,$A72,Data!$F:$F,"em_coal_mt")</f>
        <v/>
      </c>
      <c r="I72" s="16">
        <f>SUMIFS(Data!$G:$G,Data!$A:$A,$A72,Data!$F:$F,"em_gas_mt")</f>
        <v/>
      </c>
      <c r="J72" s="16">
        <f>SUMIFS(Data!$G:$G,Data!$A:$A,$A72,Data!$F:$F,"em_oil_mt")</f>
        <v/>
      </c>
      <c r="K72" s="28">
        <f>IF(COUNTIFS(Data!$A:$A,$A72,Data!$F:$F,"price_electricity_residential_usd_kwh")=0,"",SUMIFS(Data!$G:$G,Data!$A:$A,$A72,Data!$F:$F,"price_electricity_residential_usd_kwh"))</f>
        <v/>
      </c>
      <c r="L72" s="28">
        <f>IF(COUNTIFS(Data!$A:$A,$A72,Data!$F:$F,"price_coal_power_usd_gj")=0,"",SUMIFS(Data!$G:$G,Data!$A:$A,$A72,Data!$F:$F,"price_coal_power_usd_gj"))</f>
        <v/>
      </c>
      <c r="M72" s="28">
        <f>IF(COUNTIFS(Data!$A:$A,$A72,Data!$F:$F,"price_gas_power_usd_gj")=0,"",SUMIFS(Data!$G:$G,Data!$A:$A,$A72,Data!$F:$F,"price_gas_power_usd_gj"))</f>
        <v/>
      </c>
      <c r="N72" s="28">
        <f>IF(COUNTIFS(Data!$A:$A,$A72,Data!$F:$F,"price_gas_industry_usd_gj")=0,"",SUMIFS(Data!$G:$G,Data!$A:$A,$A72,Data!$F:$F,"price_gas_industry_usd_gj"))</f>
        <v/>
      </c>
      <c r="O72" s="28">
        <f>IF(COUNTIFS(Data!$A:$A,$A72,Data!$F:$F,"power_market_structure")=0,"",SUMIFS(Data!$G:$G,Data!$A:$A,$A72,Data!$F:$F,"power_market_structure"))</f>
        <v/>
      </c>
      <c r="P72" s="28">
        <f>IF(COUNTIFS(Data!$A:$A,$A72,Data!$F:$F,"rise_renewable_energy_score")=0,"",SUMIFS(Data!$G:$G,Data!$A:$A,$A72,Data!$F:$F,"rise_renewable_energy_score"))</f>
        <v/>
      </c>
      <c r="Q72" s="16">
        <f>H72+I72+J72</f>
        <v/>
      </c>
      <c r="R72" s="28">
        <f>Q72/G72</f>
        <v/>
      </c>
      <c r="S72" s="28">
        <f>IF(D72&gt;0,H72/D72,0.85)</f>
        <v/>
      </c>
      <c r="T72" s="28">
        <f>IF(E72&gt;0,I72/E72,0.4)</f>
        <v/>
      </c>
      <c r="U72" s="28">
        <f>IF(D72+F72&gt;0,(H72+J72)/(D72+F72),0)</f>
        <v/>
      </c>
      <c r="V72" s="16">
        <f>K72*1000</f>
        <v/>
      </c>
      <c r="W72" s="15">
        <f>IF(O72=3,in_pt3,IF(O72=2,in_pt2,IF(O72=1,in_pt1,IF(C72="High income",in_pt_hi,in_pt_oth))))</f>
        <v/>
      </c>
      <c r="X72" s="28">
        <f>IF(Q72&gt;0,in_kappa*(in_rise_lo+(in_rise_hi-in_rise_lo)*IF(P72="",in_rise_miss,P72)/100)*(D72+F72)*MAX(U72-in_gas_rep*T72,0)/Q72,0)</f>
        <v/>
      </c>
      <c r="Y72" s="16">
        <f>IF(IF(M72="",N72,M72)="",MAX(in_sw_floor,in_sw_miss),MAX(in_sw_floor,(IF(M72="",N72,M72)*in_hr_gas-L72*in_hr_coal)/MAX(S72-T72,0.1)))</f>
        <v/>
      </c>
      <c r="Z72" s="28">
        <f>IF(C72="Low income",in_b40_li,IF(C72="Lower middle income",in_b40_lmi,IF(C72="Upper middle income",in_b40_umi,IF(C72="High income",in_b40_hi,0.03))))</f>
        <v/>
      </c>
      <c r="AA72" s="15">
        <f>(D72+F72)/G72</f>
        <v/>
      </c>
      <c r="AB72" s="28">
        <f>100*W72*R72/V72/in_phase</f>
        <v/>
      </c>
      <c r="AC72" s="29">
        <f>100*Z72*W72*R72/V72*(1-IF(W72&gt;0,MIN(in_rebate/(W72*in_res_sh*in_q40),1),1))</f>
        <v/>
      </c>
      <c r="AD72" s="28">
        <f>IF(AA72&gt;0,100*U72*(1-W72)/(in_whole_sh*V72),0)</f>
        <v/>
      </c>
      <c r="AE72" s="28">
        <f>IF(AA72&gt;0,100*MAX(U72-R72,0)/(in_whole_sh*V72),0)</f>
        <v/>
      </c>
      <c r="AF72" s="16">
        <f>IF(AB72&gt;0,in_f1/AB72,in_cap)</f>
        <v/>
      </c>
      <c r="AG72" s="16">
        <f>IF(AC72&gt;0,in_f2/AC72,in_cap)</f>
        <v/>
      </c>
      <c r="AH72" s="16">
        <f>IF(AD72&gt;0,in_f3/AD72,in_cap)</f>
        <v/>
      </c>
      <c r="AI72" s="16">
        <f>MIN(in_cap,AF72,AG72,AH72)</f>
        <v/>
      </c>
      <c r="AJ72" s="30">
        <f>100*(1-(1-X72*(1-EXP(-((AI72)+(0))/Y72)))*(1-MIN(ABS(in_elas)*W72*R72*(AI72)/V72,1)))</f>
        <v/>
      </c>
      <c r="AK72" s="17">
        <f>IF(AI72&gt;=in_cap-1E-9,"rate cap",TRIM(IF(ABS(AI72-AF72)&lt;1E-9,"F1 ","")&amp;IF(ABS(AI72-AG72)&lt;1E-9,"F2 ","")&amp;IF(ABS(AI72-AH72)&lt;1E-9,"F3","")))</f>
        <v/>
      </c>
      <c r="AL72" s="15">
        <f>100*(1-(1-X72*(1-EXP(-((MIN(in_cap,IF(AB72&gt;0,(in_f1+1)/AB72,in_cap),AG72,AH72))+(0))/Y72)))*(1-MIN(ABS(in_elas)*W72*R72*(MIN(in_cap,IF(AB72&gt;0,(in_f1+1)/AB72,in_cap),AG72,AH72))/V72,1)))-AJ72</f>
        <v/>
      </c>
      <c r="AM72" s="16">
        <f>MIN(in_cap,IF(AE72&gt;0,in_f3/AE72,in_cap))</f>
        <v/>
      </c>
      <c r="AN72" s="30">
        <f>100*(1-(1-X72*(1-EXP(-((0)+(AM72))/Y72)))*(1-MIN(ABS(in_elas)*W72*R72*(0)/V72,1)))</f>
        <v/>
      </c>
      <c r="AO72" s="17">
        <f>IF(AM72&gt;=in_cap-1E-9,"rate cap","F3")</f>
        <v/>
      </c>
      <c r="AP72" s="15">
        <f>100*(1-(1-X72*(1-EXP(-((50)+(0))/Y72)))*(1-MIN(ABS(in_elas)*W72*R72*(50)/V72,1)))</f>
        <v/>
      </c>
      <c r="AQ72" s="15">
        <f>100*(1-(1-X72*(1-EXP(-((0)+(50))/Y72)))*(1-MIN(ABS(in_elas)*W72*R72*(0)/V72,1)))</f>
        <v/>
      </c>
      <c r="AR72" s="15">
        <f>IF(AP72&gt;0,AQ72/AP72,"")</f>
        <v/>
      </c>
      <c r="AS72" s="16">
        <f>50*AB72</f>
        <v/>
      </c>
      <c r="AT72" s="30">
        <f>MAX(BM72:BW72)</f>
        <v/>
      </c>
      <c r="AU72" s="31">
        <f>AI72*(MATCH(AT72,BM72:BW72,0)-1)/10</f>
        <v/>
      </c>
      <c r="AV72" s="31">
        <f>INDEX(BB72:BL72,1,(MATCH(AT72,BM72:BW72,0)-1)+1)</f>
        <v/>
      </c>
      <c r="AW72" s="31">
        <f>AB72*AU72</f>
        <v/>
      </c>
      <c r="AX72" s="30">
        <f>AC72*AU72</f>
        <v/>
      </c>
      <c r="AY72" s="31">
        <f>AD72*AU72+AE72*AV72</f>
        <v/>
      </c>
      <c r="AZ72" s="32">
        <f>TRIM(IF(AND(AU72&gt;0,ABS(AU72-AF72)&lt;1E-6),"F1 ","")&amp;IF(AND(AU72&gt;0,ABS(AU72-AG72)&lt;1E-6),"F2 ","")&amp;IF(AY72&gt;=in_f3-1E-6,"F3 ","")&amp;IF(AV72&gt;=in_cap-1E-9,"rate cap",""))</f>
        <v/>
      </c>
      <c r="BA72" s="31">
        <f>Q72*AT72/100</f>
        <v/>
      </c>
      <c r="BB72" s="16">
        <f>MAX(0,MIN(in_cap,IF(AE72&gt;0,(in_f3-AD72*AI72*0/10)/AE72,in_cap)))</f>
        <v/>
      </c>
      <c r="BC72" s="16">
        <f>MAX(0,MIN(in_cap,IF(AE72&gt;0,(in_f3-AD72*AI72*1/10)/AE72,in_cap)))</f>
        <v/>
      </c>
      <c r="BD72" s="16">
        <f>MAX(0,MIN(in_cap,IF(AE72&gt;0,(in_f3-AD72*AI72*2/10)/AE72,in_cap)))</f>
        <v/>
      </c>
      <c r="BE72" s="16">
        <f>MAX(0,MIN(in_cap,IF(AE72&gt;0,(in_f3-AD72*AI72*3/10)/AE72,in_cap)))</f>
        <v/>
      </c>
      <c r="BF72" s="16">
        <f>MAX(0,MIN(in_cap,IF(AE72&gt;0,(in_f3-AD72*AI72*4/10)/AE72,in_cap)))</f>
        <v/>
      </c>
      <c r="BG72" s="16">
        <f>MAX(0,MIN(in_cap,IF(AE72&gt;0,(in_f3-AD72*AI72*5/10)/AE72,in_cap)))</f>
        <v/>
      </c>
      <c r="BH72" s="16">
        <f>MAX(0,MIN(in_cap,IF(AE72&gt;0,(in_f3-AD72*AI72*6/10)/AE72,in_cap)))</f>
        <v/>
      </c>
      <c r="BI72" s="16">
        <f>MAX(0,MIN(in_cap,IF(AE72&gt;0,(in_f3-AD72*AI72*7/10)/AE72,in_cap)))</f>
        <v/>
      </c>
      <c r="BJ72" s="16">
        <f>MAX(0,MIN(in_cap,IF(AE72&gt;0,(in_f3-AD72*AI72*8/10)/AE72,in_cap)))</f>
        <v/>
      </c>
      <c r="BK72" s="16">
        <f>MAX(0,MIN(in_cap,IF(AE72&gt;0,(in_f3-AD72*AI72*9/10)/AE72,in_cap)))</f>
        <v/>
      </c>
      <c r="BL72" s="16">
        <f>MAX(0,MIN(in_cap,IF(AE72&gt;0,(in_f3-AD72*AI72*10/10)/AE72,in_cap)))</f>
        <v/>
      </c>
      <c r="BM72" s="15">
        <f>100*(1-(1-X72*(1-EXP(-((AI72*0/10)+(BB72))/Y72)))*(1-MIN(ABS(in_elas)*W72*R72*(AI72*0/10)/V72,1)))</f>
        <v/>
      </c>
      <c r="BN72" s="15">
        <f>100*(1-(1-X72*(1-EXP(-((AI72*1/10)+(BC72))/Y72)))*(1-MIN(ABS(in_elas)*W72*R72*(AI72*1/10)/V72,1)))</f>
        <v/>
      </c>
      <c r="BO72" s="15">
        <f>100*(1-(1-X72*(1-EXP(-((AI72*2/10)+(BD72))/Y72)))*(1-MIN(ABS(in_elas)*W72*R72*(AI72*2/10)/V72,1)))</f>
        <v/>
      </c>
      <c r="BP72" s="15">
        <f>100*(1-(1-X72*(1-EXP(-((AI72*3/10)+(BE72))/Y72)))*(1-MIN(ABS(in_elas)*W72*R72*(AI72*3/10)/V72,1)))</f>
        <v/>
      </c>
      <c r="BQ72" s="15">
        <f>100*(1-(1-X72*(1-EXP(-((AI72*4/10)+(BF72))/Y72)))*(1-MIN(ABS(in_elas)*W72*R72*(AI72*4/10)/V72,1)))</f>
        <v/>
      </c>
      <c r="BR72" s="15">
        <f>100*(1-(1-X72*(1-EXP(-((AI72*5/10)+(BG72))/Y72)))*(1-MIN(ABS(in_elas)*W72*R72*(AI72*5/10)/V72,1)))</f>
        <v/>
      </c>
      <c r="BS72" s="15">
        <f>100*(1-(1-X72*(1-EXP(-((AI72*6/10)+(BH72))/Y72)))*(1-MIN(ABS(in_elas)*W72*R72*(AI72*6/10)/V72,1)))</f>
        <v/>
      </c>
      <c r="BT72" s="15">
        <f>100*(1-(1-X72*(1-EXP(-((AI72*7/10)+(BI72))/Y72)))*(1-MIN(ABS(in_elas)*W72*R72*(AI72*7/10)/V72,1)))</f>
        <v/>
      </c>
      <c r="BU72" s="15">
        <f>100*(1-(1-X72*(1-EXP(-((AI72*8/10)+(BJ72))/Y72)))*(1-MIN(ABS(in_elas)*W72*R72*(AI72*8/10)/V72,1)))</f>
        <v/>
      </c>
      <c r="BV72" s="15">
        <f>100*(1-(1-X72*(1-EXP(-((AI72*9/10)+(BK72))/Y72)))*(1-MIN(ABS(in_elas)*W72*R72*(AI72*9/10)/V72,1)))</f>
        <v/>
      </c>
      <c r="BW72" s="15">
        <f>100*(1-(1-X72*(1-EXP(-((AI72*10/10)+(BL72))/Y72)))*(1-MIN(ABS(in_elas)*W72*R72*(AI72*10/10)/V72,1)))</f>
        <v/>
      </c>
    </row>
    <row r="73">
      <c r="A73" s="17" t="inlineStr">
        <is>
          <t>IND</t>
        </is>
      </c>
      <c r="B73" s="17">
        <f>INDEX(Data!$B:$B,MATCH($A73,Data!$A:$A,0))</f>
        <v/>
      </c>
      <c r="C73" s="17">
        <f>INDEX(Data!$D:$D,MATCH($A73,Data!$A:$A,0))</f>
        <v/>
      </c>
      <c r="D73" s="16">
        <f>SUMIFS(Data!$G:$G,Data!$A:$A,$A73,Data!$F:$F,"gen_coal_twh")</f>
        <v/>
      </c>
      <c r="E73" s="16">
        <f>SUMIFS(Data!$G:$G,Data!$A:$A,$A73,Data!$F:$F,"gen_gas_twh")</f>
        <v/>
      </c>
      <c r="F73" s="16">
        <f>SUMIFS(Data!$G:$G,Data!$A:$A,$A73,Data!$F:$F,"gen_oil_twh")</f>
        <v/>
      </c>
      <c r="G73" s="16">
        <f>SUMIFS(Data!$G:$G,Data!$A:$A,$A73,Data!$F:$F,"gen_total_twh")</f>
        <v/>
      </c>
      <c r="H73" s="16">
        <f>SUMIFS(Data!$G:$G,Data!$A:$A,$A73,Data!$F:$F,"em_coal_mt")</f>
        <v/>
      </c>
      <c r="I73" s="16">
        <f>SUMIFS(Data!$G:$G,Data!$A:$A,$A73,Data!$F:$F,"em_gas_mt")</f>
        <v/>
      </c>
      <c r="J73" s="16">
        <f>SUMIFS(Data!$G:$G,Data!$A:$A,$A73,Data!$F:$F,"em_oil_mt")</f>
        <v/>
      </c>
      <c r="K73" s="28">
        <f>IF(COUNTIFS(Data!$A:$A,$A73,Data!$F:$F,"price_electricity_residential_usd_kwh")=0,"",SUMIFS(Data!$G:$G,Data!$A:$A,$A73,Data!$F:$F,"price_electricity_residential_usd_kwh"))</f>
        <v/>
      </c>
      <c r="L73" s="28">
        <f>IF(COUNTIFS(Data!$A:$A,$A73,Data!$F:$F,"price_coal_power_usd_gj")=0,"",SUMIFS(Data!$G:$G,Data!$A:$A,$A73,Data!$F:$F,"price_coal_power_usd_gj"))</f>
        <v/>
      </c>
      <c r="M73" s="28">
        <f>IF(COUNTIFS(Data!$A:$A,$A73,Data!$F:$F,"price_gas_power_usd_gj")=0,"",SUMIFS(Data!$G:$G,Data!$A:$A,$A73,Data!$F:$F,"price_gas_power_usd_gj"))</f>
        <v/>
      </c>
      <c r="N73" s="28">
        <f>IF(COUNTIFS(Data!$A:$A,$A73,Data!$F:$F,"price_gas_industry_usd_gj")=0,"",SUMIFS(Data!$G:$G,Data!$A:$A,$A73,Data!$F:$F,"price_gas_industry_usd_gj"))</f>
        <v/>
      </c>
      <c r="O73" s="28">
        <f>IF(COUNTIFS(Data!$A:$A,$A73,Data!$F:$F,"power_market_structure")=0,"",SUMIFS(Data!$G:$G,Data!$A:$A,$A73,Data!$F:$F,"power_market_structure"))</f>
        <v/>
      </c>
      <c r="P73" s="28">
        <f>IF(COUNTIFS(Data!$A:$A,$A73,Data!$F:$F,"rise_renewable_energy_score")=0,"",SUMIFS(Data!$G:$G,Data!$A:$A,$A73,Data!$F:$F,"rise_renewable_energy_score"))</f>
        <v/>
      </c>
      <c r="Q73" s="16">
        <f>H73+I73+J73</f>
        <v/>
      </c>
      <c r="R73" s="28">
        <f>Q73/G73</f>
        <v/>
      </c>
      <c r="S73" s="28">
        <f>IF(D73&gt;0,H73/D73,0.85)</f>
        <v/>
      </c>
      <c r="T73" s="28">
        <f>IF(E73&gt;0,I73/E73,0.4)</f>
        <v/>
      </c>
      <c r="U73" s="28">
        <f>IF(D73+F73&gt;0,(H73+J73)/(D73+F73),0)</f>
        <v/>
      </c>
      <c r="V73" s="16">
        <f>K73*1000</f>
        <v/>
      </c>
      <c r="W73" s="15">
        <f>IF(O73=3,in_pt3,IF(O73=2,in_pt2,IF(O73=1,in_pt1,IF(C73="High income",in_pt_hi,in_pt_oth))))</f>
        <v/>
      </c>
      <c r="X73" s="28">
        <f>IF(Q73&gt;0,in_kappa*(in_rise_lo+(in_rise_hi-in_rise_lo)*IF(P73="",in_rise_miss,P73)/100)*(D73+F73)*MAX(U73-in_gas_rep*T73,0)/Q73,0)</f>
        <v/>
      </c>
      <c r="Y73" s="16">
        <f>IF(IF(M73="",N73,M73)="",MAX(in_sw_floor,in_sw_miss),MAX(in_sw_floor,(IF(M73="",N73,M73)*in_hr_gas-L73*in_hr_coal)/MAX(S73-T73,0.1)))</f>
        <v/>
      </c>
      <c r="Z73" s="28">
        <f>IF(C73="Low income",in_b40_li,IF(C73="Lower middle income",in_b40_lmi,IF(C73="Upper middle income",in_b40_umi,IF(C73="High income",in_b40_hi,0.03))))</f>
        <v/>
      </c>
      <c r="AA73" s="15">
        <f>(D73+F73)/G73</f>
        <v/>
      </c>
      <c r="AB73" s="28">
        <f>100*W73*R73/V73/in_phase</f>
        <v/>
      </c>
      <c r="AC73" s="29">
        <f>100*Z73*W73*R73/V73*(1-IF(W73&gt;0,MIN(in_rebate/(W73*in_res_sh*in_q40),1),1))</f>
        <v/>
      </c>
      <c r="AD73" s="28">
        <f>IF(AA73&gt;0,100*U73*(1-W73)/(in_whole_sh*V73),0)</f>
        <v/>
      </c>
      <c r="AE73" s="28">
        <f>IF(AA73&gt;0,100*MAX(U73-R73,0)/(in_whole_sh*V73),0)</f>
        <v/>
      </c>
      <c r="AF73" s="16">
        <f>IF(AB73&gt;0,in_f1/AB73,in_cap)</f>
        <v/>
      </c>
      <c r="AG73" s="16">
        <f>IF(AC73&gt;0,in_f2/AC73,in_cap)</f>
        <v/>
      </c>
      <c r="AH73" s="16">
        <f>IF(AD73&gt;0,in_f3/AD73,in_cap)</f>
        <v/>
      </c>
      <c r="AI73" s="16">
        <f>MIN(in_cap,AF73,AG73,AH73)</f>
        <v/>
      </c>
      <c r="AJ73" s="30">
        <f>100*(1-(1-X73*(1-EXP(-((AI73)+(0))/Y73)))*(1-MIN(ABS(in_elas)*W73*R73*(AI73)/V73,1)))</f>
        <v/>
      </c>
      <c r="AK73" s="17">
        <f>IF(AI73&gt;=in_cap-1E-9,"rate cap",TRIM(IF(ABS(AI73-AF73)&lt;1E-9,"F1 ","")&amp;IF(ABS(AI73-AG73)&lt;1E-9,"F2 ","")&amp;IF(ABS(AI73-AH73)&lt;1E-9,"F3","")))</f>
        <v/>
      </c>
      <c r="AL73" s="15">
        <f>100*(1-(1-X73*(1-EXP(-((MIN(in_cap,IF(AB73&gt;0,(in_f1+1)/AB73,in_cap),AG73,AH73))+(0))/Y73)))*(1-MIN(ABS(in_elas)*W73*R73*(MIN(in_cap,IF(AB73&gt;0,(in_f1+1)/AB73,in_cap),AG73,AH73))/V73,1)))-AJ73</f>
        <v/>
      </c>
      <c r="AM73" s="16">
        <f>MIN(in_cap,IF(AE73&gt;0,in_f3/AE73,in_cap))</f>
        <v/>
      </c>
      <c r="AN73" s="30">
        <f>100*(1-(1-X73*(1-EXP(-((0)+(AM73))/Y73)))*(1-MIN(ABS(in_elas)*W73*R73*(0)/V73,1)))</f>
        <v/>
      </c>
      <c r="AO73" s="17">
        <f>IF(AM73&gt;=in_cap-1E-9,"rate cap","F3")</f>
        <v/>
      </c>
      <c r="AP73" s="15">
        <f>100*(1-(1-X73*(1-EXP(-((50)+(0))/Y73)))*(1-MIN(ABS(in_elas)*W73*R73*(50)/V73,1)))</f>
        <v/>
      </c>
      <c r="AQ73" s="15">
        <f>100*(1-(1-X73*(1-EXP(-((0)+(50))/Y73)))*(1-MIN(ABS(in_elas)*W73*R73*(0)/V73,1)))</f>
        <v/>
      </c>
      <c r="AR73" s="15">
        <f>IF(AP73&gt;0,AQ73/AP73,"")</f>
        <v/>
      </c>
      <c r="AS73" s="16">
        <f>50*AB73</f>
        <v/>
      </c>
      <c r="AT73" s="30">
        <f>MAX(BM73:BW73)</f>
        <v/>
      </c>
      <c r="AU73" s="31">
        <f>AI73*(MATCH(AT73,BM73:BW73,0)-1)/10</f>
        <v/>
      </c>
      <c r="AV73" s="31">
        <f>INDEX(BB73:BL73,1,(MATCH(AT73,BM73:BW73,0)-1)+1)</f>
        <v/>
      </c>
      <c r="AW73" s="31">
        <f>AB73*AU73</f>
        <v/>
      </c>
      <c r="AX73" s="30">
        <f>AC73*AU73</f>
        <v/>
      </c>
      <c r="AY73" s="31">
        <f>AD73*AU73+AE73*AV73</f>
        <v/>
      </c>
      <c r="AZ73" s="32">
        <f>TRIM(IF(AND(AU73&gt;0,ABS(AU73-AF73)&lt;1E-6),"F1 ","")&amp;IF(AND(AU73&gt;0,ABS(AU73-AG73)&lt;1E-6),"F2 ","")&amp;IF(AY73&gt;=in_f3-1E-6,"F3 ","")&amp;IF(AV73&gt;=in_cap-1E-9,"rate cap",""))</f>
        <v/>
      </c>
      <c r="BA73" s="31">
        <f>Q73*AT73/100</f>
        <v/>
      </c>
      <c r="BB73" s="16">
        <f>MAX(0,MIN(in_cap,IF(AE73&gt;0,(in_f3-AD73*AI73*0/10)/AE73,in_cap)))</f>
        <v/>
      </c>
      <c r="BC73" s="16">
        <f>MAX(0,MIN(in_cap,IF(AE73&gt;0,(in_f3-AD73*AI73*1/10)/AE73,in_cap)))</f>
        <v/>
      </c>
      <c r="BD73" s="16">
        <f>MAX(0,MIN(in_cap,IF(AE73&gt;0,(in_f3-AD73*AI73*2/10)/AE73,in_cap)))</f>
        <v/>
      </c>
      <c r="BE73" s="16">
        <f>MAX(0,MIN(in_cap,IF(AE73&gt;0,(in_f3-AD73*AI73*3/10)/AE73,in_cap)))</f>
        <v/>
      </c>
      <c r="BF73" s="16">
        <f>MAX(0,MIN(in_cap,IF(AE73&gt;0,(in_f3-AD73*AI73*4/10)/AE73,in_cap)))</f>
        <v/>
      </c>
      <c r="BG73" s="16">
        <f>MAX(0,MIN(in_cap,IF(AE73&gt;0,(in_f3-AD73*AI73*5/10)/AE73,in_cap)))</f>
        <v/>
      </c>
      <c r="BH73" s="16">
        <f>MAX(0,MIN(in_cap,IF(AE73&gt;0,(in_f3-AD73*AI73*6/10)/AE73,in_cap)))</f>
        <v/>
      </c>
      <c r="BI73" s="16">
        <f>MAX(0,MIN(in_cap,IF(AE73&gt;0,(in_f3-AD73*AI73*7/10)/AE73,in_cap)))</f>
        <v/>
      </c>
      <c r="BJ73" s="16">
        <f>MAX(0,MIN(in_cap,IF(AE73&gt;0,(in_f3-AD73*AI73*8/10)/AE73,in_cap)))</f>
        <v/>
      </c>
      <c r="BK73" s="16">
        <f>MAX(0,MIN(in_cap,IF(AE73&gt;0,(in_f3-AD73*AI73*9/10)/AE73,in_cap)))</f>
        <v/>
      </c>
      <c r="BL73" s="16">
        <f>MAX(0,MIN(in_cap,IF(AE73&gt;0,(in_f3-AD73*AI73*10/10)/AE73,in_cap)))</f>
        <v/>
      </c>
      <c r="BM73" s="15">
        <f>100*(1-(1-X73*(1-EXP(-((AI73*0/10)+(BB73))/Y73)))*(1-MIN(ABS(in_elas)*W73*R73*(AI73*0/10)/V73,1)))</f>
        <v/>
      </c>
      <c r="BN73" s="15">
        <f>100*(1-(1-X73*(1-EXP(-((AI73*1/10)+(BC73))/Y73)))*(1-MIN(ABS(in_elas)*W73*R73*(AI73*1/10)/V73,1)))</f>
        <v/>
      </c>
      <c r="BO73" s="15">
        <f>100*(1-(1-X73*(1-EXP(-((AI73*2/10)+(BD73))/Y73)))*(1-MIN(ABS(in_elas)*W73*R73*(AI73*2/10)/V73,1)))</f>
        <v/>
      </c>
      <c r="BP73" s="15">
        <f>100*(1-(1-X73*(1-EXP(-((AI73*3/10)+(BE73))/Y73)))*(1-MIN(ABS(in_elas)*W73*R73*(AI73*3/10)/V73,1)))</f>
        <v/>
      </c>
      <c r="BQ73" s="15">
        <f>100*(1-(1-X73*(1-EXP(-((AI73*4/10)+(BF73))/Y73)))*(1-MIN(ABS(in_elas)*W73*R73*(AI73*4/10)/V73,1)))</f>
        <v/>
      </c>
      <c r="BR73" s="15">
        <f>100*(1-(1-X73*(1-EXP(-((AI73*5/10)+(BG73))/Y73)))*(1-MIN(ABS(in_elas)*W73*R73*(AI73*5/10)/V73,1)))</f>
        <v/>
      </c>
      <c r="BS73" s="15">
        <f>100*(1-(1-X73*(1-EXP(-((AI73*6/10)+(BH73))/Y73)))*(1-MIN(ABS(in_elas)*W73*R73*(AI73*6/10)/V73,1)))</f>
        <v/>
      </c>
      <c r="BT73" s="15">
        <f>100*(1-(1-X73*(1-EXP(-((AI73*7/10)+(BI73))/Y73)))*(1-MIN(ABS(in_elas)*W73*R73*(AI73*7/10)/V73,1)))</f>
        <v/>
      </c>
      <c r="BU73" s="15">
        <f>100*(1-(1-X73*(1-EXP(-((AI73*8/10)+(BJ73))/Y73)))*(1-MIN(ABS(in_elas)*W73*R73*(AI73*8/10)/V73,1)))</f>
        <v/>
      </c>
      <c r="BV73" s="15">
        <f>100*(1-(1-X73*(1-EXP(-((AI73*9/10)+(BK73))/Y73)))*(1-MIN(ABS(in_elas)*W73*R73*(AI73*9/10)/V73,1)))</f>
        <v/>
      </c>
      <c r="BW73" s="15">
        <f>100*(1-(1-X73*(1-EXP(-((AI73*10/10)+(BL73))/Y73)))*(1-MIN(ABS(in_elas)*W73*R73*(AI73*10/10)/V73,1)))</f>
        <v/>
      </c>
    </row>
    <row r="74">
      <c r="A74" s="17" t="inlineStr">
        <is>
          <t>IRL</t>
        </is>
      </c>
      <c r="B74" s="17">
        <f>INDEX(Data!$B:$B,MATCH($A74,Data!$A:$A,0))</f>
        <v/>
      </c>
      <c r="C74" s="17">
        <f>INDEX(Data!$D:$D,MATCH($A74,Data!$A:$A,0))</f>
        <v/>
      </c>
      <c r="D74" s="16">
        <f>SUMIFS(Data!$G:$G,Data!$A:$A,$A74,Data!$F:$F,"gen_coal_twh")</f>
        <v/>
      </c>
      <c r="E74" s="16">
        <f>SUMIFS(Data!$G:$G,Data!$A:$A,$A74,Data!$F:$F,"gen_gas_twh")</f>
        <v/>
      </c>
      <c r="F74" s="16">
        <f>SUMIFS(Data!$G:$G,Data!$A:$A,$A74,Data!$F:$F,"gen_oil_twh")</f>
        <v/>
      </c>
      <c r="G74" s="16">
        <f>SUMIFS(Data!$G:$G,Data!$A:$A,$A74,Data!$F:$F,"gen_total_twh")</f>
        <v/>
      </c>
      <c r="H74" s="16">
        <f>SUMIFS(Data!$G:$G,Data!$A:$A,$A74,Data!$F:$F,"em_coal_mt")</f>
        <v/>
      </c>
      <c r="I74" s="16">
        <f>SUMIFS(Data!$G:$G,Data!$A:$A,$A74,Data!$F:$F,"em_gas_mt")</f>
        <v/>
      </c>
      <c r="J74" s="16">
        <f>SUMIFS(Data!$G:$G,Data!$A:$A,$A74,Data!$F:$F,"em_oil_mt")</f>
        <v/>
      </c>
      <c r="K74" s="28">
        <f>IF(COUNTIFS(Data!$A:$A,$A74,Data!$F:$F,"price_electricity_residential_usd_kwh")=0,"",SUMIFS(Data!$G:$G,Data!$A:$A,$A74,Data!$F:$F,"price_electricity_residential_usd_kwh"))</f>
        <v/>
      </c>
      <c r="L74" s="28">
        <f>IF(COUNTIFS(Data!$A:$A,$A74,Data!$F:$F,"price_coal_power_usd_gj")=0,"",SUMIFS(Data!$G:$G,Data!$A:$A,$A74,Data!$F:$F,"price_coal_power_usd_gj"))</f>
        <v/>
      </c>
      <c r="M74" s="28">
        <f>IF(COUNTIFS(Data!$A:$A,$A74,Data!$F:$F,"price_gas_power_usd_gj")=0,"",SUMIFS(Data!$G:$G,Data!$A:$A,$A74,Data!$F:$F,"price_gas_power_usd_gj"))</f>
        <v/>
      </c>
      <c r="N74" s="28">
        <f>IF(COUNTIFS(Data!$A:$A,$A74,Data!$F:$F,"price_gas_industry_usd_gj")=0,"",SUMIFS(Data!$G:$G,Data!$A:$A,$A74,Data!$F:$F,"price_gas_industry_usd_gj"))</f>
        <v/>
      </c>
      <c r="O74" s="28">
        <f>IF(COUNTIFS(Data!$A:$A,$A74,Data!$F:$F,"power_market_structure")=0,"",SUMIFS(Data!$G:$G,Data!$A:$A,$A74,Data!$F:$F,"power_market_structure"))</f>
        <v/>
      </c>
      <c r="P74" s="28">
        <f>IF(COUNTIFS(Data!$A:$A,$A74,Data!$F:$F,"rise_renewable_energy_score")=0,"",SUMIFS(Data!$G:$G,Data!$A:$A,$A74,Data!$F:$F,"rise_renewable_energy_score"))</f>
        <v/>
      </c>
      <c r="Q74" s="16">
        <f>H74+I74+J74</f>
        <v/>
      </c>
      <c r="R74" s="28">
        <f>Q74/G74</f>
        <v/>
      </c>
      <c r="S74" s="28">
        <f>IF(D74&gt;0,H74/D74,0.85)</f>
        <v/>
      </c>
      <c r="T74" s="28">
        <f>IF(E74&gt;0,I74/E74,0.4)</f>
        <v/>
      </c>
      <c r="U74" s="28">
        <f>IF(D74+F74&gt;0,(H74+J74)/(D74+F74),0)</f>
        <v/>
      </c>
      <c r="V74" s="16">
        <f>K74*1000</f>
        <v/>
      </c>
      <c r="W74" s="15">
        <f>IF(O74=3,in_pt3,IF(O74=2,in_pt2,IF(O74=1,in_pt1,IF(C74="High income",in_pt_hi,in_pt_oth))))</f>
        <v/>
      </c>
      <c r="X74" s="28">
        <f>IF(Q74&gt;0,in_kappa*(in_rise_lo+(in_rise_hi-in_rise_lo)*IF(P74="",in_rise_miss,P74)/100)*(D74+F74)*MAX(U74-in_gas_rep*T74,0)/Q74,0)</f>
        <v/>
      </c>
      <c r="Y74" s="16">
        <f>IF(IF(M74="",N74,M74)="",MAX(in_sw_floor,in_sw_miss),MAX(in_sw_floor,(IF(M74="",N74,M74)*in_hr_gas-L74*in_hr_coal)/MAX(S74-T74,0.1)))</f>
        <v/>
      </c>
      <c r="Z74" s="28">
        <f>IF(C74="Low income",in_b40_li,IF(C74="Lower middle income",in_b40_lmi,IF(C74="Upper middle income",in_b40_umi,IF(C74="High income",in_b40_hi,0.03))))</f>
        <v/>
      </c>
      <c r="AA74" s="15">
        <f>(D74+F74)/G74</f>
        <v/>
      </c>
      <c r="AB74" s="28">
        <f>100*W74*R74/V74/in_phase</f>
        <v/>
      </c>
      <c r="AC74" s="29">
        <f>100*Z74*W74*R74/V74*(1-IF(W74&gt;0,MIN(in_rebate/(W74*in_res_sh*in_q40),1),1))</f>
        <v/>
      </c>
      <c r="AD74" s="28">
        <f>IF(AA74&gt;0,100*U74*(1-W74)/(in_whole_sh*V74),0)</f>
        <v/>
      </c>
      <c r="AE74" s="28">
        <f>IF(AA74&gt;0,100*MAX(U74-R74,0)/(in_whole_sh*V74),0)</f>
        <v/>
      </c>
      <c r="AF74" s="16">
        <f>IF(AB74&gt;0,in_f1/AB74,in_cap)</f>
        <v/>
      </c>
      <c r="AG74" s="16">
        <f>IF(AC74&gt;0,in_f2/AC74,in_cap)</f>
        <v/>
      </c>
      <c r="AH74" s="16">
        <f>IF(AD74&gt;0,in_f3/AD74,in_cap)</f>
        <v/>
      </c>
      <c r="AI74" s="16">
        <f>MIN(in_cap,AF74,AG74,AH74)</f>
        <v/>
      </c>
      <c r="AJ74" s="30">
        <f>100*(1-(1-X74*(1-EXP(-((AI74)+(0))/Y74)))*(1-MIN(ABS(in_elas)*W74*R74*(AI74)/V74,1)))</f>
        <v/>
      </c>
      <c r="AK74" s="17">
        <f>IF(AI74&gt;=in_cap-1E-9,"rate cap",TRIM(IF(ABS(AI74-AF74)&lt;1E-9,"F1 ","")&amp;IF(ABS(AI74-AG74)&lt;1E-9,"F2 ","")&amp;IF(ABS(AI74-AH74)&lt;1E-9,"F3","")))</f>
        <v/>
      </c>
      <c r="AL74" s="15">
        <f>100*(1-(1-X74*(1-EXP(-((MIN(in_cap,IF(AB74&gt;0,(in_f1+1)/AB74,in_cap),AG74,AH74))+(0))/Y74)))*(1-MIN(ABS(in_elas)*W74*R74*(MIN(in_cap,IF(AB74&gt;0,(in_f1+1)/AB74,in_cap),AG74,AH74))/V74,1)))-AJ74</f>
        <v/>
      </c>
      <c r="AM74" s="16">
        <f>MIN(in_cap,IF(AE74&gt;0,in_f3/AE74,in_cap))</f>
        <v/>
      </c>
      <c r="AN74" s="30">
        <f>100*(1-(1-X74*(1-EXP(-((0)+(AM74))/Y74)))*(1-MIN(ABS(in_elas)*W74*R74*(0)/V74,1)))</f>
        <v/>
      </c>
      <c r="AO74" s="17">
        <f>IF(AM74&gt;=in_cap-1E-9,"rate cap","F3")</f>
        <v/>
      </c>
      <c r="AP74" s="15">
        <f>100*(1-(1-X74*(1-EXP(-((50)+(0))/Y74)))*(1-MIN(ABS(in_elas)*W74*R74*(50)/V74,1)))</f>
        <v/>
      </c>
      <c r="AQ74" s="15">
        <f>100*(1-(1-X74*(1-EXP(-((0)+(50))/Y74)))*(1-MIN(ABS(in_elas)*W74*R74*(0)/V74,1)))</f>
        <v/>
      </c>
      <c r="AR74" s="15">
        <f>IF(AP74&gt;0,AQ74/AP74,"")</f>
        <v/>
      </c>
      <c r="AS74" s="16">
        <f>50*AB74</f>
        <v/>
      </c>
      <c r="AT74" s="30">
        <f>MAX(BM74:BW74)</f>
        <v/>
      </c>
      <c r="AU74" s="31">
        <f>AI74*(MATCH(AT74,BM74:BW74,0)-1)/10</f>
        <v/>
      </c>
      <c r="AV74" s="31">
        <f>INDEX(BB74:BL74,1,(MATCH(AT74,BM74:BW74,0)-1)+1)</f>
        <v/>
      </c>
      <c r="AW74" s="31">
        <f>AB74*AU74</f>
        <v/>
      </c>
      <c r="AX74" s="30">
        <f>AC74*AU74</f>
        <v/>
      </c>
      <c r="AY74" s="31">
        <f>AD74*AU74+AE74*AV74</f>
        <v/>
      </c>
      <c r="AZ74" s="32">
        <f>TRIM(IF(AND(AU74&gt;0,ABS(AU74-AF74)&lt;1E-6),"F1 ","")&amp;IF(AND(AU74&gt;0,ABS(AU74-AG74)&lt;1E-6),"F2 ","")&amp;IF(AY74&gt;=in_f3-1E-6,"F3 ","")&amp;IF(AV74&gt;=in_cap-1E-9,"rate cap",""))</f>
        <v/>
      </c>
      <c r="BA74" s="31">
        <f>Q74*AT74/100</f>
        <v/>
      </c>
      <c r="BB74" s="16">
        <f>MAX(0,MIN(in_cap,IF(AE74&gt;0,(in_f3-AD74*AI74*0/10)/AE74,in_cap)))</f>
        <v/>
      </c>
      <c r="BC74" s="16">
        <f>MAX(0,MIN(in_cap,IF(AE74&gt;0,(in_f3-AD74*AI74*1/10)/AE74,in_cap)))</f>
        <v/>
      </c>
      <c r="BD74" s="16">
        <f>MAX(0,MIN(in_cap,IF(AE74&gt;0,(in_f3-AD74*AI74*2/10)/AE74,in_cap)))</f>
        <v/>
      </c>
      <c r="BE74" s="16">
        <f>MAX(0,MIN(in_cap,IF(AE74&gt;0,(in_f3-AD74*AI74*3/10)/AE74,in_cap)))</f>
        <v/>
      </c>
      <c r="BF74" s="16">
        <f>MAX(0,MIN(in_cap,IF(AE74&gt;0,(in_f3-AD74*AI74*4/10)/AE74,in_cap)))</f>
        <v/>
      </c>
      <c r="BG74" s="16">
        <f>MAX(0,MIN(in_cap,IF(AE74&gt;0,(in_f3-AD74*AI74*5/10)/AE74,in_cap)))</f>
        <v/>
      </c>
      <c r="BH74" s="16">
        <f>MAX(0,MIN(in_cap,IF(AE74&gt;0,(in_f3-AD74*AI74*6/10)/AE74,in_cap)))</f>
        <v/>
      </c>
      <c r="BI74" s="16">
        <f>MAX(0,MIN(in_cap,IF(AE74&gt;0,(in_f3-AD74*AI74*7/10)/AE74,in_cap)))</f>
        <v/>
      </c>
      <c r="BJ74" s="16">
        <f>MAX(0,MIN(in_cap,IF(AE74&gt;0,(in_f3-AD74*AI74*8/10)/AE74,in_cap)))</f>
        <v/>
      </c>
      <c r="BK74" s="16">
        <f>MAX(0,MIN(in_cap,IF(AE74&gt;0,(in_f3-AD74*AI74*9/10)/AE74,in_cap)))</f>
        <v/>
      </c>
      <c r="BL74" s="16">
        <f>MAX(0,MIN(in_cap,IF(AE74&gt;0,(in_f3-AD74*AI74*10/10)/AE74,in_cap)))</f>
        <v/>
      </c>
      <c r="BM74" s="15">
        <f>100*(1-(1-X74*(1-EXP(-((AI74*0/10)+(BB74))/Y74)))*(1-MIN(ABS(in_elas)*W74*R74*(AI74*0/10)/V74,1)))</f>
        <v/>
      </c>
      <c r="BN74" s="15">
        <f>100*(1-(1-X74*(1-EXP(-((AI74*1/10)+(BC74))/Y74)))*(1-MIN(ABS(in_elas)*W74*R74*(AI74*1/10)/V74,1)))</f>
        <v/>
      </c>
      <c r="BO74" s="15">
        <f>100*(1-(1-X74*(1-EXP(-((AI74*2/10)+(BD74))/Y74)))*(1-MIN(ABS(in_elas)*W74*R74*(AI74*2/10)/V74,1)))</f>
        <v/>
      </c>
      <c r="BP74" s="15">
        <f>100*(1-(1-X74*(1-EXP(-((AI74*3/10)+(BE74))/Y74)))*(1-MIN(ABS(in_elas)*W74*R74*(AI74*3/10)/V74,1)))</f>
        <v/>
      </c>
      <c r="BQ74" s="15">
        <f>100*(1-(1-X74*(1-EXP(-((AI74*4/10)+(BF74))/Y74)))*(1-MIN(ABS(in_elas)*W74*R74*(AI74*4/10)/V74,1)))</f>
        <v/>
      </c>
      <c r="BR74" s="15">
        <f>100*(1-(1-X74*(1-EXP(-((AI74*5/10)+(BG74))/Y74)))*(1-MIN(ABS(in_elas)*W74*R74*(AI74*5/10)/V74,1)))</f>
        <v/>
      </c>
      <c r="BS74" s="15">
        <f>100*(1-(1-X74*(1-EXP(-((AI74*6/10)+(BH74))/Y74)))*(1-MIN(ABS(in_elas)*W74*R74*(AI74*6/10)/V74,1)))</f>
        <v/>
      </c>
      <c r="BT74" s="15">
        <f>100*(1-(1-X74*(1-EXP(-((AI74*7/10)+(BI74))/Y74)))*(1-MIN(ABS(in_elas)*W74*R74*(AI74*7/10)/V74,1)))</f>
        <v/>
      </c>
      <c r="BU74" s="15">
        <f>100*(1-(1-X74*(1-EXP(-((AI74*8/10)+(BJ74))/Y74)))*(1-MIN(ABS(in_elas)*W74*R74*(AI74*8/10)/V74,1)))</f>
        <v/>
      </c>
      <c r="BV74" s="15">
        <f>100*(1-(1-X74*(1-EXP(-((AI74*9/10)+(BK74))/Y74)))*(1-MIN(ABS(in_elas)*W74*R74*(AI74*9/10)/V74,1)))</f>
        <v/>
      </c>
      <c r="BW74" s="15">
        <f>100*(1-(1-X74*(1-EXP(-((AI74*10/10)+(BL74))/Y74)))*(1-MIN(ABS(in_elas)*W74*R74*(AI74*10/10)/V74,1)))</f>
        <v/>
      </c>
    </row>
    <row r="75">
      <c r="A75" s="17" t="inlineStr">
        <is>
          <t>IRN</t>
        </is>
      </c>
      <c r="B75" s="17">
        <f>INDEX(Data!$B:$B,MATCH($A75,Data!$A:$A,0))</f>
        <v/>
      </c>
      <c r="C75" s="17">
        <f>INDEX(Data!$D:$D,MATCH($A75,Data!$A:$A,0))</f>
        <v/>
      </c>
      <c r="D75" s="16">
        <f>SUMIFS(Data!$G:$G,Data!$A:$A,$A75,Data!$F:$F,"gen_coal_twh")</f>
        <v/>
      </c>
      <c r="E75" s="16">
        <f>SUMIFS(Data!$G:$G,Data!$A:$A,$A75,Data!$F:$F,"gen_gas_twh")</f>
        <v/>
      </c>
      <c r="F75" s="16">
        <f>SUMIFS(Data!$G:$G,Data!$A:$A,$A75,Data!$F:$F,"gen_oil_twh")</f>
        <v/>
      </c>
      <c r="G75" s="16">
        <f>SUMIFS(Data!$G:$G,Data!$A:$A,$A75,Data!$F:$F,"gen_total_twh")</f>
        <v/>
      </c>
      <c r="H75" s="16">
        <f>SUMIFS(Data!$G:$G,Data!$A:$A,$A75,Data!$F:$F,"em_coal_mt")</f>
        <v/>
      </c>
      <c r="I75" s="16">
        <f>SUMIFS(Data!$G:$G,Data!$A:$A,$A75,Data!$F:$F,"em_gas_mt")</f>
        <v/>
      </c>
      <c r="J75" s="16">
        <f>SUMIFS(Data!$G:$G,Data!$A:$A,$A75,Data!$F:$F,"em_oil_mt")</f>
        <v/>
      </c>
      <c r="K75" s="28">
        <f>IF(COUNTIFS(Data!$A:$A,$A75,Data!$F:$F,"price_electricity_residential_usd_kwh")=0,"",SUMIFS(Data!$G:$G,Data!$A:$A,$A75,Data!$F:$F,"price_electricity_residential_usd_kwh"))</f>
        <v/>
      </c>
      <c r="L75" s="28">
        <f>IF(COUNTIFS(Data!$A:$A,$A75,Data!$F:$F,"price_coal_power_usd_gj")=0,"",SUMIFS(Data!$G:$G,Data!$A:$A,$A75,Data!$F:$F,"price_coal_power_usd_gj"))</f>
        <v/>
      </c>
      <c r="M75" s="28">
        <f>IF(COUNTIFS(Data!$A:$A,$A75,Data!$F:$F,"price_gas_power_usd_gj")=0,"",SUMIFS(Data!$G:$G,Data!$A:$A,$A75,Data!$F:$F,"price_gas_power_usd_gj"))</f>
        <v/>
      </c>
      <c r="N75" s="28">
        <f>IF(COUNTIFS(Data!$A:$A,$A75,Data!$F:$F,"price_gas_industry_usd_gj")=0,"",SUMIFS(Data!$G:$G,Data!$A:$A,$A75,Data!$F:$F,"price_gas_industry_usd_gj"))</f>
        <v/>
      </c>
      <c r="O75" s="28">
        <f>IF(COUNTIFS(Data!$A:$A,$A75,Data!$F:$F,"power_market_structure")=0,"",SUMIFS(Data!$G:$G,Data!$A:$A,$A75,Data!$F:$F,"power_market_structure"))</f>
        <v/>
      </c>
      <c r="P75" s="28">
        <f>IF(COUNTIFS(Data!$A:$A,$A75,Data!$F:$F,"rise_renewable_energy_score")=0,"",SUMIFS(Data!$G:$G,Data!$A:$A,$A75,Data!$F:$F,"rise_renewable_energy_score"))</f>
        <v/>
      </c>
      <c r="Q75" s="16">
        <f>H75+I75+J75</f>
        <v/>
      </c>
      <c r="R75" s="28">
        <f>Q75/G75</f>
        <v/>
      </c>
      <c r="S75" s="28">
        <f>IF(D75&gt;0,H75/D75,0.85)</f>
        <v/>
      </c>
      <c r="T75" s="28">
        <f>IF(E75&gt;0,I75/E75,0.4)</f>
        <v/>
      </c>
      <c r="U75" s="28">
        <f>IF(D75+F75&gt;0,(H75+J75)/(D75+F75),0)</f>
        <v/>
      </c>
      <c r="V75" s="16">
        <f>K75*1000</f>
        <v/>
      </c>
      <c r="W75" s="15">
        <f>IF(O75=3,in_pt3,IF(O75=2,in_pt2,IF(O75=1,in_pt1,IF(C75="High income",in_pt_hi,in_pt_oth))))</f>
        <v/>
      </c>
      <c r="X75" s="28">
        <f>IF(Q75&gt;0,in_kappa*(in_rise_lo+(in_rise_hi-in_rise_lo)*IF(P75="",in_rise_miss,P75)/100)*(D75+F75)*MAX(U75-in_gas_rep*T75,0)/Q75,0)</f>
        <v/>
      </c>
      <c r="Y75" s="16">
        <f>IF(IF(M75="",N75,M75)="",MAX(in_sw_floor,in_sw_miss),MAX(in_sw_floor,(IF(M75="",N75,M75)*in_hr_gas-L75*in_hr_coal)/MAX(S75-T75,0.1)))</f>
        <v/>
      </c>
      <c r="Z75" s="28">
        <f>IF(C75="Low income",in_b40_li,IF(C75="Lower middle income",in_b40_lmi,IF(C75="Upper middle income",in_b40_umi,IF(C75="High income",in_b40_hi,0.03))))</f>
        <v/>
      </c>
      <c r="AA75" s="15">
        <f>(D75+F75)/G75</f>
        <v/>
      </c>
      <c r="AB75" s="28">
        <f>100*W75*R75/V75/in_phase</f>
        <v/>
      </c>
      <c r="AC75" s="29">
        <f>100*Z75*W75*R75/V75*(1-IF(W75&gt;0,MIN(in_rebate/(W75*in_res_sh*in_q40),1),1))</f>
        <v/>
      </c>
      <c r="AD75" s="28">
        <f>IF(AA75&gt;0,100*U75*(1-W75)/(in_whole_sh*V75),0)</f>
        <v/>
      </c>
      <c r="AE75" s="28">
        <f>IF(AA75&gt;0,100*MAX(U75-R75,0)/(in_whole_sh*V75),0)</f>
        <v/>
      </c>
      <c r="AF75" s="16">
        <f>IF(AB75&gt;0,in_f1/AB75,in_cap)</f>
        <v/>
      </c>
      <c r="AG75" s="16">
        <f>IF(AC75&gt;0,in_f2/AC75,in_cap)</f>
        <v/>
      </c>
      <c r="AH75" s="16">
        <f>IF(AD75&gt;0,in_f3/AD75,in_cap)</f>
        <v/>
      </c>
      <c r="AI75" s="16">
        <f>MIN(in_cap,AF75,AG75,AH75)</f>
        <v/>
      </c>
      <c r="AJ75" s="30">
        <f>100*(1-(1-X75*(1-EXP(-((AI75)+(0))/Y75)))*(1-MIN(ABS(in_elas)*W75*R75*(AI75)/V75,1)))</f>
        <v/>
      </c>
      <c r="AK75" s="17">
        <f>IF(AI75&gt;=in_cap-1E-9,"rate cap",TRIM(IF(ABS(AI75-AF75)&lt;1E-9,"F1 ","")&amp;IF(ABS(AI75-AG75)&lt;1E-9,"F2 ","")&amp;IF(ABS(AI75-AH75)&lt;1E-9,"F3","")))</f>
        <v/>
      </c>
      <c r="AL75" s="15">
        <f>100*(1-(1-X75*(1-EXP(-((MIN(in_cap,IF(AB75&gt;0,(in_f1+1)/AB75,in_cap),AG75,AH75))+(0))/Y75)))*(1-MIN(ABS(in_elas)*W75*R75*(MIN(in_cap,IF(AB75&gt;0,(in_f1+1)/AB75,in_cap),AG75,AH75))/V75,1)))-AJ75</f>
        <v/>
      </c>
      <c r="AM75" s="16">
        <f>MIN(in_cap,IF(AE75&gt;0,in_f3/AE75,in_cap))</f>
        <v/>
      </c>
      <c r="AN75" s="30">
        <f>100*(1-(1-X75*(1-EXP(-((0)+(AM75))/Y75)))*(1-MIN(ABS(in_elas)*W75*R75*(0)/V75,1)))</f>
        <v/>
      </c>
      <c r="AO75" s="17">
        <f>IF(AM75&gt;=in_cap-1E-9,"rate cap","F3")</f>
        <v/>
      </c>
      <c r="AP75" s="15">
        <f>100*(1-(1-X75*(1-EXP(-((50)+(0))/Y75)))*(1-MIN(ABS(in_elas)*W75*R75*(50)/V75,1)))</f>
        <v/>
      </c>
      <c r="AQ75" s="15">
        <f>100*(1-(1-X75*(1-EXP(-((0)+(50))/Y75)))*(1-MIN(ABS(in_elas)*W75*R75*(0)/V75,1)))</f>
        <v/>
      </c>
      <c r="AR75" s="15">
        <f>IF(AP75&gt;0,AQ75/AP75,"")</f>
        <v/>
      </c>
      <c r="AS75" s="16">
        <f>50*AB75</f>
        <v/>
      </c>
      <c r="AT75" s="30">
        <f>MAX(BM75:BW75)</f>
        <v/>
      </c>
      <c r="AU75" s="31">
        <f>AI75*(MATCH(AT75,BM75:BW75,0)-1)/10</f>
        <v/>
      </c>
      <c r="AV75" s="31">
        <f>INDEX(BB75:BL75,1,(MATCH(AT75,BM75:BW75,0)-1)+1)</f>
        <v/>
      </c>
      <c r="AW75" s="31">
        <f>AB75*AU75</f>
        <v/>
      </c>
      <c r="AX75" s="30">
        <f>AC75*AU75</f>
        <v/>
      </c>
      <c r="AY75" s="31">
        <f>AD75*AU75+AE75*AV75</f>
        <v/>
      </c>
      <c r="AZ75" s="32">
        <f>TRIM(IF(AND(AU75&gt;0,ABS(AU75-AF75)&lt;1E-6),"F1 ","")&amp;IF(AND(AU75&gt;0,ABS(AU75-AG75)&lt;1E-6),"F2 ","")&amp;IF(AY75&gt;=in_f3-1E-6,"F3 ","")&amp;IF(AV75&gt;=in_cap-1E-9,"rate cap",""))</f>
        <v/>
      </c>
      <c r="BA75" s="31">
        <f>Q75*AT75/100</f>
        <v/>
      </c>
      <c r="BB75" s="16">
        <f>MAX(0,MIN(in_cap,IF(AE75&gt;0,(in_f3-AD75*AI75*0/10)/AE75,in_cap)))</f>
        <v/>
      </c>
      <c r="BC75" s="16">
        <f>MAX(0,MIN(in_cap,IF(AE75&gt;0,(in_f3-AD75*AI75*1/10)/AE75,in_cap)))</f>
        <v/>
      </c>
      <c r="BD75" s="16">
        <f>MAX(0,MIN(in_cap,IF(AE75&gt;0,(in_f3-AD75*AI75*2/10)/AE75,in_cap)))</f>
        <v/>
      </c>
      <c r="BE75" s="16">
        <f>MAX(0,MIN(in_cap,IF(AE75&gt;0,(in_f3-AD75*AI75*3/10)/AE75,in_cap)))</f>
        <v/>
      </c>
      <c r="BF75" s="16">
        <f>MAX(0,MIN(in_cap,IF(AE75&gt;0,(in_f3-AD75*AI75*4/10)/AE75,in_cap)))</f>
        <v/>
      </c>
      <c r="BG75" s="16">
        <f>MAX(0,MIN(in_cap,IF(AE75&gt;0,(in_f3-AD75*AI75*5/10)/AE75,in_cap)))</f>
        <v/>
      </c>
      <c r="BH75" s="16">
        <f>MAX(0,MIN(in_cap,IF(AE75&gt;0,(in_f3-AD75*AI75*6/10)/AE75,in_cap)))</f>
        <v/>
      </c>
      <c r="BI75" s="16">
        <f>MAX(0,MIN(in_cap,IF(AE75&gt;0,(in_f3-AD75*AI75*7/10)/AE75,in_cap)))</f>
        <v/>
      </c>
      <c r="BJ75" s="16">
        <f>MAX(0,MIN(in_cap,IF(AE75&gt;0,(in_f3-AD75*AI75*8/10)/AE75,in_cap)))</f>
        <v/>
      </c>
      <c r="BK75" s="16">
        <f>MAX(0,MIN(in_cap,IF(AE75&gt;0,(in_f3-AD75*AI75*9/10)/AE75,in_cap)))</f>
        <v/>
      </c>
      <c r="BL75" s="16">
        <f>MAX(0,MIN(in_cap,IF(AE75&gt;0,(in_f3-AD75*AI75*10/10)/AE75,in_cap)))</f>
        <v/>
      </c>
      <c r="BM75" s="15">
        <f>100*(1-(1-X75*(1-EXP(-((AI75*0/10)+(BB75))/Y75)))*(1-MIN(ABS(in_elas)*W75*R75*(AI75*0/10)/V75,1)))</f>
        <v/>
      </c>
      <c r="BN75" s="15">
        <f>100*(1-(1-X75*(1-EXP(-((AI75*1/10)+(BC75))/Y75)))*(1-MIN(ABS(in_elas)*W75*R75*(AI75*1/10)/V75,1)))</f>
        <v/>
      </c>
      <c r="BO75" s="15">
        <f>100*(1-(1-X75*(1-EXP(-((AI75*2/10)+(BD75))/Y75)))*(1-MIN(ABS(in_elas)*W75*R75*(AI75*2/10)/V75,1)))</f>
        <v/>
      </c>
      <c r="BP75" s="15">
        <f>100*(1-(1-X75*(1-EXP(-((AI75*3/10)+(BE75))/Y75)))*(1-MIN(ABS(in_elas)*W75*R75*(AI75*3/10)/V75,1)))</f>
        <v/>
      </c>
      <c r="BQ75" s="15">
        <f>100*(1-(1-X75*(1-EXP(-((AI75*4/10)+(BF75))/Y75)))*(1-MIN(ABS(in_elas)*W75*R75*(AI75*4/10)/V75,1)))</f>
        <v/>
      </c>
      <c r="BR75" s="15">
        <f>100*(1-(1-X75*(1-EXP(-((AI75*5/10)+(BG75))/Y75)))*(1-MIN(ABS(in_elas)*W75*R75*(AI75*5/10)/V75,1)))</f>
        <v/>
      </c>
      <c r="BS75" s="15">
        <f>100*(1-(1-X75*(1-EXP(-((AI75*6/10)+(BH75))/Y75)))*(1-MIN(ABS(in_elas)*W75*R75*(AI75*6/10)/V75,1)))</f>
        <v/>
      </c>
      <c r="BT75" s="15">
        <f>100*(1-(1-X75*(1-EXP(-((AI75*7/10)+(BI75))/Y75)))*(1-MIN(ABS(in_elas)*W75*R75*(AI75*7/10)/V75,1)))</f>
        <v/>
      </c>
      <c r="BU75" s="15">
        <f>100*(1-(1-X75*(1-EXP(-((AI75*8/10)+(BJ75))/Y75)))*(1-MIN(ABS(in_elas)*W75*R75*(AI75*8/10)/V75,1)))</f>
        <v/>
      </c>
      <c r="BV75" s="15">
        <f>100*(1-(1-X75*(1-EXP(-((AI75*9/10)+(BK75))/Y75)))*(1-MIN(ABS(in_elas)*W75*R75*(AI75*9/10)/V75,1)))</f>
        <v/>
      </c>
      <c r="BW75" s="15">
        <f>100*(1-(1-X75*(1-EXP(-((AI75*10/10)+(BL75))/Y75)))*(1-MIN(ABS(in_elas)*W75*R75*(AI75*10/10)/V75,1)))</f>
        <v/>
      </c>
    </row>
    <row r="76">
      <c r="A76" s="17" t="inlineStr">
        <is>
          <t>IRQ</t>
        </is>
      </c>
      <c r="B76" s="17">
        <f>INDEX(Data!$B:$B,MATCH($A76,Data!$A:$A,0))</f>
        <v/>
      </c>
      <c r="C76" s="17">
        <f>INDEX(Data!$D:$D,MATCH($A76,Data!$A:$A,0))</f>
        <v/>
      </c>
      <c r="D76" s="16">
        <f>SUMIFS(Data!$G:$G,Data!$A:$A,$A76,Data!$F:$F,"gen_coal_twh")</f>
        <v/>
      </c>
      <c r="E76" s="16">
        <f>SUMIFS(Data!$G:$G,Data!$A:$A,$A76,Data!$F:$F,"gen_gas_twh")</f>
        <v/>
      </c>
      <c r="F76" s="16">
        <f>SUMIFS(Data!$G:$G,Data!$A:$A,$A76,Data!$F:$F,"gen_oil_twh")</f>
        <v/>
      </c>
      <c r="G76" s="16">
        <f>SUMIFS(Data!$G:$G,Data!$A:$A,$A76,Data!$F:$F,"gen_total_twh")</f>
        <v/>
      </c>
      <c r="H76" s="16">
        <f>SUMIFS(Data!$G:$G,Data!$A:$A,$A76,Data!$F:$F,"em_coal_mt")</f>
        <v/>
      </c>
      <c r="I76" s="16">
        <f>SUMIFS(Data!$G:$G,Data!$A:$A,$A76,Data!$F:$F,"em_gas_mt")</f>
        <v/>
      </c>
      <c r="J76" s="16">
        <f>SUMIFS(Data!$G:$G,Data!$A:$A,$A76,Data!$F:$F,"em_oil_mt")</f>
        <v/>
      </c>
      <c r="K76" s="28">
        <f>IF(COUNTIFS(Data!$A:$A,$A76,Data!$F:$F,"price_electricity_residential_usd_kwh")=0,"",SUMIFS(Data!$G:$G,Data!$A:$A,$A76,Data!$F:$F,"price_electricity_residential_usd_kwh"))</f>
        <v/>
      </c>
      <c r="L76" s="28">
        <f>IF(COUNTIFS(Data!$A:$A,$A76,Data!$F:$F,"price_coal_power_usd_gj")=0,"",SUMIFS(Data!$G:$G,Data!$A:$A,$A76,Data!$F:$F,"price_coal_power_usd_gj"))</f>
        <v/>
      </c>
      <c r="M76" s="28">
        <f>IF(COUNTIFS(Data!$A:$A,$A76,Data!$F:$F,"price_gas_power_usd_gj")=0,"",SUMIFS(Data!$G:$G,Data!$A:$A,$A76,Data!$F:$F,"price_gas_power_usd_gj"))</f>
        <v/>
      </c>
      <c r="N76" s="28">
        <f>IF(COUNTIFS(Data!$A:$A,$A76,Data!$F:$F,"price_gas_industry_usd_gj")=0,"",SUMIFS(Data!$G:$G,Data!$A:$A,$A76,Data!$F:$F,"price_gas_industry_usd_gj"))</f>
        <v/>
      </c>
      <c r="O76" s="28">
        <f>IF(COUNTIFS(Data!$A:$A,$A76,Data!$F:$F,"power_market_structure")=0,"",SUMIFS(Data!$G:$G,Data!$A:$A,$A76,Data!$F:$F,"power_market_structure"))</f>
        <v/>
      </c>
      <c r="P76" s="28">
        <f>IF(COUNTIFS(Data!$A:$A,$A76,Data!$F:$F,"rise_renewable_energy_score")=0,"",SUMIFS(Data!$G:$G,Data!$A:$A,$A76,Data!$F:$F,"rise_renewable_energy_score"))</f>
        <v/>
      </c>
      <c r="Q76" s="16">
        <f>H76+I76+J76</f>
        <v/>
      </c>
      <c r="R76" s="28">
        <f>Q76/G76</f>
        <v/>
      </c>
      <c r="S76" s="28">
        <f>IF(D76&gt;0,H76/D76,0.85)</f>
        <v/>
      </c>
      <c r="T76" s="28">
        <f>IF(E76&gt;0,I76/E76,0.4)</f>
        <v/>
      </c>
      <c r="U76" s="28">
        <f>IF(D76+F76&gt;0,(H76+J76)/(D76+F76),0)</f>
        <v/>
      </c>
      <c r="V76" s="16">
        <f>K76*1000</f>
        <v/>
      </c>
      <c r="W76" s="15">
        <f>IF(O76=3,in_pt3,IF(O76=2,in_pt2,IF(O76=1,in_pt1,IF(C76="High income",in_pt_hi,in_pt_oth))))</f>
        <v/>
      </c>
      <c r="X76" s="28">
        <f>IF(Q76&gt;0,in_kappa*(in_rise_lo+(in_rise_hi-in_rise_lo)*IF(P76="",in_rise_miss,P76)/100)*(D76+F76)*MAX(U76-in_gas_rep*T76,0)/Q76,0)</f>
        <v/>
      </c>
      <c r="Y76" s="16">
        <f>IF(IF(M76="",N76,M76)="",MAX(in_sw_floor,in_sw_miss),MAX(in_sw_floor,(IF(M76="",N76,M76)*in_hr_gas-L76*in_hr_coal)/MAX(S76-T76,0.1)))</f>
        <v/>
      </c>
      <c r="Z76" s="28">
        <f>IF(C76="Low income",in_b40_li,IF(C76="Lower middle income",in_b40_lmi,IF(C76="Upper middle income",in_b40_umi,IF(C76="High income",in_b40_hi,0.03))))</f>
        <v/>
      </c>
      <c r="AA76" s="15">
        <f>(D76+F76)/G76</f>
        <v/>
      </c>
      <c r="AB76" s="28">
        <f>100*W76*R76/V76/in_phase</f>
        <v/>
      </c>
      <c r="AC76" s="29">
        <f>100*Z76*W76*R76/V76*(1-IF(W76&gt;0,MIN(in_rebate/(W76*in_res_sh*in_q40),1),1))</f>
        <v/>
      </c>
      <c r="AD76" s="28">
        <f>IF(AA76&gt;0,100*U76*(1-W76)/(in_whole_sh*V76),0)</f>
        <v/>
      </c>
      <c r="AE76" s="28">
        <f>IF(AA76&gt;0,100*MAX(U76-R76,0)/(in_whole_sh*V76),0)</f>
        <v/>
      </c>
      <c r="AF76" s="16">
        <f>IF(AB76&gt;0,in_f1/AB76,in_cap)</f>
        <v/>
      </c>
      <c r="AG76" s="16">
        <f>IF(AC76&gt;0,in_f2/AC76,in_cap)</f>
        <v/>
      </c>
      <c r="AH76" s="16">
        <f>IF(AD76&gt;0,in_f3/AD76,in_cap)</f>
        <v/>
      </c>
      <c r="AI76" s="16">
        <f>MIN(in_cap,AF76,AG76,AH76)</f>
        <v/>
      </c>
      <c r="AJ76" s="30">
        <f>100*(1-(1-X76*(1-EXP(-((AI76)+(0))/Y76)))*(1-MIN(ABS(in_elas)*W76*R76*(AI76)/V76,1)))</f>
        <v/>
      </c>
      <c r="AK76" s="17">
        <f>IF(AI76&gt;=in_cap-1E-9,"rate cap",TRIM(IF(ABS(AI76-AF76)&lt;1E-9,"F1 ","")&amp;IF(ABS(AI76-AG76)&lt;1E-9,"F2 ","")&amp;IF(ABS(AI76-AH76)&lt;1E-9,"F3","")))</f>
        <v/>
      </c>
      <c r="AL76" s="15">
        <f>100*(1-(1-X76*(1-EXP(-((MIN(in_cap,IF(AB76&gt;0,(in_f1+1)/AB76,in_cap),AG76,AH76))+(0))/Y76)))*(1-MIN(ABS(in_elas)*W76*R76*(MIN(in_cap,IF(AB76&gt;0,(in_f1+1)/AB76,in_cap),AG76,AH76))/V76,1)))-AJ76</f>
        <v/>
      </c>
      <c r="AM76" s="16">
        <f>MIN(in_cap,IF(AE76&gt;0,in_f3/AE76,in_cap))</f>
        <v/>
      </c>
      <c r="AN76" s="30">
        <f>100*(1-(1-X76*(1-EXP(-((0)+(AM76))/Y76)))*(1-MIN(ABS(in_elas)*W76*R76*(0)/V76,1)))</f>
        <v/>
      </c>
      <c r="AO76" s="17">
        <f>IF(AM76&gt;=in_cap-1E-9,"rate cap","F3")</f>
        <v/>
      </c>
      <c r="AP76" s="15">
        <f>100*(1-(1-X76*(1-EXP(-((50)+(0))/Y76)))*(1-MIN(ABS(in_elas)*W76*R76*(50)/V76,1)))</f>
        <v/>
      </c>
      <c r="AQ76" s="15">
        <f>100*(1-(1-X76*(1-EXP(-((0)+(50))/Y76)))*(1-MIN(ABS(in_elas)*W76*R76*(0)/V76,1)))</f>
        <v/>
      </c>
      <c r="AR76" s="15">
        <f>IF(AP76&gt;0,AQ76/AP76,"")</f>
        <v/>
      </c>
      <c r="AS76" s="16">
        <f>50*AB76</f>
        <v/>
      </c>
      <c r="AT76" s="30">
        <f>MAX(BM76:BW76)</f>
        <v/>
      </c>
      <c r="AU76" s="31">
        <f>AI76*(MATCH(AT76,BM76:BW76,0)-1)/10</f>
        <v/>
      </c>
      <c r="AV76" s="31">
        <f>INDEX(BB76:BL76,1,(MATCH(AT76,BM76:BW76,0)-1)+1)</f>
        <v/>
      </c>
      <c r="AW76" s="31">
        <f>AB76*AU76</f>
        <v/>
      </c>
      <c r="AX76" s="30">
        <f>AC76*AU76</f>
        <v/>
      </c>
      <c r="AY76" s="31">
        <f>AD76*AU76+AE76*AV76</f>
        <v/>
      </c>
      <c r="AZ76" s="32">
        <f>TRIM(IF(AND(AU76&gt;0,ABS(AU76-AF76)&lt;1E-6),"F1 ","")&amp;IF(AND(AU76&gt;0,ABS(AU76-AG76)&lt;1E-6),"F2 ","")&amp;IF(AY76&gt;=in_f3-1E-6,"F3 ","")&amp;IF(AV76&gt;=in_cap-1E-9,"rate cap",""))</f>
        <v/>
      </c>
      <c r="BA76" s="31">
        <f>Q76*AT76/100</f>
        <v/>
      </c>
      <c r="BB76" s="16">
        <f>MAX(0,MIN(in_cap,IF(AE76&gt;0,(in_f3-AD76*AI76*0/10)/AE76,in_cap)))</f>
        <v/>
      </c>
      <c r="BC76" s="16">
        <f>MAX(0,MIN(in_cap,IF(AE76&gt;0,(in_f3-AD76*AI76*1/10)/AE76,in_cap)))</f>
        <v/>
      </c>
      <c r="BD76" s="16">
        <f>MAX(0,MIN(in_cap,IF(AE76&gt;0,(in_f3-AD76*AI76*2/10)/AE76,in_cap)))</f>
        <v/>
      </c>
      <c r="BE76" s="16">
        <f>MAX(0,MIN(in_cap,IF(AE76&gt;0,(in_f3-AD76*AI76*3/10)/AE76,in_cap)))</f>
        <v/>
      </c>
      <c r="BF76" s="16">
        <f>MAX(0,MIN(in_cap,IF(AE76&gt;0,(in_f3-AD76*AI76*4/10)/AE76,in_cap)))</f>
        <v/>
      </c>
      <c r="BG76" s="16">
        <f>MAX(0,MIN(in_cap,IF(AE76&gt;0,(in_f3-AD76*AI76*5/10)/AE76,in_cap)))</f>
        <v/>
      </c>
      <c r="BH76" s="16">
        <f>MAX(0,MIN(in_cap,IF(AE76&gt;0,(in_f3-AD76*AI76*6/10)/AE76,in_cap)))</f>
        <v/>
      </c>
      <c r="BI76" s="16">
        <f>MAX(0,MIN(in_cap,IF(AE76&gt;0,(in_f3-AD76*AI76*7/10)/AE76,in_cap)))</f>
        <v/>
      </c>
      <c r="BJ76" s="16">
        <f>MAX(0,MIN(in_cap,IF(AE76&gt;0,(in_f3-AD76*AI76*8/10)/AE76,in_cap)))</f>
        <v/>
      </c>
      <c r="BK76" s="16">
        <f>MAX(0,MIN(in_cap,IF(AE76&gt;0,(in_f3-AD76*AI76*9/10)/AE76,in_cap)))</f>
        <v/>
      </c>
      <c r="BL76" s="16">
        <f>MAX(0,MIN(in_cap,IF(AE76&gt;0,(in_f3-AD76*AI76*10/10)/AE76,in_cap)))</f>
        <v/>
      </c>
      <c r="BM76" s="15">
        <f>100*(1-(1-X76*(1-EXP(-((AI76*0/10)+(BB76))/Y76)))*(1-MIN(ABS(in_elas)*W76*R76*(AI76*0/10)/V76,1)))</f>
        <v/>
      </c>
      <c r="BN76" s="15">
        <f>100*(1-(1-X76*(1-EXP(-((AI76*1/10)+(BC76))/Y76)))*(1-MIN(ABS(in_elas)*W76*R76*(AI76*1/10)/V76,1)))</f>
        <v/>
      </c>
      <c r="BO76" s="15">
        <f>100*(1-(1-X76*(1-EXP(-((AI76*2/10)+(BD76))/Y76)))*(1-MIN(ABS(in_elas)*W76*R76*(AI76*2/10)/V76,1)))</f>
        <v/>
      </c>
      <c r="BP76" s="15">
        <f>100*(1-(1-X76*(1-EXP(-((AI76*3/10)+(BE76))/Y76)))*(1-MIN(ABS(in_elas)*W76*R76*(AI76*3/10)/V76,1)))</f>
        <v/>
      </c>
      <c r="BQ76" s="15">
        <f>100*(1-(1-X76*(1-EXP(-((AI76*4/10)+(BF76))/Y76)))*(1-MIN(ABS(in_elas)*W76*R76*(AI76*4/10)/V76,1)))</f>
        <v/>
      </c>
      <c r="BR76" s="15">
        <f>100*(1-(1-X76*(1-EXP(-((AI76*5/10)+(BG76))/Y76)))*(1-MIN(ABS(in_elas)*W76*R76*(AI76*5/10)/V76,1)))</f>
        <v/>
      </c>
      <c r="BS76" s="15">
        <f>100*(1-(1-X76*(1-EXP(-((AI76*6/10)+(BH76))/Y76)))*(1-MIN(ABS(in_elas)*W76*R76*(AI76*6/10)/V76,1)))</f>
        <v/>
      </c>
      <c r="BT76" s="15">
        <f>100*(1-(1-X76*(1-EXP(-((AI76*7/10)+(BI76))/Y76)))*(1-MIN(ABS(in_elas)*W76*R76*(AI76*7/10)/V76,1)))</f>
        <v/>
      </c>
      <c r="BU76" s="15">
        <f>100*(1-(1-X76*(1-EXP(-((AI76*8/10)+(BJ76))/Y76)))*(1-MIN(ABS(in_elas)*W76*R76*(AI76*8/10)/V76,1)))</f>
        <v/>
      </c>
      <c r="BV76" s="15">
        <f>100*(1-(1-X76*(1-EXP(-((AI76*9/10)+(BK76))/Y76)))*(1-MIN(ABS(in_elas)*W76*R76*(AI76*9/10)/V76,1)))</f>
        <v/>
      </c>
      <c r="BW76" s="15">
        <f>100*(1-(1-X76*(1-EXP(-((AI76*10/10)+(BL76))/Y76)))*(1-MIN(ABS(in_elas)*W76*R76*(AI76*10/10)/V76,1)))</f>
        <v/>
      </c>
    </row>
    <row r="77">
      <c r="A77" s="17" t="inlineStr">
        <is>
          <t>ISR</t>
        </is>
      </c>
      <c r="B77" s="17">
        <f>INDEX(Data!$B:$B,MATCH($A77,Data!$A:$A,0))</f>
        <v/>
      </c>
      <c r="C77" s="17">
        <f>INDEX(Data!$D:$D,MATCH($A77,Data!$A:$A,0))</f>
        <v/>
      </c>
      <c r="D77" s="16">
        <f>SUMIFS(Data!$G:$G,Data!$A:$A,$A77,Data!$F:$F,"gen_coal_twh")</f>
        <v/>
      </c>
      <c r="E77" s="16">
        <f>SUMIFS(Data!$G:$G,Data!$A:$A,$A77,Data!$F:$F,"gen_gas_twh")</f>
        <v/>
      </c>
      <c r="F77" s="16">
        <f>SUMIFS(Data!$G:$G,Data!$A:$A,$A77,Data!$F:$F,"gen_oil_twh")</f>
        <v/>
      </c>
      <c r="G77" s="16">
        <f>SUMIFS(Data!$G:$G,Data!$A:$A,$A77,Data!$F:$F,"gen_total_twh")</f>
        <v/>
      </c>
      <c r="H77" s="16">
        <f>SUMIFS(Data!$G:$G,Data!$A:$A,$A77,Data!$F:$F,"em_coal_mt")</f>
        <v/>
      </c>
      <c r="I77" s="16">
        <f>SUMIFS(Data!$G:$G,Data!$A:$A,$A77,Data!$F:$F,"em_gas_mt")</f>
        <v/>
      </c>
      <c r="J77" s="16">
        <f>SUMIFS(Data!$G:$G,Data!$A:$A,$A77,Data!$F:$F,"em_oil_mt")</f>
        <v/>
      </c>
      <c r="K77" s="28">
        <f>IF(COUNTIFS(Data!$A:$A,$A77,Data!$F:$F,"price_electricity_residential_usd_kwh")=0,"",SUMIFS(Data!$G:$G,Data!$A:$A,$A77,Data!$F:$F,"price_electricity_residential_usd_kwh"))</f>
        <v/>
      </c>
      <c r="L77" s="28">
        <f>IF(COUNTIFS(Data!$A:$A,$A77,Data!$F:$F,"price_coal_power_usd_gj")=0,"",SUMIFS(Data!$G:$G,Data!$A:$A,$A77,Data!$F:$F,"price_coal_power_usd_gj"))</f>
        <v/>
      </c>
      <c r="M77" s="28">
        <f>IF(COUNTIFS(Data!$A:$A,$A77,Data!$F:$F,"price_gas_power_usd_gj")=0,"",SUMIFS(Data!$G:$G,Data!$A:$A,$A77,Data!$F:$F,"price_gas_power_usd_gj"))</f>
        <v/>
      </c>
      <c r="N77" s="28">
        <f>IF(COUNTIFS(Data!$A:$A,$A77,Data!$F:$F,"price_gas_industry_usd_gj")=0,"",SUMIFS(Data!$G:$G,Data!$A:$A,$A77,Data!$F:$F,"price_gas_industry_usd_gj"))</f>
        <v/>
      </c>
      <c r="O77" s="28">
        <f>IF(COUNTIFS(Data!$A:$A,$A77,Data!$F:$F,"power_market_structure")=0,"",SUMIFS(Data!$G:$G,Data!$A:$A,$A77,Data!$F:$F,"power_market_structure"))</f>
        <v/>
      </c>
      <c r="P77" s="28">
        <f>IF(COUNTIFS(Data!$A:$A,$A77,Data!$F:$F,"rise_renewable_energy_score")=0,"",SUMIFS(Data!$G:$G,Data!$A:$A,$A77,Data!$F:$F,"rise_renewable_energy_score"))</f>
        <v/>
      </c>
      <c r="Q77" s="16">
        <f>H77+I77+J77</f>
        <v/>
      </c>
      <c r="R77" s="28">
        <f>Q77/G77</f>
        <v/>
      </c>
      <c r="S77" s="28">
        <f>IF(D77&gt;0,H77/D77,0.85)</f>
        <v/>
      </c>
      <c r="T77" s="28">
        <f>IF(E77&gt;0,I77/E77,0.4)</f>
        <v/>
      </c>
      <c r="U77" s="28">
        <f>IF(D77+F77&gt;0,(H77+J77)/(D77+F77),0)</f>
        <v/>
      </c>
      <c r="V77" s="16">
        <f>K77*1000</f>
        <v/>
      </c>
      <c r="W77" s="15">
        <f>IF(O77=3,in_pt3,IF(O77=2,in_pt2,IF(O77=1,in_pt1,IF(C77="High income",in_pt_hi,in_pt_oth))))</f>
        <v/>
      </c>
      <c r="X77" s="28">
        <f>IF(Q77&gt;0,in_kappa*(in_rise_lo+(in_rise_hi-in_rise_lo)*IF(P77="",in_rise_miss,P77)/100)*(D77+F77)*MAX(U77-in_gas_rep*T77,0)/Q77,0)</f>
        <v/>
      </c>
      <c r="Y77" s="16">
        <f>IF(IF(M77="",N77,M77)="",MAX(in_sw_floor,in_sw_miss),MAX(in_sw_floor,(IF(M77="",N77,M77)*in_hr_gas-L77*in_hr_coal)/MAX(S77-T77,0.1)))</f>
        <v/>
      </c>
      <c r="Z77" s="28">
        <f>IF(C77="Low income",in_b40_li,IF(C77="Lower middle income",in_b40_lmi,IF(C77="Upper middle income",in_b40_umi,IF(C77="High income",in_b40_hi,0.03))))</f>
        <v/>
      </c>
      <c r="AA77" s="15">
        <f>(D77+F77)/G77</f>
        <v/>
      </c>
      <c r="AB77" s="28">
        <f>100*W77*R77/V77/in_phase</f>
        <v/>
      </c>
      <c r="AC77" s="29">
        <f>100*Z77*W77*R77/V77*(1-IF(W77&gt;0,MIN(in_rebate/(W77*in_res_sh*in_q40),1),1))</f>
        <v/>
      </c>
      <c r="AD77" s="28">
        <f>IF(AA77&gt;0,100*U77*(1-W77)/(in_whole_sh*V77),0)</f>
        <v/>
      </c>
      <c r="AE77" s="28">
        <f>IF(AA77&gt;0,100*MAX(U77-R77,0)/(in_whole_sh*V77),0)</f>
        <v/>
      </c>
      <c r="AF77" s="16">
        <f>IF(AB77&gt;0,in_f1/AB77,in_cap)</f>
        <v/>
      </c>
      <c r="AG77" s="16">
        <f>IF(AC77&gt;0,in_f2/AC77,in_cap)</f>
        <v/>
      </c>
      <c r="AH77" s="16">
        <f>IF(AD77&gt;0,in_f3/AD77,in_cap)</f>
        <v/>
      </c>
      <c r="AI77" s="16">
        <f>MIN(in_cap,AF77,AG77,AH77)</f>
        <v/>
      </c>
      <c r="AJ77" s="30">
        <f>100*(1-(1-X77*(1-EXP(-((AI77)+(0))/Y77)))*(1-MIN(ABS(in_elas)*W77*R77*(AI77)/V77,1)))</f>
        <v/>
      </c>
      <c r="AK77" s="17">
        <f>IF(AI77&gt;=in_cap-1E-9,"rate cap",TRIM(IF(ABS(AI77-AF77)&lt;1E-9,"F1 ","")&amp;IF(ABS(AI77-AG77)&lt;1E-9,"F2 ","")&amp;IF(ABS(AI77-AH77)&lt;1E-9,"F3","")))</f>
        <v/>
      </c>
      <c r="AL77" s="15">
        <f>100*(1-(1-X77*(1-EXP(-((MIN(in_cap,IF(AB77&gt;0,(in_f1+1)/AB77,in_cap),AG77,AH77))+(0))/Y77)))*(1-MIN(ABS(in_elas)*W77*R77*(MIN(in_cap,IF(AB77&gt;0,(in_f1+1)/AB77,in_cap),AG77,AH77))/V77,1)))-AJ77</f>
        <v/>
      </c>
      <c r="AM77" s="16">
        <f>MIN(in_cap,IF(AE77&gt;0,in_f3/AE77,in_cap))</f>
        <v/>
      </c>
      <c r="AN77" s="30">
        <f>100*(1-(1-X77*(1-EXP(-((0)+(AM77))/Y77)))*(1-MIN(ABS(in_elas)*W77*R77*(0)/V77,1)))</f>
        <v/>
      </c>
      <c r="AO77" s="17">
        <f>IF(AM77&gt;=in_cap-1E-9,"rate cap","F3")</f>
        <v/>
      </c>
      <c r="AP77" s="15">
        <f>100*(1-(1-X77*(1-EXP(-((50)+(0))/Y77)))*(1-MIN(ABS(in_elas)*W77*R77*(50)/V77,1)))</f>
        <v/>
      </c>
      <c r="AQ77" s="15">
        <f>100*(1-(1-X77*(1-EXP(-((0)+(50))/Y77)))*(1-MIN(ABS(in_elas)*W77*R77*(0)/V77,1)))</f>
        <v/>
      </c>
      <c r="AR77" s="15">
        <f>IF(AP77&gt;0,AQ77/AP77,"")</f>
        <v/>
      </c>
      <c r="AS77" s="16">
        <f>50*AB77</f>
        <v/>
      </c>
      <c r="AT77" s="30">
        <f>MAX(BM77:BW77)</f>
        <v/>
      </c>
      <c r="AU77" s="31">
        <f>AI77*(MATCH(AT77,BM77:BW77,0)-1)/10</f>
        <v/>
      </c>
      <c r="AV77" s="31">
        <f>INDEX(BB77:BL77,1,(MATCH(AT77,BM77:BW77,0)-1)+1)</f>
        <v/>
      </c>
      <c r="AW77" s="31">
        <f>AB77*AU77</f>
        <v/>
      </c>
      <c r="AX77" s="30">
        <f>AC77*AU77</f>
        <v/>
      </c>
      <c r="AY77" s="31">
        <f>AD77*AU77+AE77*AV77</f>
        <v/>
      </c>
      <c r="AZ77" s="32">
        <f>TRIM(IF(AND(AU77&gt;0,ABS(AU77-AF77)&lt;1E-6),"F1 ","")&amp;IF(AND(AU77&gt;0,ABS(AU77-AG77)&lt;1E-6),"F2 ","")&amp;IF(AY77&gt;=in_f3-1E-6,"F3 ","")&amp;IF(AV77&gt;=in_cap-1E-9,"rate cap",""))</f>
        <v/>
      </c>
      <c r="BA77" s="31">
        <f>Q77*AT77/100</f>
        <v/>
      </c>
      <c r="BB77" s="16">
        <f>MAX(0,MIN(in_cap,IF(AE77&gt;0,(in_f3-AD77*AI77*0/10)/AE77,in_cap)))</f>
        <v/>
      </c>
      <c r="BC77" s="16">
        <f>MAX(0,MIN(in_cap,IF(AE77&gt;0,(in_f3-AD77*AI77*1/10)/AE77,in_cap)))</f>
        <v/>
      </c>
      <c r="BD77" s="16">
        <f>MAX(0,MIN(in_cap,IF(AE77&gt;0,(in_f3-AD77*AI77*2/10)/AE77,in_cap)))</f>
        <v/>
      </c>
      <c r="BE77" s="16">
        <f>MAX(0,MIN(in_cap,IF(AE77&gt;0,(in_f3-AD77*AI77*3/10)/AE77,in_cap)))</f>
        <v/>
      </c>
      <c r="BF77" s="16">
        <f>MAX(0,MIN(in_cap,IF(AE77&gt;0,(in_f3-AD77*AI77*4/10)/AE77,in_cap)))</f>
        <v/>
      </c>
      <c r="BG77" s="16">
        <f>MAX(0,MIN(in_cap,IF(AE77&gt;0,(in_f3-AD77*AI77*5/10)/AE77,in_cap)))</f>
        <v/>
      </c>
      <c r="BH77" s="16">
        <f>MAX(0,MIN(in_cap,IF(AE77&gt;0,(in_f3-AD77*AI77*6/10)/AE77,in_cap)))</f>
        <v/>
      </c>
      <c r="BI77" s="16">
        <f>MAX(0,MIN(in_cap,IF(AE77&gt;0,(in_f3-AD77*AI77*7/10)/AE77,in_cap)))</f>
        <v/>
      </c>
      <c r="BJ77" s="16">
        <f>MAX(0,MIN(in_cap,IF(AE77&gt;0,(in_f3-AD77*AI77*8/10)/AE77,in_cap)))</f>
        <v/>
      </c>
      <c r="BK77" s="16">
        <f>MAX(0,MIN(in_cap,IF(AE77&gt;0,(in_f3-AD77*AI77*9/10)/AE77,in_cap)))</f>
        <v/>
      </c>
      <c r="BL77" s="16">
        <f>MAX(0,MIN(in_cap,IF(AE77&gt;0,(in_f3-AD77*AI77*10/10)/AE77,in_cap)))</f>
        <v/>
      </c>
      <c r="BM77" s="15">
        <f>100*(1-(1-X77*(1-EXP(-((AI77*0/10)+(BB77))/Y77)))*(1-MIN(ABS(in_elas)*W77*R77*(AI77*0/10)/V77,1)))</f>
        <v/>
      </c>
      <c r="BN77" s="15">
        <f>100*(1-(1-X77*(1-EXP(-((AI77*1/10)+(BC77))/Y77)))*(1-MIN(ABS(in_elas)*W77*R77*(AI77*1/10)/V77,1)))</f>
        <v/>
      </c>
      <c r="BO77" s="15">
        <f>100*(1-(1-X77*(1-EXP(-((AI77*2/10)+(BD77))/Y77)))*(1-MIN(ABS(in_elas)*W77*R77*(AI77*2/10)/V77,1)))</f>
        <v/>
      </c>
      <c r="BP77" s="15">
        <f>100*(1-(1-X77*(1-EXP(-((AI77*3/10)+(BE77))/Y77)))*(1-MIN(ABS(in_elas)*W77*R77*(AI77*3/10)/V77,1)))</f>
        <v/>
      </c>
      <c r="BQ77" s="15">
        <f>100*(1-(1-X77*(1-EXP(-((AI77*4/10)+(BF77))/Y77)))*(1-MIN(ABS(in_elas)*W77*R77*(AI77*4/10)/V77,1)))</f>
        <v/>
      </c>
      <c r="BR77" s="15">
        <f>100*(1-(1-X77*(1-EXP(-((AI77*5/10)+(BG77))/Y77)))*(1-MIN(ABS(in_elas)*W77*R77*(AI77*5/10)/V77,1)))</f>
        <v/>
      </c>
      <c r="BS77" s="15">
        <f>100*(1-(1-X77*(1-EXP(-((AI77*6/10)+(BH77))/Y77)))*(1-MIN(ABS(in_elas)*W77*R77*(AI77*6/10)/V77,1)))</f>
        <v/>
      </c>
      <c r="BT77" s="15">
        <f>100*(1-(1-X77*(1-EXP(-((AI77*7/10)+(BI77))/Y77)))*(1-MIN(ABS(in_elas)*W77*R77*(AI77*7/10)/V77,1)))</f>
        <v/>
      </c>
      <c r="BU77" s="15">
        <f>100*(1-(1-X77*(1-EXP(-((AI77*8/10)+(BJ77))/Y77)))*(1-MIN(ABS(in_elas)*W77*R77*(AI77*8/10)/V77,1)))</f>
        <v/>
      </c>
      <c r="BV77" s="15">
        <f>100*(1-(1-X77*(1-EXP(-((AI77*9/10)+(BK77))/Y77)))*(1-MIN(ABS(in_elas)*W77*R77*(AI77*9/10)/V77,1)))</f>
        <v/>
      </c>
      <c r="BW77" s="15">
        <f>100*(1-(1-X77*(1-EXP(-((AI77*10/10)+(BL77))/Y77)))*(1-MIN(ABS(in_elas)*W77*R77*(AI77*10/10)/V77,1)))</f>
        <v/>
      </c>
    </row>
    <row r="78">
      <c r="A78" s="17" t="inlineStr">
        <is>
          <t>ITA</t>
        </is>
      </c>
      <c r="B78" s="17">
        <f>INDEX(Data!$B:$B,MATCH($A78,Data!$A:$A,0))</f>
        <v/>
      </c>
      <c r="C78" s="17">
        <f>INDEX(Data!$D:$D,MATCH($A78,Data!$A:$A,0))</f>
        <v/>
      </c>
      <c r="D78" s="16">
        <f>SUMIFS(Data!$G:$G,Data!$A:$A,$A78,Data!$F:$F,"gen_coal_twh")</f>
        <v/>
      </c>
      <c r="E78" s="16">
        <f>SUMIFS(Data!$G:$G,Data!$A:$A,$A78,Data!$F:$F,"gen_gas_twh")</f>
        <v/>
      </c>
      <c r="F78" s="16">
        <f>SUMIFS(Data!$G:$G,Data!$A:$A,$A78,Data!$F:$F,"gen_oil_twh")</f>
        <v/>
      </c>
      <c r="G78" s="16">
        <f>SUMIFS(Data!$G:$G,Data!$A:$A,$A78,Data!$F:$F,"gen_total_twh")</f>
        <v/>
      </c>
      <c r="H78" s="16">
        <f>SUMIFS(Data!$G:$G,Data!$A:$A,$A78,Data!$F:$F,"em_coal_mt")</f>
        <v/>
      </c>
      <c r="I78" s="16">
        <f>SUMIFS(Data!$G:$G,Data!$A:$A,$A78,Data!$F:$F,"em_gas_mt")</f>
        <v/>
      </c>
      <c r="J78" s="16">
        <f>SUMIFS(Data!$G:$G,Data!$A:$A,$A78,Data!$F:$F,"em_oil_mt")</f>
        <v/>
      </c>
      <c r="K78" s="28">
        <f>IF(COUNTIFS(Data!$A:$A,$A78,Data!$F:$F,"price_electricity_residential_usd_kwh")=0,"",SUMIFS(Data!$G:$G,Data!$A:$A,$A78,Data!$F:$F,"price_electricity_residential_usd_kwh"))</f>
        <v/>
      </c>
      <c r="L78" s="28">
        <f>IF(COUNTIFS(Data!$A:$A,$A78,Data!$F:$F,"price_coal_power_usd_gj")=0,"",SUMIFS(Data!$G:$G,Data!$A:$A,$A78,Data!$F:$F,"price_coal_power_usd_gj"))</f>
        <v/>
      </c>
      <c r="M78" s="28">
        <f>IF(COUNTIFS(Data!$A:$A,$A78,Data!$F:$F,"price_gas_power_usd_gj")=0,"",SUMIFS(Data!$G:$G,Data!$A:$A,$A78,Data!$F:$F,"price_gas_power_usd_gj"))</f>
        <v/>
      </c>
      <c r="N78" s="28">
        <f>IF(COUNTIFS(Data!$A:$A,$A78,Data!$F:$F,"price_gas_industry_usd_gj")=0,"",SUMIFS(Data!$G:$G,Data!$A:$A,$A78,Data!$F:$F,"price_gas_industry_usd_gj"))</f>
        <v/>
      </c>
      <c r="O78" s="28">
        <f>IF(COUNTIFS(Data!$A:$A,$A78,Data!$F:$F,"power_market_structure")=0,"",SUMIFS(Data!$G:$G,Data!$A:$A,$A78,Data!$F:$F,"power_market_structure"))</f>
        <v/>
      </c>
      <c r="P78" s="28">
        <f>IF(COUNTIFS(Data!$A:$A,$A78,Data!$F:$F,"rise_renewable_energy_score")=0,"",SUMIFS(Data!$G:$G,Data!$A:$A,$A78,Data!$F:$F,"rise_renewable_energy_score"))</f>
        <v/>
      </c>
      <c r="Q78" s="16">
        <f>H78+I78+J78</f>
        <v/>
      </c>
      <c r="R78" s="28">
        <f>Q78/G78</f>
        <v/>
      </c>
      <c r="S78" s="28">
        <f>IF(D78&gt;0,H78/D78,0.85)</f>
        <v/>
      </c>
      <c r="T78" s="28">
        <f>IF(E78&gt;0,I78/E78,0.4)</f>
        <v/>
      </c>
      <c r="U78" s="28">
        <f>IF(D78+F78&gt;0,(H78+J78)/(D78+F78),0)</f>
        <v/>
      </c>
      <c r="V78" s="16">
        <f>K78*1000</f>
        <v/>
      </c>
      <c r="W78" s="15">
        <f>IF(O78=3,in_pt3,IF(O78=2,in_pt2,IF(O78=1,in_pt1,IF(C78="High income",in_pt_hi,in_pt_oth))))</f>
        <v/>
      </c>
      <c r="X78" s="28">
        <f>IF(Q78&gt;0,in_kappa*(in_rise_lo+(in_rise_hi-in_rise_lo)*IF(P78="",in_rise_miss,P78)/100)*(D78+F78)*MAX(U78-in_gas_rep*T78,0)/Q78,0)</f>
        <v/>
      </c>
      <c r="Y78" s="16">
        <f>IF(IF(M78="",N78,M78)="",MAX(in_sw_floor,in_sw_miss),MAX(in_sw_floor,(IF(M78="",N78,M78)*in_hr_gas-L78*in_hr_coal)/MAX(S78-T78,0.1)))</f>
        <v/>
      </c>
      <c r="Z78" s="28">
        <f>IF(C78="Low income",in_b40_li,IF(C78="Lower middle income",in_b40_lmi,IF(C78="Upper middle income",in_b40_umi,IF(C78="High income",in_b40_hi,0.03))))</f>
        <v/>
      </c>
      <c r="AA78" s="15">
        <f>(D78+F78)/G78</f>
        <v/>
      </c>
      <c r="AB78" s="28">
        <f>100*W78*R78/V78/in_phase</f>
        <v/>
      </c>
      <c r="AC78" s="29">
        <f>100*Z78*W78*R78/V78*(1-IF(W78&gt;0,MIN(in_rebate/(W78*in_res_sh*in_q40),1),1))</f>
        <v/>
      </c>
      <c r="AD78" s="28">
        <f>IF(AA78&gt;0,100*U78*(1-W78)/(in_whole_sh*V78),0)</f>
        <v/>
      </c>
      <c r="AE78" s="28">
        <f>IF(AA78&gt;0,100*MAX(U78-R78,0)/(in_whole_sh*V78),0)</f>
        <v/>
      </c>
      <c r="AF78" s="16">
        <f>IF(AB78&gt;0,in_f1/AB78,in_cap)</f>
        <v/>
      </c>
      <c r="AG78" s="16">
        <f>IF(AC78&gt;0,in_f2/AC78,in_cap)</f>
        <v/>
      </c>
      <c r="AH78" s="16">
        <f>IF(AD78&gt;0,in_f3/AD78,in_cap)</f>
        <v/>
      </c>
      <c r="AI78" s="16">
        <f>MIN(in_cap,AF78,AG78,AH78)</f>
        <v/>
      </c>
      <c r="AJ78" s="30">
        <f>100*(1-(1-X78*(1-EXP(-((AI78)+(0))/Y78)))*(1-MIN(ABS(in_elas)*W78*R78*(AI78)/V78,1)))</f>
        <v/>
      </c>
      <c r="AK78" s="17">
        <f>IF(AI78&gt;=in_cap-1E-9,"rate cap",TRIM(IF(ABS(AI78-AF78)&lt;1E-9,"F1 ","")&amp;IF(ABS(AI78-AG78)&lt;1E-9,"F2 ","")&amp;IF(ABS(AI78-AH78)&lt;1E-9,"F3","")))</f>
        <v/>
      </c>
      <c r="AL78" s="15">
        <f>100*(1-(1-X78*(1-EXP(-((MIN(in_cap,IF(AB78&gt;0,(in_f1+1)/AB78,in_cap),AG78,AH78))+(0))/Y78)))*(1-MIN(ABS(in_elas)*W78*R78*(MIN(in_cap,IF(AB78&gt;0,(in_f1+1)/AB78,in_cap),AG78,AH78))/V78,1)))-AJ78</f>
        <v/>
      </c>
      <c r="AM78" s="16">
        <f>MIN(in_cap,IF(AE78&gt;0,in_f3/AE78,in_cap))</f>
        <v/>
      </c>
      <c r="AN78" s="30">
        <f>100*(1-(1-X78*(1-EXP(-((0)+(AM78))/Y78)))*(1-MIN(ABS(in_elas)*W78*R78*(0)/V78,1)))</f>
        <v/>
      </c>
      <c r="AO78" s="17">
        <f>IF(AM78&gt;=in_cap-1E-9,"rate cap","F3")</f>
        <v/>
      </c>
      <c r="AP78" s="15">
        <f>100*(1-(1-X78*(1-EXP(-((50)+(0))/Y78)))*(1-MIN(ABS(in_elas)*W78*R78*(50)/V78,1)))</f>
        <v/>
      </c>
      <c r="AQ78" s="15">
        <f>100*(1-(1-X78*(1-EXP(-((0)+(50))/Y78)))*(1-MIN(ABS(in_elas)*W78*R78*(0)/V78,1)))</f>
        <v/>
      </c>
      <c r="AR78" s="15">
        <f>IF(AP78&gt;0,AQ78/AP78,"")</f>
        <v/>
      </c>
      <c r="AS78" s="16">
        <f>50*AB78</f>
        <v/>
      </c>
      <c r="AT78" s="30">
        <f>MAX(BM78:BW78)</f>
        <v/>
      </c>
      <c r="AU78" s="31">
        <f>AI78*(MATCH(AT78,BM78:BW78,0)-1)/10</f>
        <v/>
      </c>
      <c r="AV78" s="31">
        <f>INDEX(BB78:BL78,1,(MATCH(AT78,BM78:BW78,0)-1)+1)</f>
        <v/>
      </c>
      <c r="AW78" s="31">
        <f>AB78*AU78</f>
        <v/>
      </c>
      <c r="AX78" s="30">
        <f>AC78*AU78</f>
        <v/>
      </c>
      <c r="AY78" s="31">
        <f>AD78*AU78+AE78*AV78</f>
        <v/>
      </c>
      <c r="AZ78" s="32">
        <f>TRIM(IF(AND(AU78&gt;0,ABS(AU78-AF78)&lt;1E-6),"F1 ","")&amp;IF(AND(AU78&gt;0,ABS(AU78-AG78)&lt;1E-6),"F2 ","")&amp;IF(AY78&gt;=in_f3-1E-6,"F3 ","")&amp;IF(AV78&gt;=in_cap-1E-9,"rate cap",""))</f>
        <v/>
      </c>
      <c r="BA78" s="31">
        <f>Q78*AT78/100</f>
        <v/>
      </c>
      <c r="BB78" s="16">
        <f>MAX(0,MIN(in_cap,IF(AE78&gt;0,(in_f3-AD78*AI78*0/10)/AE78,in_cap)))</f>
        <v/>
      </c>
      <c r="BC78" s="16">
        <f>MAX(0,MIN(in_cap,IF(AE78&gt;0,(in_f3-AD78*AI78*1/10)/AE78,in_cap)))</f>
        <v/>
      </c>
      <c r="BD78" s="16">
        <f>MAX(0,MIN(in_cap,IF(AE78&gt;0,(in_f3-AD78*AI78*2/10)/AE78,in_cap)))</f>
        <v/>
      </c>
      <c r="BE78" s="16">
        <f>MAX(0,MIN(in_cap,IF(AE78&gt;0,(in_f3-AD78*AI78*3/10)/AE78,in_cap)))</f>
        <v/>
      </c>
      <c r="BF78" s="16">
        <f>MAX(0,MIN(in_cap,IF(AE78&gt;0,(in_f3-AD78*AI78*4/10)/AE78,in_cap)))</f>
        <v/>
      </c>
      <c r="BG78" s="16">
        <f>MAX(0,MIN(in_cap,IF(AE78&gt;0,(in_f3-AD78*AI78*5/10)/AE78,in_cap)))</f>
        <v/>
      </c>
      <c r="BH78" s="16">
        <f>MAX(0,MIN(in_cap,IF(AE78&gt;0,(in_f3-AD78*AI78*6/10)/AE78,in_cap)))</f>
        <v/>
      </c>
      <c r="BI78" s="16">
        <f>MAX(0,MIN(in_cap,IF(AE78&gt;0,(in_f3-AD78*AI78*7/10)/AE78,in_cap)))</f>
        <v/>
      </c>
      <c r="BJ78" s="16">
        <f>MAX(0,MIN(in_cap,IF(AE78&gt;0,(in_f3-AD78*AI78*8/10)/AE78,in_cap)))</f>
        <v/>
      </c>
      <c r="BK78" s="16">
        <f>MAX(0,MIN(in_cap,IF(AE78&gt;0,(in_f3-AD78*AI78*9/10)/AE78,in_cap)))</f>
        <v/>
      </c>
      <c r="BL78" s="16">
        <f>MAX(0,MIN(in_cap,IF(AE78&gt;0,(in_f3-AD78*AI78*10/10)/AE78,in_cap)))</f>
        <v/>
      </c>
      <c r="BM78" s="15">
        <f>100*(1-(1-X78*(1-EXP(-((AI78*0/10)+(BB78))/Y78)))*(1-MIN(ABS(in_elas)*W78*R78*(AI78*0/10)/V78,1)))</f>
        <v/>
      </c>
      <c r="BN78" s="15">
        <f>100*(1-(1-X78*(1-EXP(-((AI78*1/10)+(BC78))/Y78)))*(1-MIN(ABS(in_elas)*W78*R78*(AI78*1/10)/V78,1)))</f>
        <v/>
      </c>
      <c r="BO78" s="15">
        <f>100*(1-(1-X78*(1-EXP(-((AI78*2/10)+(BD78))/Y78)))*(1-MIN(ABS(in_elas)*W78*R78*(AI78*2/10)/V78,1)))</f>
        <v/>
      </c>
      <c r="BP78" s="15">
        <f>100*(1-(1-X78*(1-EXP(-((AI78*3/10)+(BE78))/Y78)))*(1-MIN(ABS(in_elas)*W78*R78*(AI78*3/10)/V78,1)))</f>
        <v/>
      </c>
      <c r="BQ78" s="15">
        <f>100*(1-(1-X78*(1-EXP(-((AI78*4/10)+(BF78))/Y78)))*(1-MIN(ABS(in_elas)*W78*R78*(AI78*4/10)/V78,1)))</f>
        <v/>
      </c>
      <c r="BR78" s="15">
        <f>100*(1-(1-X78*(1-EXP(-((AI78*5/10)+(BG78))/Y78)))*(1-MIN(ABS(in_elas)*W78*R78*(AI78*5/10)/V78,1)))</f>
        <v/>
      </c>
      <c r="BS78" s="15">
        <f>100*(1-(1-X78*(1-EXP(-((AI78*6/10)+(BH78))/Y78)))*(1-MIN(ABS(in_elas)*W78*R78*(AI78*6/10)/V78,1)))</f>
        <v/>
      </c>
      <c r="BT78" s="15">
        <f>100*(1-(1-X78*(1-EXP(-((AI78*7/10)+(BI78))/Y78)))*(1-MIN(ABS(in_elas)*W78*R78*(AI78*7/10)/V78,1)))</f>
        <v/>
      </c>
      <c r="BU78" s="15">
        <f>100*(1-(1-X78*(1-EXP(-((AI78*8/10)+(BJ78))/Y78)))*(1-MIN(ABS(in_elas)*W78*R78*(AI78*8/10)/V78,1)))</f>
        <v/>
      </c>
      <c r="BV78" s="15">
        <f>100*(1-(1-X78*(1-EXP(-((AI78*9/10)+(BK78))/Y78)))*(1-MIN(ABS(in_elas)*W78*R78*(AI78*9/10)/V78,1)))</f>
        <v/>
      </c>
      <c r="BW78" s="15">
        <f>100*(1-(1-X78*(1-EXP(-((AI78*10/10)+(BL78))/Y78)))*(1-MIN(ABS(in_elas)*W78*R78*(AI78*10/10)/V78,1)))</f>
        <v/>
      </c>
    </row>
    <row r="79">
      <c r="A79" s="17" t="inlineStr">
        <is>
          <t>JAM</t>
        </is>
      </c>
      <c r="B79" s="17">
        <f>INDEX(Data!$B:$B,MATCH($A79,Data!$A:$A,0))</f>
        <v/>
      </c>
      <c r="C79" s="17">
        <f>INDEX(Data!$D:$D,MATCH($A79,Data!$A:$A,0))</f>
        <v/>
      </c>
      <c r="D79" s="16">
        <f>SUMIFS(Data!$G:$G,Data!$A:$A,$A79,Data!$F:$F,"gen_coal_twh")</f>
        <v/>
      </c>
      <c r="E79" s="16">
        <f>SUMIFS(Data!$G:$G,Data!$A:$A,$A79,Data!$F:$F,"gen_gas_twh")</f>
        <v/>
      </c>
      <c r="F79" s="16">
        <f>SUMIFS(Data!$G:$G,Data!$A:$A,$A79,Data!$F:$F,"gen_oil_twh")</f>
        <v/>
      </c>
      <c r="G79" s="16">
        <f>SUMIFS(Data!$G:$G,Data!$A:$A,$A79,Data!$F:$F,"gen_total_twh")</f>
        <v/>
      </c>
      <c r="H79" s="16">
        <f>SUMIFS(Data!$G:$G,Data!$A:$A,$A79,Data!$F:$F,"em_coal_mt")</f>
        <v/>
      </c>
      <c r="I79" s="16">
        <f>SUMIFS(Data!$G:$G,Data!$A:$A,$A79,Data!$F:$F,"em_gas_mt")</f>
        <v/>
      </c>
      <c r="J79" s="16">
        <f>SUMIFS(Data!$G:$G,Data!$A:$A,$A79,Data!$F:$F,"em_oil_mt")</f>
        <v/>
      </c>
      <c r="K79" s="28">
        <f>IF(COUNTIFS(Data!$A:$A,$A79,Data!$F:$F,"price_electricity_residential_usd_kwh")=0,"",SUMIFS(Data!$G:$G,Data!$A:$A,$A79,Data!$F:$F,"price_electricity_residential_usd_kwh"))</f>
        <v/>
      </c>
      <c r="L79" s="28">
        <f>IF(COUNTIFS(Data!$A:$A,$A79,Data!$F:$F,"price_coal_power_usd_gj")=0,"",SUMIFS(Data!$G:$G,Data!$A:$A,$A79,Data!$F:$F,"price_coal_power_usd_gj"))</f>
        <v/>
      </c>
      <c r="M79" s="28">
        <f>IF(COUNTIFS(Data!$A:$A,$A79,Data!$F:$F,"price_gas_power_usd_gj")=0,"",SUMIFS(Data!$G:$G,Data!$A:$A,$A79,Data!$F:$F,"price_gas_power_usd_gj"))</f>
        <v/>
      </c>
      <c r="N79" s="28">
        <f>IF(COUNTIFS(Data!$A:$A,$A79,Data!$F:$F,"price_gas_industry_usd_gj")=0,"",SUMIFS(Data!$G:$G,Data!$A:$A,$A79,Data!$F:$F,"price_gas_industry_usd_gj"))</f>
        <v/>
      </c>
      <c r="O79" s="28">
        <f>IF(COUNTIFS(Data!$A:$A,$A79,Data!$F:$F,"power_market_structure")=0,"",SUMIFS(Data!$G:$G,Data!$A:$A,$A79,Data!$F:$F,"power_market_structure"))</f>
        <v/>
      </c>
      <c r="P79" s="28">
        <f>IF(COUNTIFS(Data!$A:$A,$A79,Data!$F:$F,"rise_renewable_energy_score")=0,"",SUMIFS(Data!$G:$G,Data!$A:$A,$A79,Data!$F:$F,"rise_renewable_energy_score"))</f>
        <v/>
      </c>
      <c r="Q79" s="16">
        <f>H79+I79+J79</f>
        <v/>
      </c>
      <c r="R79" s="28">
        <f>Q79/G79</f>
        <v/>
      </c>
      <c r="S79" s="28">
        <f>IF(D79&gt;0,H79/D79,0.85)</f>
        <v/>
      </c>
      <c r="T79" s="28">
        <f>IF(E79&gt;0,I79/E79,0.4)</f>
        <v/>
      </c>
      <c r="U79" s="28">
        <f>IF(D79+F79&gt;0,(H79+J79)/(D79+F79),0)</f>
        <v/>
      </c>
      <c r="V79" s="16">
        <f>K79*1000</f>
        <v/>
      </c>
      <c r="W79" s="15">
        <f>IF(O79=3,in_pt3,IF(O79=2,in_pt2,IF(O79=1,in_pt1,IF(C79="High income",in_pt_hi,in_pt_oth))))</f>
        <v/>
      </c>
      <c r="X79" s="28">
        <f>IF(Q79&gt;0,in_kappa*(in_rise_lo+(in_rise_hi-in_rise_lo)*IF(P79="",in_rise_miss,P79)/100)*(D79+F79)*MAX(U79-in_gas_rep*T79,0)/Q79,0)</f>
        <v/>
      </c>
      <c r="Y79" s="16">
        <f>IF(IF(M79="",N79,M79)="",MAX(in_sw_floor,in_sw_miss),MAX(in_sw_floor,(IF(M79="",N79,M79)*in_hr_gas-L79*in_hr_coal)/MAX(S79-T79,0.1)))</f>
        <v/>
      </c>
      <c r="Z79" s="28">
        <f>IF(C79="Low income",in_b40_li,IF(C79="Lower middle income",in_b40_lmi,IF(C79="Upper middle income",in_b40_umi,IF(C79="High income",in_b40_hi,0.03))))</f>
        <v/>
      </c>
      <c r="AA79" s="15">
        <f>(D79+F79)/G79</f>
        <v/>
      </c>
      <c r="AB79" s="28">
        <f>100*W79*R79/V79/in_phase</f>
        <v/>
      </c>
      <c r="AC79" s="29">
        <f>100*Z79*W79*R79/V79*(1-IF(W79&gt;0,MIN(in_rebate/(W79*in_res_sh*in_q40),1),1))</f>
        <v/>
      </c>
      <c r="AD79" s="28">
        <f>IF(AA79&gt;0,100*U79*(1-W79)/(in_whole_sh*V79),0)</f>
        <v/>
      </c>
      <c r="AE79" s="28">
        <f>IF(AA79&gt;0,100*MAX(U79-R79,0)/(in_whole_sh*V79),0)</f>
        <v/>
      </c>
      <c r="AF79" s="16">
        <f>IF(AB79&gt;0,in_f1/AB79,in_cap)</f>
        <v/>
      </c>
      <c r="AG79" s="16">
        <f>IF(AC79&gt;0,in_f2/AC79,in_cap)</f>
        <v/>
      </c>
      <c r="AH79" s="16">
        <f>IF(AD79&gt;0,in_f3/AD79,in_cap)</f>
        <v/>
      </c>
      <c r="AI79" s="16">
        <f>MIN(in_cap,AF79,AG79,AH79)</f>
        <v/>
      </c>
      <c r="AJ79" s="30">
        <f>100*(1-(1-X79*(1-EXP(-((AI79)+(0))/Y79)))*(1-MIN(ABS(in_elas)*W79*R79*(AI79)/V79,1)))</f>
        <v/>
      </c>
      <c r="AK79" s="17">
        <f>IF(AI79&gt;=in_cap-1E-9,"rate cap",TRIM(IF(ABS(AI79-AF79)&lt;1E-9,"F1 ","")&amp;IF(ABS(AI79-AG79)&lt;1E-9,"F2 ","")&amp;IF(ABS(AI79-AH79)&lt;1E-9,"F3","")))</f>
        <v/>
      </c>
      <c r="AL79" s="15">
        <f>100*(1-(1-X79*(1-EXP(-((MIN(in_cap,IF(AB79&gt;0,(in_f1+1)/AB79,in_cap),AG79,AH79))+(0))/Y79)))*(1-MIN(ABS(in_elas)*W79*R79*(MIN(in_cap,IF(AB79&gt;0,(in_f1+1)/AB79,in_cap),AG79,AH79))/V79,1)))-AJ79</f>
        <v/>
      </c>
      <c r="AM79" s="16">
        <f>MIN(in_cap,IF(AE79&gt;0,in_f3/AE79,in_cap))</f>
        <v/>
      </c>
      <c r="AN79" s="30">
        <f>100*(1-(1-X79*(1-EXP(-((0)+(AM79))/Y79)))*(1-MIN(ABS(in_elas)*W79*R79*(0)/V79,1)))</f>
        <v/>
      </c>
      <c r="AO79" s="17">
        <f>IF(AM79&gt;=in_cap-1E-9,"rate cap","F3")</f>
        <v/>
      </c>
      <c r="AP79" s="15">
        <f>100*(1-(1-X79*(1-EXP(-((50)+(0))/Y79)))*(1-MIN(ABS(in_elas)*W79*R79*(50)/V79,1)))</f>
        <v/>
      </c>
      <c r="AQ79" s="15">
        <f>100*(1-(1-X79*(1-EXP(-((0)+(50))/Y79)))*(1-MIN(ABS(in_elas)*W79*R79*(0)/V79,1)))</f>
        <v/>
      </c>
      <c r="AR79" s="15">
        <f>IF(AP79&gt;0,AQ79/AP79,"")</f>
        <v/>
      </c>
      <c r="AS79" s="16">
        <f>50*AB79</f>
        <v/>
      </c>
      <c r="AT79" s="30">
        <f>MAX(BM79:BW79)</f>
        <v/>
      </c>
      <c r="AU79" s="31">
        <f>AI79*(MATCH(AT79,BM79:BW79,0)-1)/10</f>
        <v/>
      </c>
      <c r="AV79" s="31">
        <f>INDEX(BB79:BL79,1,(MATCH(AT79,BM79:BW79,0)-1)+1)</f>
        <v/>
      </c>
      <c r="AW79" s="31">
        <f>AB79*AU79</f>
        <v/>
      </c>
      <c r="AX79" s="30">
        <f>AC79*AU79</f>
        <v/>
      </c>
      <c r="AY79" s="31">
        <f>AD79*AU79+AE79*AV79</f>
        <v/>
      </c>
      <c r="AZ79" s="32">
        <f>TRIM(IF(AND(AU79&gt;0,ABS(AU79-AF79)&lt;1E-6),"F1 ","")&amp;IF(AND(AU79&gt;0,ABS(AU79-AG79)&lt;1E-6),"F2 ","")&amp;IF(AY79&gt;=in_f3-1E-6,"F3 ","")&amp;IF(AV79&gt;=in_cap-1E-9,"rate cap",""))</f>
        <v/>
      </c>
      <c r="BA79" s="31">
        <f>Q79*AT79/100</f>
        <v/>
      </c>
      <c r="BB79" s="16">
        <f>MAX(0,MIN(in_cap,IF(AE79&gt;0,(in_f3-AD79*AI79*0/10)/AE79,in_cap)))</f>
        <v/>
      </c>
      <c r="BC79" s="16">
        <f>MAX(0,MIN(in_cap,IF(AE79&gt;0,(in_f3-AD79*AI79*1/10)/AE79,in_cap)))</f>
        <v/>
      </c>
      <c r="BD79" s="16">
        <f>MAX(0,MIN(in_cap,IF(AE79&gt;0,(in_f3-AD79*AI79*2/10)/AE79,in_cap)))</f>
        <v/>
      </c>
      <c r="BE79" s="16">
        <f>MAX(0,MIN(in_cap,IF(AE79&gt;0,(in_f3-AD79*AI79*3/10)/AE79,in_cap)))</f>
        <v/>
      </c>
      <c r="BF79" s="16">
        <f>MAX(0,MIN(in_cap,IF(AE79&gt;0,(in_f3-AD79*AI79*4/10)/AE79,in_cap)))</f>
        <v/>
      </c>
      <c r="BG79" s="16">
        <f>MAX(0,MIN(in_cap,IF(AE79&gt;0,(in_f3-AD79*AI79*5/10)/AE79,in_cap)))</f>
        <v/>
      </c>
      <c r="BH79" s="16">
        <f>MAX(0,MIN(in_cap,IF(AE79&gt;0,(in_f3-AD79*AI79*6/10)/AE79,in_cap)))</f>
        <v/>
      </c>
      <c r="BI79" s="16">
        <f>MAX(0,MIN(in_cap,IF(AE79&gt;0,(in_f3-AD79*AI79*7/10)/AE79,in_cap)))</f>
        <v/>
      </c>
      <c r="BJ79" s="16">
        <f>MAX(0,MIN(in_cap,IF(AE79&gt;0,(in_f3-AD79*AI79*8/10)/AE79,in_cap)))</f>
        <v/>
      </c>
      <c r="BK79" s="16">
        <f>MAX(0,MIN(in_cap,IF(AE79&gt;0,(in_f3-AD79*AI79*9/10)/AE79,in_cap)))</f>
        <v/>
      </c>
      <c r="BL79" s="16">
        <f>MAX(0,MIN(in_cap,IF(AE79&gt;0,(in_f3-AD79*AI79*10/10)/AE79,in_cap)))</f>
        <v/>
      </c>
      <c r="BM79" s="15">
        <f>100*(1-(1-X79*(1-EXP(-((AI79*0/10)+(BB79))/Y79)))*(1-MIN(ABS(in_elas)*W79*R79*(AI79*0/10)/V79,1)))</f>
        <v/>
      </c>
      <c r="BN79" s="15">
        <f>100*(1-(1-X79*(1-EXP(-((AI79*1/10)+(BC79))/Y79)))*(1-MIN(ABS(in_elas)*W79*R79*(AI79*1/10)/V79,1)))</f>
        <v/>
      </c>
      <c r="BO79" s="15">
        <f>100*(1-(1-X79*(1-EXP(-((AI79*2/10)+(BD79))/Y79)))*(1-MIN(ABS(in_elas)*W79*R79*(AI79*2/10)/V79,1)))</f>
        <v/>
      </c>
      <c r="BP79" s="15">
        <f>100*(1-(1-X79*(1-EXP(-((AI79*3/10)+(BE79))/Y79)))*(1-MIN(ABS(in_elas)*W79*R79*(AI79*3/10)/V79,1)))</f>
        <v/>
      </c>
      <c r="BQ79" s="15">
        <f>100*(1-(1-X79*(1-EXP(-((AI79*4/10)+(BF79))/Y79)))*(1-MIN(ABS(in_elas)*W79*R79*(AI79*4/10)/V79,1)))</f>
        <v/>
      </c>
      <c r="BR79" s="15">
        <f>100*(1-(1-X79*(1-EXP(-((AI79*5/10)+(BG79))/Y79)))*(1-MIN(ABS(in_elas)*W79*R79*(AI79*5/10)/V79,1)))</f>
        <v/>
      </c>
      <c r="BS79" s="15">
        <f>100*(1-(1-X79*(1-EXP(-((AI79*6/10)+(BH79))/Y79)))*(1-MIN(ABS(in_elas)*W79*R79*(AI79*6/10)/V79,1)))</f>
        <v/>
      </c>
      <c r="BT79" s="15">
        <f>100*(1-(1-X79*(1-EXP(-((AI79*7/10)+(BI79))/Y79)))*(1-MIN(ABS(in_elas)*W79*R79*(AI79*7/10)/V79,1)))</f>
        <v/>
      </c>
      <c r="BU79" s="15">
        <f>100*(1-(1-X79*(1-EXP(-((AI79*8/10)+(BJ79))/Y79)))*(1-MIN(ABS(in_elas)*W79*R79*(AI79*8/10)/V79,1)))</f>
        <v/>
      </c>
      <c r="BV79" s="15">
        <f>100*(1-(1-X79*(1-EXP(-((AI79*9/10)+(BK79))/Y79)))*(1-MIN(ABS(in_elas)*W79*R79*(AI79*9/10)/V79,1)))</f>
        <v/>
      </c>
      <c r="BW79" s="15">
        <f>100*(1-(1-X79*(1-EXP(-((AI79*10/10)+(BL79))/Y79)))*(1-MIN(ABS(in_elas)*W79*R79*(AI79*10/10)/V79,1)))</f>
        <v/>
      </c>
    </row>
    <row r="80">
      <c r="A80" s="17" t="inlineStr">
        <is>
          <t>JOR</t>
        </is>
      </c>
      <c r="B80" s="17">
        <f>INDEX(Data!$B:$B,MATCH($A80,Data!$A:$A,0))</f>
        <v/>
      </c>
      <c r="C80" s="17">
        <f>INDEX(Data!$D:$D,MATCH($A80,Data!$A:$A,0))</f>
        <v/>
      </c>
      <c r="D80" s="16">
        <f>SUMIFS(Data!$G:$G,Data!$A:$A,$A80,Data!$F:$F,"gen_coal_twh")</f>
        <v/>
      </c>
      <c r="E80" s="16">
        <f>SUMIFS(Data!$G:$G,Data!$A:$A,$A80,Data!$F:$F,"gen_gas_twh")</f>
        <v/>
      </c>
      <c r="F80" s="16">
        <f>SUMIFS(Data!$G:$G,Data!$A:$A,$A80,Data!$F:$F,"gen_oil_twh")</f>
        <v/>
      </c>
      <c r="G80" s="16">
        <f>SUMIFS(Data!$G:$G,Data!$A:$A,$A80,Data!$F:$F,"gen_total_twh")</f>
        <v/>
      </c>
      <c r="H80" s="16">
        <f>SUMIFS(Data!$G:$G,Data!$A:$A,$A80,Data!$F:$F,"em_coal_mt")</f>
        <v/>
      </c>
      <c r="I80" s="16">
        <f>SUMIFS(Data!$G:$G,Data!$A:$A,$A80,Data!$F:$F,"em_gas_mt")</f>
        <v/>
      </c>
      <c r="J80" s="16">
        <f>SUMIFS(Data!$G:$G,Data!$A:$A,$A80,Data!$F:$F,"em_oil_mt")</f>
        <v/>
      </c>
      <c r="K80" s="28">
        <f>IF(COUNTIFS(Data!$A:$A,$A80,Data!$F:$F,"price_electricity_residential_usd_kwh")=0,"",SUMIFS(Data!$G:$G,Data!$A:$A,$A80,Data!$F:$F,"price_electricity_residential_usd_kwh"))</f>
        <v/>
      </c>
      <c r="L80" s="28">
        <f>IF(COUNTIFS(Data!$A:$A,$A80,Data!$F:$F,"price_coal_power_usd_gj")=0,"",SUMIFS(Data!$G:$G,Data!$A:$A,$A80,Data!$F:$F,"price_coal_power_usd_gj"))</f>
        <v/>
      </c>
      <c r="M80" s="28">
        <f>IF(COUNTIFS(Data!$A:$A,$A80,Data!$F:$F,"price_gas_power_usd_gj")=0,"",SUMIFS(Data!$G:$G,Data!$A:$A,$A80,Data!$F:$F,"price_gas_power_usd_gj"))</f>
        <v/>
      </c>
      <c r="N80" s="28">
        <f>IF(COUNTIFS(Data!$A:$A,$A80,Data!$F:$F,"price_gas_industry_usd_gj")=0,"",SUMIFS(Data!$G:$G,Data!$A:$A,$A80,Data!$F:$F,"price_gas_industry_usd_gj"))</f>
        <v/>
      </c>
      <c r="O80" s="28">
        <f>IF(COUNTIFS(Data!$A:$A,$A80,Data!$F:$F,"power_market_structure")=0,"",SUMIFS(Data!$G:$G,Data!$A:$A,$A80,Data!$F:$F,"power_market_structure"))</f>
        <v/>
      </c>
      <c r="P80" s="28">
        <f>IF(COUNTIFS(Data!$A:$A,$A80,Data!$F:$F,"rise_renewable_energy_score")=0,"",SUMIFS(Data!$G:$G,Data!$A:$A,$A80,Data!$F:$F,"rise_renewable_energy_score"))</f>
        <v/>
      </c>
      <c r="Q80" s="16">
        <f>H80+I80+J80</f>
        <v/>
      </c>
      <c r="R80" s="28">
        <f>Q80/G80</f>
        <v/>
      </c>
      <c r="S80" s="28">
        <f>IF(D80&gt;0,H80/D80,0.85)</f>
        <v/>
      </c>
      <c r="T80" s="28">
        <f>IF(E80&gt;0,I80/E80,0.4)</f>
        <v/>
      </c>
      <c r="U80" s="28">
        <f>IF(D80+F80&gt;0,(H80+J80)/(D80+F80),0)</f>
        <v/>
      </c>
      <c r="V80" s="16">
        <f>K80*1000</f>
        <v/>
      </c>
      <c r="W80" s="15">
        <f>IF(O80=3,in_pt3,IF(O80=2,in_pt2,IF(O80=1,in_pt1,IF(C80="High income",in_pt_hi,in_pt_oth))))</f>
        <v/>
      </c>
      <c r="X80" s="28">
        <f>IF(Q80&gt;0,in_kappa*(in_rise_lo+(in_rise_hi-in_rise_lo)*IF(P80="",in_rise_miss,P80)/100)*(D80+F80)*MAX(U80-in_gas_rep*T80,0)/Q80,0)</f>
        <v/>
      </c>
      <c r="Y80" s="16">
        <f>IF(IF(M80="",N80,M80)="",MAX(in_sw_floor,in_sw_miss),MAX(in_sw_floor,(IF(M80="",N80,M80)*in_hr_gas-L80*in_hr_coal)/MAX(S80-T80,0.1)))</f>
        <v/>
      </c>
      <c r="Z80" s="28">
        <f>IF(C80="Low income",in_b40_li,IF(C80="Lower middle income",in_b40_lmi,IF(C80="Upper middle income",in_b40_umi,IF(C80="High income",in_b40_hi,0.03))))</f>
        <v/>
      </c>
      <c r="AA80" s="15">
        <f>(D80+F80)/G80</f>
        <v/>
      </c>
      <c r="AB80" s="28">
        <f>100*W80*R80/V80/in_phase</f>
        <v/>
      </c>
      <c r="AC80" s="29">
        <f>100*Z80*W80*R80/V80*(1-IF(W80&gt;0,MIN(in_rebate/(W80*in_res_sh*in_q40),1),1))</f>
        <v/>
      </c>
      <c r="AD80" s="28">
        <f>IF(AA80&gt;0,100*U80*(1-W80)/(in_whole_sh*V80),0)</f>
        <v/>
      </c>
      <c r="AE80" s="28">
        <f>IF(AA80&gt;0,100*MAX(U80-R80,0)/(in_whole_sh*V80),0)</f>
        <v/>
      </c>
      <c r="AF80" s="16">
        <f>IF(AB80&gt;0,in_f1/AB80,in_cap)</f>
        <v/>
      </c>
      <c r="AG80" s="16">
        <f>IF(AC80&gt;0,in_f2/AC80,in_cap)</f>
        <v/>
      </c>
      <c r="AH80" s="16">
        <f>IF(AD80&gt;0,in_f3/AD80,in_cap)</f>
        <v/>
      </c>
      <c r="AI80" s="16">
        <f>MIN(in_cap,AF80,AG80,AH80)</f>
        <v/>
      </c>
      <c r="AJ80" s="30">
        <f>100*(1-(1-X80*(1-EXP(-((AI80)+(0))/Y80)))*(1-MIN(ABS(in_elas)*W80*R80*(AI80)/V80,1)))</f>
        <v/>
      </c>
      <c r="AK80" s="17">
        <f>IF(AI80&gt;=in_cap-1E-9,"rate cap",TRIM(IF(ABS(AI80-AF80)&lt;1E-9,"F1 ","")&amp;IF(ABS(AI80-AG80)&lt;1E-9,"F2 ","")&amp;IF(ABS(AI80-AH80)&lt;1E-9,"F3","")))</f>
        <v/>
      </c>
      <c r="AL80" s="15">
        <f>100*(1-(1-X80*(1-EXP(-((MIN(in_cap,IF(AB80&gt;0,(in_f1+1)/AB80,in_cap),AG80,AH80))+(0))/Y80)))*(1-MIN(ABS(in_elas)*W80*R80*(MIN(in_cap,IF(AB80&gt;0,(in_f1+1)/AB80,in_cap),AG80,AH80))/V80,1)))-AJ80</f>
        <v/>
      </c>
      <c r="AM80" s="16">
        <f>MIN(in_cap,IF(AE80&gt;0,in_f3/AE80,in_cap))</f>
        <v/>
      </c>
      <c r="AN80" s="30">
        <f>100*(1-(1-X80*(1-EXP(-((0)+(AM80))/Y80)))*(1-MIN(ABS(in_elas)*W80*R80*(0)/V80,1)))</f>
        <v/>
      </c>
      <c r="AO80" s="17">
        <f>IF(AM80&gt;=in_cap-1E-9,"rate cap","F3")</f>
        <v/>
      </c>
      <c r="AP80" s="15">
        <f>100*(1-(1-X80*(1-EXP(-((50)+(0))/Y80)))*(1-MIN(ABS(in_elas)*W80*R80*(50)/V80,1)))</f>
        <v/>
      </c>
      <c r="AQ80" s="15">
        <f>100*(1-(1-X80*(1-EXP(-((0)+(50))/Y80)))*(1-MIN(ABS(in_elas)*W80*R80*(0)/V80,1)))</f>
        <v/>
      </c>
      <c r="AR80" s="15">
        <f>IF(AP80&gt;0,AQ80/AP80,"")</f>
        <v/>
      </c>
      <c r="AS80" s="16">
        <f>50*AB80</f>
        <v/>
      </c>
      <c r="AT80" s="30">
        <f>MAX(BM80:BW80)</f>
        <v/>
      </c>
      <c r="AU80" s="31">
        <f>AI80*(MATCH(AT80,BM80:BW80,0)-1)/10</f>
        <v/>
      </c>
      <c r="AV80" s="31">
        <f>INDEX(BB80:BL80,1,(MATCH(AT80,BM80:BW80,0)-1)+1)</f>
        <v/>
      </c>
      <c r="AW80" s="31">
        <f>AB80*AU80</f>
        <v/>
      </c>
      <c r="AX80" s="30">
        <f>AC80*AU80</f>
        <v/>
      </c>
      <c r="AY80" s="31">
        <f>AD80*AU80+AE80*AV80</f>
        <v/>
      </c>
      <c r="AZ80" s="32">
        <f>TRIM(IF(AND(AU80&gt;0,ABS(AU80-AF80)&lt;1E-6),"F1 ","")&amp;IF(AND(AU80&gt;0,ABS(AU80-AG80)&lt;1E-6),"F2 ","")&amp;IF(AY80&gt;=in_f3-1E-6,"F3 ","")&amp;IF(AV80&gt;=in_cap-1E-9,"rate cap",""))</f>
        <v/>
      </c>
      <c r="BA80" s="31">
        <f>Q80*AT80/100</f>
        <v/>
      </c>
      <c r="BB80" s="16">
        <f>MAX(0,MIN(in_cap,IF(AE80&gt;0,(in_f3-AD80*AI80*0/10)/AE80,in_cap)))</f>
        <v/>
      </c>
      <c r="BC80" s="16">
        <f>MAX(0,MIN(in_cap,IF(AE80&gt;0,(in_f3-AD80*AI80*1/10)/AE80,in_cap)))</f>
        <v/>
      </c>
      <c r="BD80" s="16">
        <f>MAX(0,MIN(in_cap,IF(AE80&gt;0,(in_f3-AD80*AI80*2/10)/AE80,in_cap)))</f>
        <v/>
      </c>
      <c r="BE80" s="16">
        <f>MAX(0,MIN(in_cap,IF(AE80&gt;0,(in_f3-AD80*AI80*3/10)/AE80,in_cap)))</f>
        <v/>
      </c>
      <c r="BF80" s="16">
        <f>MAX(0,MIN(in_cap,IF(AE80&gt;0,(in_f3-AD80*AI80*4/10)/AE80,in_cap)))</f>
        <v/>
      </c>
      <c r="BG80" s="16">
        <f>MAX(0,MIN(in_cap,IF(AE80&gt;0,(in_f3-AD80*AI80*5/10)/AE80,in_cap)))</f>
        <v/>
      </c>
      <c r="BH80" s="16">
        <f>MAX(0,MIN(in_cap,IF(AE80&gt;0,(in_f3-AD80*AI80*6/10)/AE80,in_cap)))</f>
        <v/>
      </c>
      <c r="BI80" s="16">
        <f>MAX(0,MIN(in_cap,IF(AE80&gt;0,(in_f3-AD80*AI80*7/10)/AE80,in_cap)))</f>
        <v/>
      </c>
      <c r="BJ80" s="16">
        <f>MAX(0,MIN(in_cap,IF(AE80&gt;0,(in_f3-AD80*AI80*8/10)/AE80,in_cap)))</f>
        <v/>
      </c>
      <c r="BK80" s="16">
        <f>MAX(0,MIN(in_cap,IF(AE80&gt;0,(in_f3-AD80*AI80*9/10)/AE80,in_cap)))</f>
        <v/>
      </c>
      <c r="BL80" s="16">
        <f>MAX(0,MIN(in_cap,IF(AE80&gt;0,(in_f3-AD80*AI80*10/10)/AE80,in_cap)))</f>
        <v/>
      </c>
      <c r="BM80" s="15">
        <f>100*(1-(1-X80*(1-EXP(-((AI80*0/10)+(BB80))/Y80)))*(1-MIN(ABS(in_elas)*W80*R80*(AI80*0/10)/V80,1)))</f>
        <v/>
      </c>
      <c r="BN80" s="15">
        <f>100*(1-(1-X80*(1-EXP(-((AI80*1/10)+(BC80))/Y80)))*(1-MIN(ABS(in_elas)*W80*R80*(AI80*1/10)/V80,1)))</f>
        <v/>
      </c>
      <c r="BO80" s="15">
        <f>100*(1-(1-X80*(1-EXP(-((AI80*2/10)+(BD80))/Y80)))*(1-MIN(ABS(in_elas)*W80*R80*(AI80*2/10)/V80,1)))</f>
        <v/>
      </c>
      <c r="BP80" s="15">
        <f>100*(1-(1-X80*(1-EXP(-((AI80*3/10)+(BE80))/Y80)))*(1-MIN(ABS(in_elas)*W80*R80*(AI80*3/10)/V80,1)))</f>
        <v/>
      </c>
      <c r="BQ80" s="15">
        <f>100*(1-(1-X80*(1-EXP(-((AI80*4/10)+(BF80))/Y80)))*(1-MIN(ABS(in_elas)*W80*R80*(AI80*4/10)/V80,1)))</f>
        <v/>
      </c>
      <c r="BR80" s="15">
        <f>100*(1-(1-X80*(1-EXP(-((AI80*5/10)+(BG80))/Y80)))*(1-MIN(ABS(in_elas)*W80*R80*(AI80*5/10)/V80,1)))</f>
        <v/>
      </c>
      <c r="BS80" s="15">
        <f>100*(1-(1-X80*(1-EXP(-((AI80*6/10)+(BH80))/Y80)))*(1-MIN(ABS(in_elas)*W80*R80*(AI80*6/10)/V80,1)))</f>
        <v/>
      </c>
      <c r="BT80" s="15">
        <f>100*(1-(1-X80*(1-EXP(-((AI80*7/10)+(BI80))/Y80)))*(1-MIN(ABS(in_elas)*W80*R80*(AI80*7/10)/V80,1)))</f>
        <v/>
      </c>
      <c r="BU80" s="15">
        <f>100*(1-(1-X80*(1-EXP(-((AI80*8/10)+(BJ80))/Y80)))*(1-MIN(ABS(in_elas)*W80*R80*(AI80*8/10)/V80,1)))</f>
        <v/>
      </c>
      <c r="BV80" s="15">
        <f>100*(1-(1-X80*(1-EXP(-((AI80*9/10)+(BK80))/Y80)))*(1-MIN(ABS(in_elas)*W80*R80*(AI80*9/10)/V80,1)))</f>
        <v/>
      </c>
      <c r="BW80" s="15">
        <f>100*(1-(1-X80*(1-EXP(-((AI80*10/10)+(BL80))/Y80)))*(1-MIN(ABS(in_elas)*W80*R80*(AI80*10/10)/V80,1)))</f>
        <v/>
      </c>
    </row>
    <row r="81">
      <c r="A81" s="17" t="inlineStr">
        <is>
          <t>JPN</t>
        </is>
      </c>
      <c r="B81" s="17">
        <f>INDEX(Data!$B:$B,MATCH($A81,Data!$A:$A,0))</f>
        <v/>
      </c>
      <c r="C81" s="17">
        <f>INDEX(Data!$D:$D,MATCH($A81,Data!$A:$A,0))</f>
        <v/>
      </c>
      <c r="D81" s="16">
        <f>SUMIFS(Data!$G:$G,Data!$A:$A,$A81,Data!$F:$F,"gen_coal_twh")</f>
        <v/>
      </c>
      <c r="E81" s="16">
        <f>SUMIFS(Data!$G:$G,Data!$A:$A,$A81,Data!$F:$F,"gen_gas_twh")</f>
        <v/>
      </c>
      <c r="F81" s="16">
        <f>SUMIFS(Data!$G:$G,Data!$A:$A,$A81,Data!$F:$F,"gen_oil_twh")</f>
        <v/>
      </c>
      <c r="G81" s="16">
        <f>SUMIFS(Data!$G:$G,Data!$A:$A,$A81,Data!$F:$F,"gen_total_twh")</f>
        <v/>
      </c>
      <c r="H81" s="16">
        <f>SUMIFS(Data!$G:$G,Data!$A:$A,$A81,Data!$F:$F,"em_coal_mt")</f>
        <v/>
      </c>
      <c r="I81" s="16">
        <f>SUMIFS(Data!$G:$G,Data!$A:$A,$A81,Data!$F:$F,"em_gas_mt")</f>
        <v/>
      </c>
      <c r="J81" s="16">
        <f>SUMIFS(Data!$G:$G,Data!$A:$A,$A81,Data!$F:$F,"em_oil_mt")</f>
        <v/>
      </c>
      <c r="K81" s="28">
        <f>IF(COUNTIFS(Data!$A:$A,$A81,Data!$F:$F,"price_electricity_residential_usd_kwh")=0,"",SUMIFS(Data!$G:$G,Data!$A:$A,$A81,Data!$F:$F,"price_electricity_residential_usd_kwh"))</f>
        <v/>
      </c>
      <c r="L81" s="28">
        <f>IF(COUNTIFS(Data!$A:$A,$A81,Data!$F:$F,"price_coal_power_usd_gj")=0,"",SUMIFS(Data!$G:$G,Data!$A:$A,$A81,Data!$F:$F,"price_coal_power_usd_gj"))</f>
        <v/>
      </c>
      <c r="M81" s="28">
        <f>IF(COUNTIFS(Data!$A:$A,$A81,Data!$F:$F,"price_gas_power_usd_gj")=0,"",SUMIFS(Data!$G:$G,Data!$A:$A,$A81,Data!$F:$F,"price_gas_power_usd_gj"))</f>
        <v/>
      </c>
      <c r="N81" s="28">
        <f>IF(COUNTIFS(Data!$A:$A,$A81,Data!$F:$F,"price_gas_industry_usd_gj")=0,"",SUMIFS(Data!$G:$G,Data!$A:$A,$A81,Data!$F:$F,"price_gas_industry_usd_gj"))</f>
        <v/>
      </c>
      <c r="O81" s="28">
        <f>IF(COUNTIFS(Data!$A:$A,$A81,Data!$F:$F,"power_market_structure")=0,"",SUMIFS(Data!$G:$G,Data!$A:$A,$A81,Data!$F:$F,"power_market_structure"))</f>
        <v/>
      </c>
      <c r="P81" s="28">
        <f>IF(COUNTIFS(Data!$A:$A,$A81,Data!$F:$F,"rise_renewable_energy_score")=0,"",SUMIFS(Data!$G:$G,Data!$A:$A,$A81,Data!$F:$F,"rise_renewable_energy_score"))</f>
        <v/>
      </c>
      <c r="Q81" s="16">
        <f>H81+I81+J81</f>
        <v/>
      </c>
      <c r="R81" s="28">
        <f>Q81/G81</f>
        <v/>
      </c>
      <c r="S81" s="28">
        <f>IF(D81&gt;0,H81/D81,0.85)</f>
        <v/>
      </c>
      <c r="T81" s="28">
        <f>IF(E81&gt;0,I81/E81,0.4)</f>
        <v/>
      </c>
      <c r="U81" s="28">
        <f>IF(D81+F81&gt;0,(H81+J81)/(D81+F81),0)</f>
        <v/>
      </c>
      <c r="V81" s="16">
        <f>K81*1000</f>
        <v/>
      </c>
      <c r="W81" s="15">
        <f>IF(O81=3,in_pt3,IF(O81=2,in_pt2,IF(O81=1,in_pt1,IF(C81="High income",in_pt_hi,in_pt_oth))))</f>
        <v/>
      </c>
      <c r="X81" s="28">
        <f>IF(Q81&gt;0,in_kappa*(in_rise_lo+(in_rise_hi-in_rise_lo)*IF(P81="",in_rise_miss,P81)/100)*(D81+F81)*MAX(U81-in_gas_rep*T81,0)/Q81,0)</f>
        <v/>
      </c>
      <c r="Y81" s="16">
        <f>IF(IF(M81="",N81,M81)="",MAX(in_sw_floor,in_sw_miss),MAX(in_sw_floor,(IF(M81="",N81,M81)*in_hr_gas-L81*in_hr_coal)/MAX(S81-T81,0.1)))</f>
        <v/>
      </c>
      <c r="Z81" s="28">
        <f>IF(C81="Low income",in_b40_li,IF(C81="Lower middle income",in_b40_lmi,IF(C81="Upper middle income",in_b40_umi,IF(C81="High income",in_b40_hi,0.03))))</f>
        <v/>
      </c>
      <c r="AA81" s="15">
        <f>(D81+F81)/G81</f>
        <v/>
      </c>
      <c r="AB81" s="28">
        <f>100*W81*R81/V81/in_phase</f>
        <v/>
      </c>
      <c r="AC81" s="29">
        <f>100*Z81*W81*R81/V81*(1-IF(W81&gt;0,MIN(in_rebate/(W81*in_res_sh*in_q40),1),1))</f>
        <v/>
      </c>
      <c r="AD81" s="28">
        <f>IF(AA81&gt;0,100*U81*(1-W81)/(in_whole_sh*V81),0)</f>
        <v/>
      </c>
      <c r="AE81" s="28">
        <f>IF(AA81&gt;0,100*MAX(U81-R81,0)/(in_whole_sh*V81),0)</f>
        <v/>
      </c>
      <c r="AF81" s="16">
        <f>IF(AB81&gt;0,in_f1/AB81,in_cap)</f>
        <v/>
      </c>
      <c r="AG81" s="16">
        <f>IF(AC81&gt;0,in_f2/AC81,in_cap)</f>
        <v/>
      </c>
      <c r="AH81" s="16">
        <f>IF(AD81&gt;0,in_f3/AD81,in_cap)</f>
        <v/>
      </c>
      <c r="AI81" s="16">
        <f>MIN(in_cap,AF81,AG81,AH81)</f>
        <v/>
      </c>
      <c r="AJ81" s="30">
        <f>100*(1-(1-X81*(1-EXP(-((AI81)+(0))/Y81)))*(1-MIN(ABS(in_elas)*W81*R81*(AI81)/V81,1)))</f>
        <v/>
      </c>
      <c r="AK81" s="17">
        <f>IF(AI81&gt;=in_cap-1E-9,"rate cap",TRIM(IF(ABS(AI81-AF81)&lt;1E-9,"F1 ","")&amp;IF(ABS(AI81-AG81)&lt;1E-9,"F2 ","")&amp;IF(ABS(AI81-AH81)&lt;1E-9,"F3","")))</f>
        <v/>
      </c>
      <c r="AL81" s="15">
        <f>100*(1-(1-X81*(1-EXP(-((MIN(in_cap,IF(AB81&gt;0,(in_f1+1)/AB81,in_cap),AG81,AH81))+(0))/Y81)))*(1-MIN(ABS(in_elas)*W81*R81*(MIN(in_cap,IF(AB81&gt;0,(in_f1+1)/AB81,in_cap),AG81,AH81))/V81,1)))-AJ81</f>
        <v/>
      </c>
      <c r="AM81" s="16">
        <f>MIN(in_cap,IF(AE81&gt;0,in_f3/AE81,in_cap))</f>
        <v/>
      </c>
      <c r="AN81" s="30">
        <f>100*(1-(1-X81*(1-EXP(-((0)+(AM81))/Y81)))*(1-MIN(ABS(in_elas)*W81*R81*(0)/V81,1)))</f>
        <v/>
      </c>
      <c r="AO81" s="17">
        <f>IF(AM81&gt;=in_cap-1E-9,"rate cap","F3")</f>
        <v/>
      </c>
      <c r="AP81" s="15">
        <f>100*(1-(1-X81*(1-EXP(-((50)+(0))/Y81)))*(1-MIN(ABS(in_elas)*W81*R81*(50)/V81,1)))</f>
        <v/>
      </c>
      <c r="AQ81" s="15">
        <f>100*(1-(1-X81*(1-EXP(-((0)+(50))/Y81)))*(1-MIN(ABS(in_elas)*W81*R81*(0)/V81,1)))</f>
        <v/>
      </c>
      <c r="AR81" s="15">
        <f>IF(AP81&gt;0,AQ81/AP81,"")</f>
        <v/>
      </c>
      <c r="AS81" s="16">
        <f>50*AB81</f>
        <v/>
      </c>
      <c r="AT81" s="30">
        <f>MAX(BM81:BW81)</f>
        <v/>
      </c>
      <c r="AU81" s="31">
        <f>AI81*(MATCH(AT81,BM81:BW81,0)-1)/10</f>
        <v/>
      </c>
      <c r="AV81" s="31">
        <f>INDEX(BB81:BL81,1,(MATCH(AT81,BM81:BW81,0)-1)+1)</f>
        <v/>
      </c>
      <c r="AW81" s="31">
        <f>AB81*AU81</f>
        <v/>
      </c>
      <c r="AX81" s="30">
        <f>AC81*AU81</f>
        <v/>
      </c>
      <c r="AY81" s="31">
        <f>AD81*AU81+AE81*AV81</f>
        <v/>
      </c>
      <c r="AZ81" s="32">
        <f>TRIM(IF(AND(AU81&gt;0,ABS(AU81-AF81)&lt;1E-6),"F1 ","")&amp;IF(AND(AU81&gt;0,ABS(AU81-AG81)&lt;1E-6),"F2 ","")&amp;IF(AY81&gt;=in_f3-1E-6,"F3 ","")&amp;IF(AV81&gt;=in_cap-1E-9,"rate cap",""))</f>
        <v/>
      </c>
      <c r="BA81" s="31">
        <f>Q81*AT81/100</f>
        <v/>
      </c>
      <c r="BB81" s="16">
        <f>MAX(0,MIN(in_cap,IF(AE81&gt;0,(in_f3-AD81*AI81*0/10)/AE81,in_cap)))</f>
        <v/>
      </c>
      <c r="BC81" s="16">
        <f>MAX(0,MIN(in_cap,IF(AE81&gt;0,(in_f3-AD81*AI81*1/10)/AE81,in_cap)))</f>
        <v/>
      </c>
      <c r="BD81" s="16">
        <f>MAX(0,MIN(in_cap,IF(AE81&gt;0,(in_f3-AD81*AI81*2/10)/AE81,in_cap)))</f>
        <v/>
      </c>
      <c r="BE81" s="16">
        <f>MAX(0,MIN(in_cap,IF(AE81&gt;0,(in_f3-AD81*AI81*3/10)/AE81,in_cap)))</f>
        <v/>
      </c>
      <c r="BF81" s="16">
        <f>MAX(0,MIN(in_cap,IF(AE81&gt;0,(in_f3-AD81*AI81*4/10)/AE81,in_cap)))</f>
        <v/>
      </c>
      <c r="BG81" s="16">
        <f>MAX(0,MIN(in_cap,IF(AE81&gt;0,(in_f3-AD81*AI81*5/10)/AE81,in_cap)))</f>
        <v/>
      </c>
      <c r="BH81" s="16">
        <f>MAX(0,MIN(in_cap,IF(AE81&gt;0,(in_f3-AD81*AI81*6/10)/AE81,in_cap)))</f>
        <v/>
      </c>
      <c r="BI81" s="16">
        <f>MAX(0,MIN(in_cap,IF(AE81&gt;0,(in_f3-AD81*AI81*7/10)/AE81,in_cap)))</f>
        <v/>
      </c>
      <c r="BJ81" s="16">
        <f>MAX(0,MIN(in_cap,IF(AE81&gt;0,(in_f3-AD81*AI81*8/10)/AE81,in_cap)))</f>
        <v/>
      </c>
      <c r="BK81" s="16">
        <f>MAX(0,MIN(in_cap,IF(AE81&gt;0,(in_f3-AD81*AI81*9/10)/AE81,in_cap)))</f>
        <v/>
      </c>
      <c r="BL81" s="16">
        <f>MAX(0,MIN(in_cap,IF(AE81&gt;0,(in_f3-AD81*AI81*10/10)/AE81,in_cap)))</f>
        <v/>
      </c>
      <c r="BM81" s="15">
        <f>100*(1-(1-X81*(1-EXP(-((AI81*0/10)+(BB81))/Y81)))*(1-MIN(ABS(in_elas)*W81*R81*(AI81*0/10)/V81,1)))</f>
        <v/>
      </c>
      <c r="BN81" s="15">
        <f>100*(1-(1-X81*(1-EXP(-((AI81*1/10)+(BC81))/Y81)))*(1-MIN(ABS(in_elas)*W81*R81*(AI81*1/10)/V81,1)))</f>
        <v/>
      </c>
      <c r="BO81" s="15">
        <f>100*(1-(1-X81*(1-EXP(-((AI81*2/10)+(BD81))/Y81)))*(1-MIN(ABS(in_elas)*W81*R81*(AI81*2/10)/V81,1)))</f>
        <v/>
      </c>
      <c r="BP81" s="15">
        <f>100*(1-(1-X81*(1-EXP(-((AI81*3/10)+(BE81))/Y81)))*(1-MIN(ABS(in_elas)*W81*R81*(AI81*3/10)/V81,1)))</f>
        <v/>
      </c>
      <c r="BQ81" s="15">
        <f>100*(1-(1-X81*(1-EXP(-((AI81*4/10)+(BF81))/Y81)))*(1-MIN(ABS(in_elas)*W81*R81*(AI81*4/10)/V81,1)))</f>
        <v/>
      </c>
      <c r="BR81" s="15">
        <f>100*(1-(1-X81*(1-EXP(-((AI81*5/10)+(BG81))/Y81)))*(1-MIN(ABS(in_elas)*W81*R81*(AI81*5/10)/V81,1)))</f>
        <v/>
      </c>
      <c r="BS81" s="15">
        <f>100*(1-(1-X81*(1-EXP(-((AI81*6/10)+(BH81))/Y81)))*(1-MIN(ABS(in_elas)*W81*R81*(AI81*6/10)/V81,1)))</f>
        <v/>
      </c>
      <c r="BT81" s="15">
        <f>100*(1-(1-X81*(1-EXP(-((AI81*7/10)+(BI81))/Y81)))*(1-MIN(ABS(in_elas)*W81*R81*(AI81*7/10)/V81,1)))</f>
        <v/>
      </c>
      <c r="BU81" s="15">
        <f>100*(1-(1-X81*(1-EXP(-((AI81*8/10)+(BJ81))/Y81)))*(1-MIN(ABS(in_elas)*W81*R81*(AI81*8/10)/V81,1)))</f>
        <v/>
      </c>
      <c r="BV81" s="15">
        <f>100*(1-(1-X81*(1-EXP(-((AI81*9/10)+(BK81))/Y81)))*(1-MIN(ABS(in_elas)*W81*R81*(AI81*9/10)/V81,1)))</f>
        <v/>
      </c>
      <c r="BW81" s="15">
        <f>100*(1-(1-X81*(1-EXP(-((AI81*10/10)+(BL81))/Y81)))*(1-MIN(ABS(in_elas)*W81*R81*(AI81*10/10)/V81,1)))</f>
        <v/>
      </c>
    </row>
    <row r="82">
      <c r="A82" s="17" t="inlineStr">
        <is>
          <t>KAZ</t>
        </is>
      </c>
      <c r="B82" s="17">
        <f>INDEX(Data!$B:$B,MATCH($A82,Data!$A:$A,0))</f>
        <v/>
      </c>
      <c r="C82" s="17">
        <f>INDEX(Data!$D:$D,MATCH($A82,Data!$A:$A,0))</f>
        <v/>
      </c>
      <c r="D82" s="16">
        <f>SUMIFS(Data!$G:$G,Data!$A:$A,$A82,Data!$F:$F,"gen_coal_twh")</f>
        <v/>
      </c>
      <c r="E82" s="16">
        <f>SUMIFS(Data!$G:$G,Data!$A:$A,$A82,Data!$F:$F,"gen_gas_twh")</f>
        <v/>
      </c>
      <c r="F82" s="16">
        <f>SUMIFS(Data!$G:$G,Data!$A:$A,$A82,Data!$F:$F,"gen_oil_twh")</f>
        <v/>
      </c>
      <c r="G82" s="16">
        <f>SUMIFS(Data!$G:$G,Data!$A:$A,$A82,Data!$F:$F,"gen_total_twh")</f>
        <v/>
      </c>
      <c r="H82" s="16">
        <f>SUMIFS(Data!$G:$G,Data!$A:$A,$A82,Data!$F:$F,"em_coal_mt")</f>
        <v/>
      </c>
      <c r="I82" s="16">
        <f>SUMIFS(Data!$G:$G,Data!$A:$A,$A82,Data!$F:$F,"em_gas_mt")</f>
        <v/>
      </c>
      <c r="J82" s="16">
        <f>SUMIFS(Data!$G:$G,Data!$A:$A,$A82,Data!$F:$F,"em_oil_mt")</f>
        <v/>
      </c>
      <c r="K82" s="28">
        <f>IF(COUNTIFS(Data!$A:$A,$A82,Data!$F:$F,"price_electricity_residential_usd_kwh")=0,"",SUMIFS(Data!$G:$G,Data!$A:$A,$A82,Data!$F:$F,"price_electricity_residential_usd_kwh"))</f>
        <v/>
      </c>
      <c r="L82" s="28">
        <f>IF(COUNTIFS(Data!$A:$A,$A82,Data!$F:$F,"price_coal_power_usd_gj")=0,"",SUMIFS(Data!$G:$G,Data!$A:$A,$A82,Data!$F:$F,"price_coal_power_usd_gj"))</f>
        <v/>
      </c>
      <c r="M82" s="28">
        <f>IF(COUNTIFS(Data!$A:$A,$A82,Data!$F:$F,"price_gas_power_usd_gj")=0,"",SUMIFS(Data!$G:$G,Data!$A:$A,$A82,Data!$F:$F,"price_gas_power_usd_gj"))</f>
        <v/>
      </c>
      <c r="N82" s="28">
        <f>IF(COUNTIFS(Data!$A:$A,$A82,Data!$F:$F,"price_gas_industry_usd_gj")=0,"",SUMIFS(Data!$G:$G,Data!$A:$A,$A82,Data!$F:$F,"price_gas_industry_usd_gj"))</f>
        <v/>
      </c>
      <c r="O82" s="28">
        <f>IF(COUNTIFS(Data!$A:$A,$A82,Data!$F:$F,"power_market_structure")=0,"",SUMIFS(Data!$G:$G,Data!$A:$A,$A82,Data!$F:$F,"power_market_structure"))</f>
        <v/>
      </c>
      <c r="P82" s="28">
        <f>IF(COUNTIFS(Data!$A:$A,$A82,Data!$F:$F,"rise_renewable_energy_score")=0,"",SUMIFS(Data!$G:$G,Data!$A:$A,$A82,Data!$F:$F,"rise_renewable_energy_score"))</f>
        <v/>
      </c>
      <c r="Q82" s="16">
        <f>H82+I82+J82</f>
        <v/>
      </c>
      <c r="R82" s="28">
        <f>Q82/G82</f>
        <v/>
      </c>
      <c r="S82" s="28">
        <f>IF(D82&gt;0,H82/D82,0.85)</f>
        <v/>
      </c>
      <c r="T82" s="28">
        <f>IF(E82&gt;0,I82/E82,0.4)</f>
        <v/>
      </c>
      <c r="U82" s="28">
        <f>IF(D82+F82&gt;0,(H82+J82)/(D82+F82),0)</f>
        <v/>
      </c>
      <c r="V82" s="16">
        <f>K82*1000</f>
        <v/>
      </c>
      <c r="W82" s="15">
        <f>IF(O82=3,in_pt3,IF(O82=2,in_pt2,IF(O82=1,in_pt1,IF(C82="High income",in_pt_hi,in_pt_oth))))</f>
        <v/>
      </c>
      <c r="X82" s="28">
        <f>IF(Q82&gt;0,in_kappa*(in_rise_lo+(in_rise_hi-in_rise_lo)*IF(P82="",in_rise_miss,P82)/100)*(D82+F82)*MAX(U82-in_gas_rep*T82,0)/Q82,0)</f>
        <v/>
      </c>
      <c r="Y82" s="16">
        <f>IF(IF(M82="",N82,M82)="",MAX(in_sw_floor,in_sw_miss),MAX(in_sw_floor,(IF(M82="",N82,M82)*in_hr_gas-L82*in_hr_coal)/MAX(S82-T82,0.1)))</f>
        <v/>
      </c>
      <c r="Z82" s="28">
        <f>IF(C82="Low income",in_b40_li,IF(C82="Lower middle income",in_b40_lmi,IF(C82="Upper middle income",in_b40_umi,IF(C82="High income",in_b40_hi,0.03))))</f>
        <v/>
      </c>
      <c r="AA82" s="15">
        <f>(D82+F82)/G82</f>
        <v/>
      </c>
      <c r="AB82" s="28">
        <f>100*W82*R82/V82/in_phase</f>
        <v/>
      </c>
      <c r="AC82" s="29">
        <f>100*Z82*W82*R82/V82*(1-IF(W82&gt;0,MIN(in_rebate/(W82*in_res_sh*in_q40),1),1))</f>
        <v/>
      </c>
      <c r="AD82" s="28">
        <f>IF(AA82&gt;0,100*U82*(1-W82)/(in_whole_sh*V82),0)</f>
        <v/>
      </c>
      <c r="AE82" s="28">
        <f>IF(AA82&gt;0,100*MAX(U82-R82,0)/(in_whole_sh*V82),0)</f>
        <v/>
      </c>
      <c r="AF82" s="16">
        <f>IF(AB82&gt;0,in_f1/AB82,in_cap)</f>
        <v/>
      </c>
      <c r="AG82" s="16">
        <f>IF(AC82&gt;0,in_f2/AC82,in_cap)</f>
        <v/>
      </c>
      <c r="AH82" s="16">
        <f>IF(AD82&gt;0,in_f3/AD82,in_cap)</f>
        <v/>
      </c>
      <c r="AI82" s="16">
        <f>MIN(in_cap,AF82,AG82,AH82)</f>
        <v/>
      </c>
      <c r="AJ82" s="30">
        <f>100*(1-(1-X82*(1-EXP(-((AI82)+(0))/Y82)))*(1-MIN(ABS(in_elas)*W82*R82*(AI82)/V82,1)))</f>
        <v/>
      </c>
      <c r="AK82" s="17">
        <f>IF(AI82&gt;=in_cap-1E-9,"rate cap",TRIM(IF(ABS(AI82-AF82)&lt;1E-9,"F1 ","")&amp;IF(ABS(AI82-AG82)&lt;1E-9,"F2 ","")&amp;IF(ABS(AI82-AH82)&lt;1E-9,"F3","")))</f>
        <v/>
      </c>
      <c r="AL82" s="15">
        <f>100*(1-(1-X82*(1-EXP(-((MIN(in_cap,IF(AB82&gt;0,(in_f1+1)/AB82,in_cap),AG82,AH82))+(0))/Y82)))*(1-MIN(ABS(in_elas)*W82*R82*(MIN(in_cap,IF(AB82&gt;0,(in_f1+1)/AB82,in_cap),AG82,AH82))/V82,1)))-AJ82</f>
        <v/>
      </c>
      <c r="AM82" s="16">
        <f>MIN(in_cap,IF(AE82&gt;0,in_f3/AE82,in_cap))</f>
        <v/>
      </c>
      <c r="AN82" s="30">
        <f>100*(1-(1-X82*(1-EXP(-((0)+(AM82))/Y82)))*(1-MIN(ABS(in_elas)*W82*R82*(0)/V82,1)))</f>
        <v/>
      </c>
      <c r="AO82" s="17">
        <f>IF(AM82&gt;=in_cap-1E-9,"rate cap","F3")</f>
        <v/>
      </c>
      <c r="AP82" s="15">
        <f>100*(1-(1-X82*(1-EXP(-((50)+(0))/Y82)))*(1-MIN(ABS(in_elas)*W82*R82*(50)/V82,1)))</f>
        <v/>
      </c>
      <c r="AQ82" s="15">
        <f>100*(1-(1-X82*(1-EXP(-((0)+(50))/Y82)))*(1-MIN(ABS(in_elas)*W82*R82*(0)/V82,1)))</f>
        <v/>
      </c>
      <c r="AR82" s="15">
        <f>IF(AP82&gt;0,AQ82/AP82,"")</f>
        <v/>
      </c>
      <c r="AS82" s="16">
        <f>50*AB82</f>
        <v/>
      </c>
      <c r="AT82" s="30">
        <f>MAX(BM82:BW82)</f>
        <v/>
      </c>
      <c r="AU82" s="31">
        <f>AI82*(MATCH(AT82,BM82:BW82,0)-1)/10</f>
        <v/>
      </c>
      <c r="AV82" s="31">
        <f>INDEX(BB82:BL82,1,(MATCH(AT82,BM82:BW82,0)-1)+1)</f>
        <v/>
      </c>
      <c r="AW82" s="31">
        <f>AB82*AU82</f>
        <v/>
      </c>
      <c r="AX82" s="30">
        <f>AC82*AU82</f>
        <v/>
      </c>
      <c r="AY82" s="31">
        <f>AD82*AU82+AE82*AV82</f>
        <v/>
      </c>
      <c r="AZ82" s="32">
        <f>TRIM(IF(AND(AU82&gt;0,ABS(AU82-AF82)&lt;1E-6),"F1 ","")&amp;IF(AND(AU82&gt;0,ABS(AU82-AG82)&lt;1E-6),"F2 ","")&amp;IF(AY82&gt;=in_f3-1E-6,"F3 ","")&amp;IF(AV82&gt;=in_cap-1E-9,"rate cap",""))</f>
        <v/>
      </c>
      <c r="BA82" s="31">
        <f>Q82*AT82/100</f>
        <v/>
      </c>
      <c r="BB82" s="16">
        <f>MAX(0,MIN(in_cap,IF(AE82&gt;0,(in_f3-AD82*AI82*0/10)/AE82,in_cap)))</f>
        <v/>
      </c>
      <c r="BC82" s="16">
        <f>MAX(0,MIN(in_cap,IF(AE82&gt;0,(in_f3-AD82*AI82*1/10)/AE82,in_cap)))</f>
        <v/>
      </c>
      <c r="BD82" s="16">
        <f>MAX(0,MIN(in_cap,IF(AE82&gt;0,(in_f3-AD82*AI82*2/10)/AE82,in_cap)))</f>
        <v/>
      </c>
      <c r="BE82" s="16">
        <f>MAX(0,MIN(in_cap,IF(AE82&gt;0,(in_f3-AD82*AI82*3/10)/AE82,in_cap)))</f>
        <v/>
      </c>
      <c r="BF82" s="16">
        <f>MAX(0,MIN(in_cap,IF(AE82&gt;0,(in_f3-AD82*AI82*4/10)/AE82,in_cap)))</f>
        <v/>
      </c>
      <c r="BG82" s="16">
        <f>MAX(0,MIN(in_cap,IF(AE82&gt;0,(in_f3-AD82*AI82*5/10)/AE82,in_cap)))</f>
        <v/>
      </c>
      <c r="BH82" s="16">
        <f>MAX(0,MIN(in_cap,IF(AE82&gt;0,(in_f3-AD82*AI82*6/10)/AE82,in_cap)))</f>
        <v/>
      </c>
      <c r="BI82" s="16">
        <f>MAX(0,MIN(in_cap,IF(AE82&gt;0,(in_f3-AD82*AI82*7/10)/AE82,in_cap)))</f>
        <v/>
      </c>
      <c r="BJ82" s="16">
        <f>MAX(0,MIN(in_cap,IF(AE82&gt;0,(in_f3-AD82*AI82*8/10)/AE82,in_cap)))</f>
        <v/>
      </c>
      <c r="BK82" s="16">
        <f>MAX(0,MIN(in_cap,IF(AE82&gt;0,(in_f3-AD82*AI82*9/10)/AE82,in_cap)))</f>
        <v/>
      </c>
      <c r="BL82" s="16">
        <f>MAX(0,MIN(in_cap,IF(AE82&gt;0,(in_f3-AD82*AI82*10/10)/AE82,in_cap)))</f>
        <v/>
      </c>
      <c r="BM82" s="15">
        <f>100*(1-(1-X82*(1-EXP(-((AI82*0/10)+(BB82))/Y82)))*(1-MIN(ABS(in_elas)*W82*R82*(AI82*0/10)/V82,1)))</f>
        <v/>
      </c>
      <c r="BN82" s="15">
        <f>100*(1-(1-X82*(1-EXP(-((AI82*1/10)+(BC82))/Y82)))*(1-MIN(ABS(in_elas)*W82*R82*(AI82*1/10)/V82,1)))</f>
        <v/>
      </c>
      <c r="BO82" s="15">
        <f>100*(1-(1-X82*(1-EXP(-((AI82*2/10)+(BD82))/Y82)))*(1-MIN(ABS(in_elas)*W82*R82*(AI82*2/10)/V82,1)))</f>
        <v/>
      </c>
      <c r="BP82" s="15">
        <f>100*(1-(1-X82*(1-EXP(-((AI82*3/10)+(BE82))/Y82)))*(1-MIN(ABS(in_elas)*W82*R82*(AI82*3/10)/V82,1)))</f>
        <v/>
      </c>
      <c r="BQ82" s="15">
        <f>100*(1-(1-X82*(1-EXP(-((AI82*4/10)+(BF82))/Y82)))*(1-MIN(ABS(in_elas)*W82*R82*(AI82*4/10)/V82,1)))</f>
        <v/>
      </c>
      <c r="BR82" s="15">
        <f>100*(1-(1-X82*(1-EXP(-((AI82*5/10)+(BG82))/Y82)))*(1-MIN(ABS(in_elas)*W82*R82*(AI82*5/10)/V82,1)))</f>
        <v/>
      </c>
      <c r="BS82" s="15">
        <f>100*(1-(1-X82*(1-EXP(-((AI82*6/10)+(BH82))/Y82)))*(1-MIN(ABS(in_elas)*W82*R82*(AI82*6/10)/V82,1)))</f>
        <v/>
      </c>
      <c r="BT82" s="15">
        <f>100*(1-(1-X82*(1-EXP(-((AI82*7/10)+(BI82))/Y82)))*(1-MIN(ABS(in_elas)*W82*R82*(AI82*7/10)/V82,1)))</f>
        <v/>
      </c>
      <c r="BU82" s="15">
        <f>100*(1-(1-X82*(1-EXP(-((AI82*8/10)+(BJ82))/Y82)))*(1-MIN(ABS(in_elas)*W82*R82*(AI82*8/10)/V82,1)))</f>
        <v/>
      </c>
      <c r="BV82" s="15">
        <f>100*(1-(1-X82*(1-EXP(-((AI82*9/10)+(BK82))/Y82)))*(1-MIN(ABS(in_elas)*W82*R82*(AI82*9/10)/V82,1)))</f>
        <v/>
      </c>
      <c r="BW82" s="15">
        <f>100*(1-(1-X82*(1-EXP(-((AI82*10/10)+(BL82))/Y82)))*(1-MIN(ABS(in_elas)*W82*R82*(AI82*10/10)/V82,1)))</f>
        <v/>
      </c>
    </row>
    <row r="83">
      <c r="A83" s="17" t="inlineStr">
        <is>
          <t>KEN</t>
        </is>
      </c>
      <c r="B83" s="17">
        <f>INDEX(Data!$B:$B,MATCH($A83,Data!$A:$A,0))</f>
        <v/>
      </c>
      <c r="C83" s="17">
        <f>INDEX(Data!$D:$D,MATCH($A83,Data!$A:$A,0))</f>
        <v/>
      </c>
      <c r="D83" s="16">
        <f>SUMIFS(Data!$G:$G,Data!$A:$A,$A83,Data!$F:$F,"gen_coal_twh")</f>
        <v/>
      </c>
      <c r="E83" s="16">
        <f>SUMIFS(Data!$G:$G,Data!$A:$A,$A83,Data!$F:$F,"gen_gas_twh")</f>
        <v/>
      </c>
      <c r="F83" s="16">
        <f>SUMIFS(Data!$G:$G,Data!$A:$A,$A83,Data!$F:$F,"gen_oil_twh")</f>
        <v/>
      </c>
      <c r="G83" s="16">
        <f>SUMIFS(Data!$G:$G,Data!$A:$A,$A83,Data!$F:$F,"gen_total_twh")</f>
        <v/>
      </c>
      <c r="H83" s="16">
        <f>SUMIFS(Data!$G:$G,Data!$A:$A,$A83,Data!$F:$F,"em_coal_mt")</f>
        <v/>
      </c>
      <c r="I83" s="16">
        <f>SUMIFS(Data!$G:$G,Data!$A:$A,$A83,Data!$F:$F,"em_gas_mt")</f>
        <v/>
      </c>
      <c r="J83" s="16">
        <f>SUMIFS(Data!$G:$G,Data!$A:$A,$A83,Data!$F:$F,"em_oil_mt")</f>
        <v/>
      </c>
      <c r="K83" s="28">
        <f>IF(COUNTIFS(Data!$A:$A,$A83,Data!$F:$F,"price_electricity_residential_usd_kwh")=0,"",SUMIFS(Data!$G:$G,Data!$A:$A,$A83,Data!$F:$F,"price_electricity_residential_usd_kwh"))</f>
        <v/>
      </c>
      <c r="L83" s="28">
        <f>IF(COUNTIFS(Data!$A:$A,$A83,Data!$F:$F,"price_coal_power_usd_gj")=0,"",SUMIFS(Data!$G:$G,Data!$A:$A,$A83,Data!$F:$F,"price_coal_power_usd_gj"))</f>
        <v/>
      </c>
      <c r="M83" s="28">
        <f>IF(COUNTIFS(Data!$A:$A,$A83,Data!$F:$F,"price_gas_power_usd_gj")=0,"",SUMIFS(Data!$G:$G,Data!$A:$A,$A83,Data!$F:$F,"price_gas_power_usd_gj"))</f>
        <v/>
      </c>
      <c r="N83" s="28">
        <f>IF(COUNTIFS(Data!$A:$A,$A83,Data!$F:$F,"price_gas_industry_usd_gj")=0,"",SUMIFS(Data!$G:$G,Data!$A:$A,$A83,Data!$F:$F,"price_gas_industry_usd_gj"))</f>
        <v/>
      </c>
      <c r="O83" s="28">
        <f>IF(COUNTIFS(Data!$A:$A,$A83,Data!$F:$F,"power_market_structure")=0,"",SUMIFS(Data!$G:$G,Data!$A:$A,$A83,Data!$F:$F,"power_market_structure"))</f>
        <v/>
      </c>
      <c r="P83" s="28">
        <f>IF(COUNTIFS(Data!$A:$A,$A83,Data!$F:$F,"rise_renewable_energy_score")=0,"",SUMIFS(Data!$G:$G,Data!$A:$A,$A83,Data!$F:$F,"rise_renewable_energy_score"))</f>
        <v/>
      </c>
      <c r="Q83" s="16">
        <f>H83+I83+J83</f>
        <v/>
      </c>
      <c r="R83" s="28">
        <f>Q83/G83</f>
        <v/>
      </c>
      <c r="S83" s="28">
        <f>IF(D83&gt;0,H83/D83,0.85)</f>
        <v/>
      </c>
      <c r="T83" s="28">
        <f>IF(E83&gt;0,I83/E83,0.4)</f>
        <v/>
      </c>
      <c r="U83" s="28">
        <f>IF(D83+F83&gt;0,(H83+J83)/(D83+F83),0)</f>
        <v/>
      </c>
      <c r="V83" s="16">
        <f>K83*1000</f>
        <v/>
      </c>
      <c r="W83" s="15">
        <f>IF(O83=3,in_pt3,IF(O83=2,in_pt2,IF(O83=1,in_pt1,IF(C83="High income",in_pt_hi,in_pt_oth))))</f>
        <v/>
      </c>
      <c r="X83" s="28">
        <f>IF(Q83&gt;0,in_kappa*(in_rise_lo+(in_rise_hi-in_rise_lo)*IF(P83="",in_rise_miss,P83)/100)*(D83+F83)*MAX(U83-in_gas_rep*T83,0)/Q83,0)</f>
        <v/>
      </c>
      <c r="Y83" s="16">
        <f>IF(IF(M83="",N83,M83)="",MAX(in_sw_floor,in_sw_miss),MAX(in_sw_floor,(IF(M83="",N83,M83)*in_hr_gas-L83*in_hr_coal)/MAX(S83-T83,0.1)))</f>
        <v/>
      </c>
      <c r="Z83" s="28">
        <f>IF(C83="Low income",in_b40_li,IF(C83="Lower middle income",in_b40_lmi,IF(C83="Upper middle income",in_b40_umi,IF(C83="High income",in_b40_hi,0.03))))</f>
        <v/>
      </c>
      <c r="AA83" s="15">
        <f>(D83+F83)/G83</f>
        <v/>
      </c>
      <c r="AB83" s="28">
        <f>100*W83*R83/V83/in_phase</f>
        <v/>
      </c>
      <c r="AC83" s="29">
        <f>100*Z83*W83*R83/V83*(1-IF(W83&gt;0,MIN(in_rebate/(W83*in_res_sh*in_q40),1),1))</f>
        <v/>
      </c>
      <c r="AD83" s="28">
        <f>IF(AA83&gt;0,100*U83*(1-W83)/(in_whole_sh*V83),0)</f>
        <v/>
      </c>
      <c r="AE83" s="28">
        <f>IF(AA83&gt;0,100*MAX(U83-R83,0)/(in_whole_sh*V83),0)</f>
        <v/>
      </c>
      <c r="AF83" s="16">
        <f>IF(AB83&gt;0,in_f1/AB83,in_cap)</f>
        <v/>
      </c>
      <c r="AG83" s="16">
        <f>IF(AC83&gt;0,in_f2/AC83,in_cap)</f>
        <v/>
      </c>
      <c r="AH83" s="16">
        <f>IF(AD83&gt;0,in_f3/AD83,in_cap)</f>
        <v/>
      </c>
      <c r="AI83" s="16">
        <f>MIN(in_cap,AF83,AG83,AH83)</f>
        <v/>
      </c>
      <c r="AJ83" s="30">
        <f>100*(1-(1-X83*(1-EXP(-((AI83)+(0))/Y83)))*(1-MIN(ABS(in_elas)*W83*R83*(AI83)/V83,1)))</f>
        <v/>
      </c>
      <c r="AK83" s="17">
        <f>IF(AI83&gt;=in_cap-1E-9,"rate cap",TRIM(IF(ABS(AI83-AF83)&lt;1E-9,"F1 ","")&amp;IF(ABS(AI83-AG83)&lt;1E-9,"F2 ","")&amp;IF(ABS(AI83-AH83)&lt;1E-9,"F3","")))</f>
        <v/>
      </c>
      <c r="AL83" s="15">
        <f>100*(1-(1-X83*(1-EXP(-((MIN(in_cap,IF(AB83&gt;0,(in_f1+1)/AB83,in_cap),AG83,AH83))+(0))/Y83)))*(1-MIN(ABS(in_elas)*W83*R83*(MIN(in_cap,IF(AB83&gt;0,(in_f1+1)/AB83,in_cap),AG83,AH83))/V83,1)))-AJ83</f>
        <v/>
      </c>
      <c r="AM83" s="16">
        <f>MIN(in_cap,IF(AE83&gt;0,in_f3/AE83,in_cap))</f>
        <v/>
      </c>
      <c r="AN83" s="30">
        <f>100*(1-(1-X83*(1-EXP(-((0)+(AM83))/Y83)))*(1-MIN(ABS(in_elas)*W83*R83*(0)/V83,1)))</f>
        <v/>
      </c>
      <c r="AO83" s="17">
        <f>IF(AM83&gt;=in_cap-1E-9,"rate cap","F3")</f>
        <v/>
      </c>
      <c r="AP83" s="15">
        <f>100*(1-(1-X83*(1-EXP(-((50)+(0))/Y83)))*(1-MIN(ABS(in_elas)*W83*R83*(50)/V83,1)))</f>
        <v/>
      </c>
      <c r="AQ83" s="15">
        <f>100*(1-(1-X83*(1-EXP(-((0)+(50))/Y83)))*(1-MIN(ABS(in_elas)*W83*R83*(0)/V83,1)))</f>
        <v/>
      </c>
      <c r="AR83" s="15">
        <f>IF(AP83&gt;0,AQ83/AP83,"")</f>
        <v/>
      </c>
      <c r="AS83" s="16">
        <f>50*AB83</f>
        <v/>
      </c>
      <c r="AT83" s="30">
        <f>MAX(BM83:BW83)</f>
        <v/>
      </c>
      <c r="AU83" s="31">
        <f>AI83*(MATCH(AT83,BM83:BW83,0)-1)/10</f>
        <v/>
      </c>
      <c r="AV83" s="31">
        <f>INDEX(BB83:BL83,1,(MATCH(AT83,BM83:BW83,0)-1)+1)</f>
        <v/>
      </c>
      <c r="AW83" s="31">
        <f>AB83*AU83</f>
        <v/>
      </c>
      <c r="AX83" s="30">
        <f>AC83*AU83</f>
        <v/>
      </c>
      <c r="AY83" s="31">
        <f>AD83*AU83+AE83*AV83</f>
        <v/>
      </c>
      <c r="AZ83" s="32">
        <f>TRIM(IF(AND(AU83&gt;0,ABS(AU83-AF83)&lt;1E-6),"F1 ","")&amp;IF(AND(AU83&gt;0,ABS(AU83-AG83)&lt;1E-6),"F2 ","")&amp;IF(AY83&gt;=in_f3-1E-6,"F3 ","")&amp;IF(AV83&gt;=in_cap-1E-9,"rate cap",""))</f>
        <v/>
      </c>
      <c r="BA83" s="31">
        <f>Q83*AT83/100</f>
        <v/>
      </c>
      <c r="BB83" s="16">
        <f>MAX(0,MIN(in_cap,IF(AE83&gt;0,(in_f3-AD83*AI83*0/10)/AE83,in_cap)))</f>
        <v/>
      </c>
      <c r="BC83" s="16">
        <f>MAX(0,MIN(in_cap,IF(AE83&gt;0,(in_f3-AD83*AI83*1/10)/AE83,in_cap)))</f>
        <v/>
      </c>
      <c r="BD83" s="16">
        <f>MAX(0,MIN(in_cap,IF(AE83&gt;0,(in_f3-AD83*AI83*2/10)/AE83,in_cap)))</f>
        <v/>
      </c>
      <c r="BE83" s="16">
        <f>MAX(0,MIN(in_cap,IF(AE83&gt;0,(in_f3-AD83*AI83*3/10)/AE83,in_cap)))</f>
        <v/>
      </c>
      <c r="BF83" s="16">
        <f>MAX(0,MIN(in_cap,IF(AE83&gt;0,(in_f3-AD83*AI83*4/10)/AE83,in_cap)))</f>
        <v/>
      </c>
      <c r="BG83" s="16">
        <f>MAX(0,MIN(in_cap,IF(AE83&gt;0,(in_f3-AD83*AI83*5/10)/AE83,in_cap)))</f>
        <v/>
      </c>
      <c r="BH83" s="16">
        <f>MAX(0,MIN(in_cap,IF(AE83&gt;0,(in_f3-AD83*AI83*6/10)/AE83,in_cap)))</f>
        <v/>
      </c>
      <c r="BI83" s="16">
        <f>MAX(0,MIN(in_cap,IF(AE83&gt;0,(in_f3-AD83*AI83*7/10)/AE83,in_cap)))</f>
        <v/>
      </c>
      <c r="BJ83" s="16">
        <f>MAX(0,MIN(in_cap,IF(AE83&gt;0,(in_f3-AD83*AI83*8/10)/AE83,in_cap)))</f>
        <v/>
      </c>
      <c r="BK83" s="16">
        <f>MAX(0,MIN(in_cap,IF(AE83&gt;0,(in_f3-AD83*AI83*9/10)/AE83,in_cap)))</f>
        <v/>
      </c>
      <c r="BL83" s="16">
        <f>MAX(0,MIN(in_cap,IF(AE83&gt;0,(in_f3-AD83*AI83*10/10)/AE83,in_cap)))</f>
        <v/>
      </c>
      <c r="BM83" s="15">
        <f>100*(1-(1-X83*(1-EXP(-((AI83*0/10)+(BB83))/Y83)))*(1-MIN(ABS(in_elas)*W83*R83*(AI83*0/10)/V83,1)))</f>
        <v/>
      </c>
      <c r="BN83" s="15">
        <f>100*(1-(1-X83*(1-EXP(-((AI83*1/10)+(BC83))/Y83)))*(1-MIN(ABS(in_elas)*W83*R83*(AI83*1/10)/V83,1)))</f>
        <v/>
      </c>
      <c r="BO83" s="15">
        <f>100*(1-(1-X83*(1-EXP(-((AI83*2/10)+(BD83))/Y83)))*(1-MIN(ABS(in_elas)*W83*R83*(AI83*2/10)/V83,1)))</f>
        <v/>
      </c>
      <c r="BP83" s="15">
        <f>100*(1-(1-X83*(1-EXP(-((AI83*3/10)+(BE83))/Y83)))*(1-MIN(ABS(in_elas)*W83*R83*(AI83*3/10)/V83,1)))</f>
        <v/>
      </c>
      <c r="BQ83" s="15">
        <f>100*(1-(1-X83*(1-EXP(-((AI83*4/10)+(BF83))/Y83)))*(1-MIN(ABS(in_elas)*W83*R83*(AI83*4/10)/V83,1)))</f>
        <v/>
      </c>
      <c r="BR83" s="15">
        <f>100*(1-(1-X83*(1-EXP(-((AI83*5/10)+(BG83))/Y83)))*(1-MIN(ABS(in_elas)*W83*R83*(AI83*5/10)/V83,1)))</f>
        <v/>
      </c>
      <c r="BS83" s="15">
        <f>100*(1-(1-X83*(1-EXP(-((AI83*6/10)+(BH83))/Y83)))*(1-MIN(ABS(in_elas)*W83*R83*(AI83*6/10)/V83,1)))</f>
        <v/>
      </c>
      <c r="BT83" s="15">
        <f>100*(1-(1-X83*(1-EXP(-((AI83*7/10)+(BI83))/Y83)))*(1-MIN(ABS(in_elas)*W83*R83*(AI83*7/10)/V83,1)))</f>
        <v/>
      </c>
      <c r="BU83" s="15">
        <f>100*(1-(1-X83*(1-EXP(-((AI83*8/10)+(BJ83))/Y83)))*(1-MIN(ABS(in_elas)*W83*R83*(AI83*8/10)/V83,1)))</f>
        <v/>
      </c>
      <c r="BV83" s="15">
        <f>100*(1-(1-X83*(1-EXP(-((AI83*9/10)+(BK83))/Y83)))*(1-MIN(ABS(in_elas)*W83*R83*(AI83*9/10)/V83,1)))</f>
        <v/>
      </c>
      <c r="BW83" s="15">
        <f>100*(1-(1-X83*(1-EXP(-((AI83*10/10)+(BL83))/Y83)))*(1-MIN(ABS(in_elas)*W83*R83*(AI83*10/10)/V83,1)))</f>
        <v/>
      </c>
    </row>
    <row r="84">
      <c r="A84" s="17" t="inlineStr">
        <is>
          <t>KGZ</t>
        </is>
      </c>
      <c r="B84" s="17">
        <f>INDEX(Data!$B:$B,MATCH($A84,Data!$A:$A,0))</f>
        <v/>
      </c>
      <c r="C84" s="17">
        <f>INDEX(Data!$D:$D,MATCH($A84,Data!$A:$A,0))</f>
        <v/>
      </c>
      <c r="D84" s="16">
        <f>SUMIFS(Data!$G:$G,Data!$A:$A,$A84,Data!$F:$F,"gen_coal_twh")</f>
        <v/>
      </c>
      <c r="E84" s="16">
        <f>SUMIFS(Data!$G:$G,Data!$A:$A,$A84,Data!$F:$F,"gen_gas_twh")</f>
        <v/>
      </c>
      <c r="F84" s="16">
        <f>SUMIFS(Data!$G:$G,Data!$A:$A,$A84,Data!$F:$F,"gen_oil_twh")</f>
        <v/>
      </c>
      <c r="G84" s="16">
        <f>SUMIFS(Data!$G:$G,Data!$A:$A,$A84,Data!$F:$F,"gen_total_twh")</f>
        <v/>
      </c>
      <c r="H84" s="16">
        <f>SUMIFS(Data!$G:$G,Data!$A:$A,$A84,Data!$F:$F,"em_coal_mt")</f>
        <v/>
      </c>
      <c r="I84" s="16">
        <f>SUMIFS(Data!$G:$G,Data!$A:$A,$A84,Data!$F:$F,"em_gas_mt")</f>
        <v/>
      </c>
      <c r="J84" s="16">
        <f>SUMIFS(Data!$G:$G,Data!$A:$A,$A84,Data!$F:$F,"em_oil_mt")</f>
        <v/>
      </c>
      <c r="K84" s="28">
        <f>IF(COUNTIFS(Data!$A:$A,$A84,Data!$F:$F,"price_electricity_residential_usd_kwh")=0,"",SUMIFS(Data!$G:$G,Data!$A:$A,$A84,Data!$F:$F,"price_electricity_residential_usd_kwh"))</f>
        <v/>
      </c>
      <c r="L84" s="28">
        <f>IF(COUNTIFS(Data!$A:$A,$A84,Data!$F:$F,"price_coal_power_usd_gj")=0,"",SUMIFS(Data!$G:$G,Data!$A:$A,$A84,Data!$F:$F,"price_coal_power_usd_gj"))</f>
        <v/>
      </c>
      <c r="M84" s="28">
        <f>IF(COUNTIFS(Data!$A:$A,$A84,Data!$F:$F,"price_gas_power_usd_gj")=0,"",SUMIFS(Data!$G:$G,Data!$A:$A,$A84,Data!$F:$F,"price_gas_power_usd_gj"))</f>
        <v/>
      </c>
      <c r="N84" s="28">
        <f>IF(COUNTIFS(Data!$A:$A,$A84,Data!$F:$F,"price_gas_industry_usd_gj")=0,"",SUMIFS(Data!$G:$G,Data!$A:$A,$A84,Data!$F:$F,"price_gas_industry_usd_gj"))</f>
        <v/>
      </c>
      <c r="O84" s="28">
        <f>IF(COUNTIFS(Data!$A:$A,$A84,Data!$F:$F,"power_market_structure")=0,"",SUMIFS(Data!$G:$G,Data!$A:$A,$A84,Data!$F:$F,"power_market_structure"))</f>
        <v/>
      </c>
      <c r="P84" s="28">
        <f>IF(COUNTIFS(Data!$A:$A,$A84,Data!$F:$F,"rise_renewable_energy_score")=0,"",SUMIFS(Data!$G:$G,Data!$A:$A,$A84,Data!$F:$F,"rise_renewable_energy_score"))</f>
        <v/>
      </c>
      <c r="Q84" s="16">
        <f>H84+I84+J84</f>
        <v/>
      </c>
      <c r="R84" s="28">
        <f>Q84/G84</f>
        <v/>
      </c>
      <c r="S84" s="28">
        <f>IF(D84&gt;0,H84/D84,0.85)</f>
        <v/>
      </c>
      <c r="T84" s="28">
        <f>IF(E84&gt;0,I84/E84,0.4)</f>
        <v/>
      </c>
      <c r="U84" s="28">
        <f>IF(D84+F84&gt;0,(H84+J84)/(D84+F84),0)</f>
        <v/>
      </c>
      <c r="V84" s="16">
        <f>K84*1000</f>
        <v/>
      </c>
      <c r="W84" s="15">
        <f>IF(O84=3,in_pt3,IF(O84=2,in_pt2,IF(O84=1,in_pt1,IF(C84="High income",in_pt_hi,in_pt_oth))))</f>
        <v/>
      </c>
      <c r="X84" s="28">
        <f>IF(Q84&gt;0,in_kappa*(in_rise_lo+(in_rise_hi-in_rise_lo)*IF(P84="",in_rise_miss,P84)/100)*(D84+F84)*MAX(U84-in_gas_rep*T84,0)/Q84,0)</f>
        <v/>
      </c>
      <c r="Y84" s="16">
        <f>IF(IF(M84="",N84,M84)="",MAX(in_sw_floor,in_sw_miss),MAX(in_sw_floor,(IF(M84="",N84,M84)*in_hr_gas-L84*in_hr_coal)/MAX(S84-T84,0.1)))</f>
        <v/>
      </c>
      <c r="Z84" s="28">
        <f>IF(C84="Low income",in_b40_li,IF(C84="Lower middle income",in_b40_lmi,IF(C84="Upper middle income",in_b40_umi,IF(C84="High income",in_b40_hi,0.03))))</f>
        <v/>
      </c>
      <c r="AA84" s="15">
        <f>(D84+F84)/G84</f>
        <v/>
      </c>
      <c r="AB84" s="28">
        <f>100*W84*R84/V84/in_phase</f>
        <v/>
      </c>
      <c r="AC84" s="29">
        <f>100*Z84*W84*R84/V84*(1-IF(W84&gt;0,MIN(in_rebate/(W84*in_res_sh*in_q40),1),1))</f>
        <v/>
      </c>
      <c r="AD84" s="28">
        <f>IF(AA84&gt;0,100*U84*(1-W84)/(in_whole_sh*V84),0)</f>
        <v/>
      </c>
      <c r="AE84" s="28">
        <f>IF(AA84&gt;0,100*MAX(U84-R84,0)/(in_whole_sh*V84),0)</f>
        <v/>
      </c>
      <c r="AF84" s="16">
        <f>IF(AB84&gt;0,in_f1/AB84,in_cap)</f>
        <v/>
      </c>
      <c r="AG84" s="16">
        <f>IF(AC84&gt;0,in_f2/AC84,in_cap)</f>
        <v/>
      </c>
      <c r="AH84" s="16">
        <f>IF(AD84&gt;0,in_f3/AD84,in_cap)</f>
        <v/>
      </c>
      <c r="AI84" s="16">
        <f>MIN(in_cap,AF84,AG84,AH84)</f>
        <v/>
      </c>
      <c r="AJ84" s="30">
        <f>100*(1-(1-X84*(1-EXP(-((AI84)+(0))/Y84)))*(1-MIN(ABS(in_elas)*W84*R84*(AI84)/V84,1)))</f>
        <v/>
      </c>
      <c r="AK84" s="17">
        <f>IF(AI84&gt;=in_cap-1E-9,"rate cap",TRIM(IF(ABS(AI84-AF84)&lt;1E-9,"F1 ","")&amp;IF(ABS(AI84-AG84)&lt;1E-9,"F2 ","")&amp;IF(ABS(AI84-AH84)&lt;1E-9,"F3","")))</f>
        <v/>
      </c>
      <c r="AL84" s="15">
        <f>100*(1-(1-X84*(1-EXP(-((MIN(in_cap,IF(AB84&gt;0,(in_f1+1)/AB84,in_cap),AG84,AH84))+(0))/Y84)))*(1-MIN(ABS(in_elas)*W84*R84*(MIN(in_cap,IF(AB84&gt;0,(in_f1+1)/AB84,in_cap),AG84,AH84))/V84,1)))-AJ84</f>
        <v/>
      </c>
      <c r="AM84" s="16">
        <f>MIN(in_cap,IF(AE84&gt;0,in_f3/AE84,in_cap))</f>
        <v/>
      </c>
      <c r="AN84" s="30">
        <f>100*(1-(1-X84*(1-EXP(-((0)+(AM84))/Y84)))*(1-MIN(ABS(in_elas)*W84*R84*(0)/V84,1)))</f>
        <v/>
      </c>
      <c r="AO84" s="17">
        <f>IF(AM84&gt;=in_cap-1E-9,"rate cap","F3")</f>
        <v/>
      </c>
      <c r="AP84" s="15">
        <f>100*(1-(1-X84*(1-EXP(-((50)+(0))/Y84)))*(1-MIN(ABS(in_elas)*W84*R84*(50)/V84,1)))</f>
        <v/>
      </c>
      <c r="AQ84" s="15">
        <f>100*(1-(1-X84*(1-EXP(-((0)+(50))/Y84)))*(1-MIN(ABS(in_elas)*W84*R84*(0)/V84,1)))</f>
        <v/>
      </c>
      <c r="AR84" s="15">
        <f>IF(AP84&gt;0,AQ84/AP84,"")</f>
        <v/>
      </c>
      <c r="AS84" s="16">
        <f>50*AB84</f>
        <v/>
      </c>
      <c r="AT84" s="30">
        <f>MAX(BM84:BW84)</f>
        <v/>
      </c>
      <c r="AU84" s="31">
        <f>AI84*(MATCH(AT84,BM84:BW84,0)-1)/10</f>
        <v/>
      </c>
      <c r="AV84" s="31">
        <f>INDEX(BB84:BL84,1,(MATCH(AT84,BM84:BW84,0)-1)+1)</f>
        <v/>
      </c>
      <c r="AW84" s="31">
        <f>AB84*AU84</f>
        <v/>
      </c>
      <c r="AX84" s="30">
        <f>AC84*AU84</f>
        <v/>
      </c>
      <c r="AY84" s="31">
        <f>AD84*AU84+AE84*AV84</f>
        <v/>
      </c>
      <c r="AZ84" s="32">
        <f>TRIM(IF(AND(AU84&gt;0,ABS(AU84-AF84)&lt;1E-6),"F1 ","")&amp;IF(AND(AU84&gt;0,ABS(AU84-AG84)&lt;1E-6),"F2 ","")&amp;IF(AY84&gt;=in_f3-1E-6,"F3 ","")&amp;IF(AV84&gt;=in_cap-1E-9,"rate cap",""))</f>
        <v/>
      </c>
      <c r="BA84" s="31">
        <f>Q84*AT84/100</f>
        <v/>
      </c>
      <c r="BB84" s="16">
        <f>MAX(0,MIN(in_cap,IF(AE84&gt;0,(in_f3-AD84*AI84*0/10)/AE84,in_cap)))</f>
        <v/>
      </c>
      <c r="BC84" s="16">
        <f>MAX(0,MIN(in_cap,IF(AE84&gt;0,(in_f3-AD84*AI84*1/10)/AE84,in_cap)))</f>
        <v/>
      </c>
      <c r="BD84" s="16">
        <f>MAX(0,MIN(in_cap,IF(AE84&gt;0,(in_f3-AD84*AI84*2/10)/AE84,in_cap)))</f>
        <v/>
      </c>
      <c r="BE84" s="16">
        <f>MAX(0,MIN(in_cap,IF(AE84&gt;0,(in_f3-AD84*AI84*3/10)/AE84,in_cap)))</f>
        <v/>
      </c>
      <c r="BF84" s="16">
        <f>MAX(0,MIN(in_cap,IF(AE84&gt;0,(in_f3-AD84*AI84*4/10)/AE84,in_cap)))</f>
        <v/>
      </c>
      <c r="BG84" s="16">
        <f>MAX(0,MIN(in_cap,IF(AE84&gt;0,(in_f3-AD84*AI84*5/10)/AE84,in_cap)))</f>
        <v/>
      </c>
      <c r="BH84" s="16">
        <f>MAX(0,MIN(in_cap,IF(AE84&gt;0,(in_f3-AD84*AI84*6/10)/AE84,in_cap)))</f>
        <v/>
      </c>
      <c r="BI84" s="16">
        <f>MAX(0,MIN(in_cap,IF(AE84&gt;0,(in_f3-AD84*AI84*7/10)/AE84,in_cap)))</f>
        <v/>
      </c>
      <c r="BJ84" s="16">
        <f>MAX(0,MIN(in_cap,IF(AE84&gt;0,(in_f3-AD84*AI84*8/10)/AE84,in_cap)))</f>
        <v/>
      </c>
      <c r="BK84" s="16">
        <f>MAX(0,MIN(in_cap,IF(AE84&gt;0,(in_f3-AD84*AI84*9/10)/AE84,in_cap)))</f>
        <v/>
      </c>
      <c r="BL84" s="16">
        <f>MAX(0,MIN(in_cap,IF(AE84&gt;0,(in_f3-AD84*AI84*10/10)/AE84,in_cap)))</f>
        <v/>
      </c>
      <c r="BM84" s="15">
        <f>100*(1-(1-X84*(1-EXP(-((AI84*0/10)+(BB84))/Y84)))*(1-MIN(ABS(in_elas)*W84*R84*(AI84*0/10)/V84,1)))</f>
        <v/>
      </c>
      <c r="BN84" s="15">
        <f>100*(1-(1-X84*(1-EXP(-((AI84*1/10)+(BC84))/Y84)))*(1-MIN(ABS(in_elas)*W84*R84*(AI84*1/10)/V84,1)))</f>
        <v/>
      </c>
      <c r="BO84" s="15">
        <f>100*(1-(1-X84*(1-EXP(-((AI84*2/10)+(BD84))/Y84)))*(1-MIN(ABS(in_elas)*W84*R84*(AI84*2/10)/V84,1)))</f>
        <v/>
      </c>
      <c r="BP84" s="15">
        <f>100*(1-(1-X84*(1-EXP(-((AI84*3/10)+(BE84))/Y84)))*(1-MIN(ABS(in_elas)*W84*R84*(AI84*3/10)/V84,1)))</f>
        <v/>
      </c>
      <c r="BQ84" s="15">
        <f>100*(1-(1-X84*(1-EXP(-((AI84*4/10)+(BF84))/Y84)))*(1-MIN(ABS(in_elas)*W84*R84*(AI84*4/10)/V84,1)))</f>
        <v/>
      </c>
      <c r="BR84" s="15">
        <f>100*(1-(1-X84*(1-EXP(-((AI84*5/10)+(BG84))/Y84)))*(1-MIN(ABS(in_elas)*W84*R84*(AI84*5/10)/V84,1)))</f>
        <v/>
      </c>
      <c r="BS84" s="15">
        <f>100*(1-(1-X84*(1-EXP(-((AI84*6/10)+(BH84))/Y84)))*(1-MIN(ABS(in_elas)*W84*R84*(AI84*6/10)/V84,1)))</f>
        <v/>
      </c>
      <c r="BT84" s="15">
        <f>100*(1-(1-X84*(1-EXP(-((AI84*7/10)+(BI84))/Y84)))*(1-MIN(ABS(in_elas)*W84*R84*(AI84*7/10)/V84,1)))</f>
        <v/>
      </c>
      <c r="BU84" s="15">
        <f>100*(1-(1-X84*(1-EXP(-((AI84*8/10)+(BJ84))/Y84)))*(1-MIN(ABS(in_elas)*W84*R84*(AI84*8/10)/V84,1)))</f>
        <v/>
      </c>
      <c r="BV84" s="15">
        <f>100*(1-(1-X84*(1-EXP(-((AI84*9/10)+(BK84))/Y84)))*(1-MIN(ABS(in_elas)*W84*R84*(AI84*9/10)/V84,1)))</f>
        <v/>
      </c>
      <c r="BW84" s="15">
        <f>100*(1-(1-X84*(1-EXP(-((AI84*10/10)+(BL84))/Y84)))*(1-MIN(ABS(in_elas)*W84*R84*(AI84*10/10)/V84,1)))</f>
        <v/>
      </c>
    </row>
    <row r="85">
      <c r="A85" s="17" t="inlineStr">
        <is>
          <t>KHM</t>
        </is>
      </c>
      <c r="B85" s="17">
        <f>INDEX(Data!$B:$B,MATCH($A85,Data!$A:$A,0))</f>
        <v/>
      </c>
      <c r="C85" s="17">
        <f>INDEX(Data!$D:$D,MATCH($A85,Data!$A:$A,0))</f>
        <v/>
      </c>
      <c r="D85" s="16">
        <f>SUMIFS(Data!$G:$G,Data!$A:$A,$A85,Data!$F:$F,"gen_coal_twh")</f>
        <v/>
      </c>
      <c r="E85" s="16">
        <f>SUMIFS(Data!$G:$G,Data!$A:$A,$A85,Data!$F:$F,"gen_gas_twh")</f>
        <v/>
      </c>
      <c r="F85" s="16">
        <f>SUMIFS(Data!$G:$G,Data!$A:$A,$A85,Data!$F:$F,"gen_oil_twh")</f>
        <v/>
      </c>
      <c r="G85" s="16">
        <f>SUMIFS(Data!$G:$G,Data!$A:$A,$A85,Data!$F:$F,"gen_total_twh")</f>
        <v/>
      </c>
      <c r="H85" s="16">
        <f>SUMIFS(Data!$G:$G,Data!$A:$A,$A85,Data!$F:$F,"em_coal_mt")</f>
        <v/>
      </c>
      <c r="I85" s="16">
        <f>SUMIFS(Data!$G:$G,Data!$A:$A,$A85,Data!$F:$F,"em_gas_mt")</f>
        <v/>
      </c>
      <c r="J85" s="16">
        <f>SUMIFS(Data!$G:$G,Data!$A:$A,$A85,Data!$F:$F,"em_oil_mt")</f>
        <v/>
      </c>
      <c r="K85" s="28">
        <f>IF(COUNTIFS(Data!$A:$A,$A85,Data!$F:$F,"price_electricity_residential_usd_kwh")=0,"",SUMIFS(Data!$G:$G,Data!$A:$A,$A85,Data!$F:$F,"price_electricity_residential_usd_kwh"))</f>
        <v/>
      </c>
      <c r="L85" s="28">
        <f>IF(COUNTIFS(Data!$A:$A,$A85,Data!$F:$F,"price_coal_power_usd_gj")=0,"",SUMIFS(Data!$G:$G,Data!$A:$A,$A85,Data!$F:$F,"price_coal_power_usd_gj"))</f>
        <v/>
      </c>
      <c r="M85" s="28">
        <f>IF(COUNTIFS(Data!$A:$A,$A85,Data!$F:$F,"price_gas_power_usd_gj")=0,"",SUMIFS(Data!$G:$G,Data!$A:$A,$A85,Data!$F:$F,"price_gas_power_usd_gj"))</f>
        <v/>
      </c>
      <c r="N85" s="28">
        <f>IF(COUNTIFS(Data!$A:$A,$A85,Data!$F:$F,"price_gas_industry_usd_gj")=0,"",SUMIFS(Data!$G:$G,Data!$A:$A,$A85,Data!$F:$F,"price_gas_industry_usd_gj"))</f>
        <v/>
      </c>
      <c r="O85" s="28">
        <f>IF(COUNTIFS(Data!$A:$A,$A85,Data!$F:$F,"power_market_structure")=0,"",SUMIFS(Data!$G:$G,Data!$A:$A,$A85,Data!$F:$F,"power_market_structure"))</f>
        <v/>
      </c>
      <c r="P85" s="28">
        <f>IF(COUNTIFS(Data!$A:$A,$A85,Data!$F:$F,"rise_renewable_energy_score")=0,"",SUMIFS(Data!$G:$G,Data!$A:$A,$A85,Data!$F:$F,"rise_renewable_energy_score"))</f>
        <v/>
      </c>
      <c r="Q85" s="16">
        <f>H85+I85+J85</f>
        <v/>
      </c>
      <c r="R85" s="28">
        <f>Q85/G85</f>
        <v/>
      </c>
      <c r="S85" s="28">
        <f>IF(D85&gt;0,H85/D85,0.85)</f>
        <v/>
      </c>
      <c r="T85" s="28">
        <f>IF(E85&gt;0,I85/E85,0.4)</f>
        <v/>
      </c>
      <c r="U85" s="28">
        <f>IF(D85+F85&gt;0,(H85+J85)/(D85+F85),0)</f>
        <v/>
      </c>
      <c r="V85" s="16">
        <f>K85*1000</f>
        <v/>
      </c>
      <c r="W85" s="15">
        <f>IF(O85=3,in_pt3,IF(O85=2,in_pt2,IF(O85=1,in_pt1,IF(C85="High income",in_pt_hi,in_pt_oth))))</f>
        <v/>
      </c>
      <c r="X85" s="28">
        <f>IF(Q85&gt;0,in_kappa*(in_rise_lo+(in_rise_hi-in_rise_lo)*IF(P85="",in_rise_miss,P85)/100)*(D85+F85)*MAX(U85-in_gas_rep*T85,0)/Q85,0)</f>
        <v/>
      </c>
      <c r="Y85" s="16">
        <f>IF(IF(M85="",N85,M85)="",MAX(in_sw_floor,in_sw_miss),MAX(in_sw_floor,(IF(M85="",N85,M85)*in_hr_gas-L85*in_hr_coal)/MAX(S85-T85,0.1)))</f>
        <v/>
      </c>
      <c r="Z85" s="28">
        <f>IF(C85="Low income",in_b40_li,IF(C85="Lower middle income",in_b40_lmi,IF(C85="Upper middle income",in_b40_umi,IF(C85="High income",in_b40_hi,0.03))))</f>
        <v/>
      </c>
      <c r="AA85" s="15">
        <f>(D85+F85)/G85</f>
        <v/>
      </c>
      <c r="AB85" s="28">
        <f>100*W85*R85/V85/in_phase</f>
        <v/>
      </c>
      <c r="AC85" s="29">
        <f>100*Z85*W85*R85/V85*(1-IF(W85&gt;0,MIN(in_rebate/(W85*in_res_sh*in_q40),1),1))</f>
        <v/>
      </c>
      <c r="AD85" s="28">
        <f>IF(AA85&gt;0,100*U85*(1-W85)/(in_whole_sh*V85),0)</f>
        <v/>
      </c>
      <c r="AE85" s="28">
        <f>IF(AA85&gt;0,100*MAX(U85-R85,0)/(in_whole_sh*V85),0)</f>
        <v/>
      </c>
      <c r="AF85" s="16">
        <f>IF(AB85&gt;0,in_f1/AB85,in_cap)</f>
        <v/>
      </c>
      <c r="AG85" s="16">
        <f>IF(AC85&gt;0,in_f2/AC85,in_cap)</f>
        <v/>
      </c>
      <c r="AH85" s="16">
        <f>IF(AD85&gt;0,in_f3/AD85,in_cap)</f>
        <v/>
      </c>
      <c r="AI85" s="16">
        <f>MIN(in_cap,AF85,AG85,AH85)</f>
        <v/>
      </c>
      <c r="AJ85" s="30">
        <f>100*(1-(1-X85*(1-EXP(-((AI85)+(0))/Y85)))*(1-MIN(ABS(in_elas)*W85*R85*(AI85)/V85,1)))</f>
        <v/>
      </c>
      <c r="AK85" s="17">
        <f>IF(AI85&gt;=in_cap-1E-9,"rate cap",TRIM(IF(ABS(AI85-AF85)&lt;1E-9,"F1 ","")&amp;IF(ABS(AI85-AG85)&lt;1E-9,"F2 ","")&amp;IF(ABS(AI85-AH85)&lt;1E-9,"F3","")))</f>
        <v/>
      </c>
      <c r="AL85" s="15">
        <f>100*(1-(1-X85*(1-EXP(-((MIN(in_cap,IF(AB85&gt;0,(in_f1+1)/AB85,in_cap),AG85,AH85))+(0))/Y85)))*(1-MIN(ABS(in_elas)*W85*R85*(MIN(in_cap,IF(AB85&gt;0,(in_f1+1)/AB85,in_cap),AG85,AH85))/V85,1)))-AJ85</f>
        <v/>
      </c>
      <c r="AM85" s="16">
        <f>MIN(in_cap,IF(AE85&gt;0,in_f3/AE85,in_cap))</f>
        <v/>
      </c>
      <c r="AN85" s="30">
        <f>100*(1-(1-X85*(1-EXP(-((0)+(AM85))/Y85)))*(1-MIN(ABS(in_elas)*W85*R85*(0)/V85,1)))</f>
        <v/>
      </c>
      <c r="AO85" s="17">
        <f>IF(AM85&gt;=in_cap-1E-9,"rate cap","F3")</f>
        <v/>
      </c>
      <c r="AP85" s="15">
        <f>100*(1-(1-X85*(1-EXP(-((50)+(0))/Y85)))*(1-MIN(ABS(in_elas)*W85*R85*(50)/V85,1)))</f>
        <v/>
      </c>
      <c r="AQ85" s="15">
        <f>100*(1-(1-X85*(1-EXP(-((0)+(50))/Y85)))*(1-MIN(ABS(in_elas)*W85*R85*(0)/V85,1)))</f>
        <v/>
      </c>
      <c r="AR85" s="15">
        <f>IF(AP85&gt;0,AQ85/AP85,"")</f>
        <v/>
      </c>
      <c r="AS85" s="16">
        <f>50*AB85</f>
        <v/>
      </c>
      <c r="AT85" s="30">
        <f>MAX(BM85:BW85)</f>
        <v/>
      </c>
      <c r="AU85" s="31">
        <f>AI85*(MATCH(AT85,BM85:BW85,0)-1)/10</f>
        <v/>
      </c>
      <c r="AV85" s="31">
        <f>INDEX(BB85:BL85,1,(MATCH(AT85,BM85:BW85,0)-1)+1)</f>
        <v/>
      </c>
      <c r="AW85" s="31">
        <f>AB85*AU85</f>
        <v/>
      </c>
      <c r="AX85" s="30">
        <f>AC85*AU85</f>
        <v/>
      </c>
      <c r="AY85" s="31">
        <f>AD85*AU85+AE85*AV85</f>
        <v/>
      </c>
      <c r="AZ85" s="32">
        <f>TRIM(IF(AND(AU85&gt;0,ABS(AU85-AF85)&lt;1E-6),"F1 ","")&amp;IF(AND(AU85&gt;0,ABS(AU85-AG85)&lt;1E-6),"F2 ","")&amp;IF(AY85&gt;=in_f3-1E-6,"F3 ","")&amp;IF(AV85&gt;=in_cap-1E-9,"rate cap",""))</f>
        <v/>
      </c>
      <c r="BA85" s="31">
        <f>Q85*AT85/100</f>
        <v/>
      </c>
      <c r="BB85" s="16">
        <f>MAX(0,MIN(in_cap,IF(AE85&gt;0,(in_f3-AD85*AI85*0/10)/AE85,in_cap)))</f>
        <v/>
      </c>
      <c r="BC85" s="16">
        <f>MAX(0,MIN(in_cap,IF(AE85&gt;0,(in_f3-AD85*AI85*1/10)/AE85,in_cap)))</f>
        <v/>
      </c>
      <c r="BD85" s="16">
        <f>MAX(0,MIN(in_cap,IF(AE85&gt;0,(in_f3-AD85*AI85*2/10)/AE85,in_cap)))</f>
        <v/>
      </c>
      <c r="BE85" s="16">
        <f>MAX(0,MIN(in_cap,IF(AE85&gt;0,(in_f3-AD85*AI85*3/10)/AE85,in_cap)))</f>
        <v/>
      </c>
      <c r="BF85" s="16">
        <f>MAX(0,MIN(in_cap,IF(AE85&gt;0,(in_f3-AD85*AI85*4/10)/AE85,in_cap)))</f>
        <v/>
      </c>
      <c r="BG85" s="16">
        <f>MAX(0,MIN(in_cap,IF(AE85&gt;0,(in_f3-AD85*AI85*5/10)/AE85,in_cap)))</f>
        <v/>
      </c>
      <c r="BH85" s="16">
        <f>MAX(0,MIN(in_cap,IF(AE85&gt;0,(in_f3-AD85*AI85*6/10)/AE85,in_cap)))</f>
        <v/>
      </c>
      <c r="BI85" s="16">
        <f>MAX(0,MIN(in_cap,IF(AE85&gt;0,(in_f3-AD85*AI85*7/10)/AE85,in_cap)))</f>
        <v/>
      </c>
      <c r="BJ85" s="16">
        <f>MAX(0,MIN(in_cap,IF(AE85&gt;0,(in_f3-AD85*AI85*8/10)/AE85,in_cap)))</f>
        <v/>
      </c>
      <c r="BK85" s="16">
        <f>MAX(0,MIN(in_cap,IF(AE85&gt;0,(in_f3-AD85*AI85*9/10)/AE85,in_cap)))</f>
        <v/>
      </c>
      <c r="BL85" s="16">
        <f>MAX(0,MIN(in_cap,IF(AE85&gt;0,(in_f3-AD85*AI85*10/10)/AE85,in_cap)))</f>
        <v/>
      </c>
      <c r="BM85" s="15">
        <f>100*(1-(1-X85*(1-EXP(-((AI85*0/10)+(BB85))/Y85)))*(1-MIN(ABS(in_elas)*W85*R85*(AI85*0/10)/V85,1)))</f>
        <v/>
      </c>
      <c r="BN85" s="15">
        <f>100*(1-(1-X85*(1-EXP(-((AI85*1/10)+(BC85))/Y85)))*(1-MIN(ABS(in_elas)*W85*R85*(AI85*1/10)/V85,1)))</f>
        <v/>
      </c>
      <c r="BO85" s="15">
        <f>100*(1-(1-X85*(1-EXP(-((AI85*2/10)+(BD85))/Y85)))*(1-MIN(ABS(in_elas)*W85*R85*(AI85*2/10)/V85,1)))</f>
        <v/>
      </c>
      <c r="BP85" s="15">
        <f>100*(1-(1-X85*(1-EXP(-((AI85*3/10)+(BE85))/Y85)))*(1-MIN(ABS(in_elas)*W85*R85*(AI85*3/10)/V85,1)))</f>
        <v/>
      </c>
      <c r="BQ85" s="15">
        <f>100*(1-(1-X85*(1-EXP(-((AI85*4/10)+(BF85))/Y85)))*(1-MIN(ABS(in_elas)*W85*R85*(AI85*4/10)/V85,1)))</f>
        <v/>
      </c>
      <c r="BR85" s="15">
        <f>100*(1-(1-X85*(1-EXP(-((AI85*5/10)+(BG85))/Y85)))*(1-MIN(ABS(in_elas)*W85*R85*(AI85*5/10)/V85,1)))</f>
        <v/>
      </c>
      <c r="BS85" s="15">
        <f>100*(1-(1-X85*(1-EXP(-((AI85*6/10)+(BH85))/Y85)))*(1-MIN(ABS(in_elas)*W85*R85*(AI85*6/10)/V85,1)))</f>
        <v/>
      </c>
      <c r="BT85" s="15">
        <f>100*(1-(1-X85*(1-EXP(-((AI85*7/10)+(BI85))/Y85)))*(1-MIN(ABS(in_elas)*W85*R85*(AI85*7/10)/V85,1)))</f>
        <v/>
      </c>
      <c r="BU85" s="15">
        <f>100*(1-(1-X85*(1-EXP(-((AI85*8/10)+(BJ85))/Y85)))*(1-MIN(ABS(in_elas)*W85*R85*(AI85*8/10)/V85,1)))</f>
        <v/>
      </c>
      <c r="BV85" s="15">
        <f>100*(1-(1-X85*(1-EXP(-((AI85*9/10)+(BK85))/Y85)))*(1-MIN(ABS(in_elas)*W85*R85*(AI85*9/10)/V85,1)))</f>
        <v/>
      </c>
      <c r="BW85" s="15">
        <f>100*(1-(1-X85*(1-EXP(-((AI85*10/10)+(BL85))/Y85)))*(1-MIN(ABS(in_elas)*W85*R85*(AI85*10/10)/V85,1)))</f>
        <v/>
      </c>
    </row>
    <row r="86">
      <c r="A86" s="17" t="inlineStr">
        <is>
          <t>KNA</t>
        </is>
      </c>
      <c r="B86" s="17">
        <f>INDEX(Data!$B:$B,MATCH($A86,Data!$A:$A,0))</f>
        <v/>
      </c>
      <c r="C86" s="17">
        <f>INDEX(Data!$D:$D,MATCH($A86,Data!$A:$A,0))</f>
        <v/>
      </c>
      <c r="D86" s="16">
        <f>SUMIFS(Data!$G:$G,Data!$A:$A,$A86,Data!$F:$F,"gen_coal_twh")</f>
        <v/>
      </c>
      <c r="E86" s="16">
        <f>SUMIFS(Data!$G:$G,Data!$A:$A,$A86,Data!$F:$F,"gen_gas_twh")</f>
        <v/>
      </c>
      <c r="F86" s="16">
        <f>SUMIFS(Data!$G:$G,Data!$A:$A,$A86,Data!$F:$F,"gen_oil_twh")</f>
        <v/>
      </c>
      <c r="G86" s="16">
        <f>SUMIFS(Data!$G:$G,Data!$A:$A,$A86,Data!$F:$F,"gen_total_twh")</f>
        <v/>
      </c>
      <c r="H86" s="16">
        <f>SUMIFS(Data!$G:$G,Data!$A:$A,$A86,Data!$F:$F,"em_coal_mt")</f>
        <v/>
      </c>
      <c r="I86" s="16">
        <f>SUMIFS(Data!$G:$G,Data!$A:$A,$A86,Data!$F:$F,"em_gas_mt")</f>
        <v/>
      </c>
      <c r="J86" s="16">
        <f>SUMIFS(Data!$G:$G,Data!$A:$A,$A86,Data!$F:$F,"em_oil_mt")</f>
        <v/>
      </c>
      <c r="K86" s="28">
        <f>IF(COUNTIFS(Data!$A:$A,$A86,Data!$F:$F,"price_electricity_residential_usd_kwh")=0,"",SUMIFS(Data!$G:$G,Data!$A:$A,$A86,Data!$F:$F,"price_electricity_residential_usd_kwh"))</f>
        <v/>
      </c>
      <c r="L86" s="28">
        <f>IF(COUNTIFS(Data!$A:$A,$A86,Data!$F:$F,"price_coal_power_usd_gj")=0,"",SUMIFS(Data!$G:$G,Data!$A:$A,$A86,Data!$F:$F,"price_coal_power_usd_gj"))</f>
        <v/>
      </c>
      <c r="M86" s="28">
        <f>IF(COUNTIFS(Data!$A:$A,$A86,Data!$F:$F,"price_gas_power_usd_gj")=0,"",SUMIFS(Data!$G:$G,Data!$A:$A,$A86,Data!$F:$F,"price_gas_power_usd_gj"))</f>
        <v/>
      </c>
      <c r="N86" s="28">
        <f>IF(COUNTIFS(Data!$A:$A,$A86,Data!$F:$F,"price_gas_industry_usd_gj")=0,"",SUMIFS(Data!$G:$G,Data!$A:$A,$A86,Data!$F:$F,"price_gas_industry_usd_gj"))</f>
        <v/>
      </c>
      <c r="O86" s="28">
        <f>IF(COUNTIFS(Data!$A:$A,$A86,Data!$F:$F,"power_market_structure")=0,"",SUMIFS(Data!$G:$G,Data!$A:$A,$A86,Data!$F:$F,"power_market_structure"))</f>
        <v/>
      </c>
      <c r="P86" s="28">
        <f>IF(COUNTIFS(Data!$A:$A,$A86,Data!$F:$F,"rise_renewable_energy_score")=0,"",SUMIFS(Data!$G:$G,Data!$A:$A,$A86,Data!$F:$F,"rise_renewable_energy_score"))</f>
        <v/>
      </c>
      <c r="Q86" s="16">
        <f>H86+I86+J86</f>
        <v/>
      </c>
      <c r="R86" s="28">
        <f>Q86/G86</f>
        <v/>
      </c>
      <c r="S86" s="28">
        <f>IF(D86&gt;0,H86/D86,0.85)</f>
        <v/>
      </c>
      <c r="T86" s="28">
        <f>IF(E86&gt;0,I86/E86,0.4)</f>
        <v/>
      </c>
      <c r="U86" s="28">
        <f>IF(D86+F86&gt;0,(H86+J86)/(D86+F86),0)</f>
        <v/>
      </c>
      <c r="V86" s="16">
        <f>K86*1000</f>
        <v/>
      </c>
      <c r="W86" s="15">
        <f>IF(O86=3,in_pt3,IF(O86=2,in_pt2,IF(O86=1,in_pt1,IF(C86="High income",in_pt_hi,in_pt_oth))))</f>
        <v/>
      </c>
      <c r="X86" s="28">
        <f>IF(Q86&gt;0,in_kappa*(in_rise_lo+(in_rise_hi-in_rise_lo)*IF(P86="",in_rise_miss,P86)/100)*(D86+F86)*MAX(U86-in_gas_rep*T86,0)/Q86,0)</f>
        <v/>
      </c>
      <c r="Y86" s="16">
        <f>IF(IF(M86="",N86,M86)="",MAX(in_sw_floor,in_sw_miss),MAX(in_sw_floor,(IF(M86="",N86,M86)*in_hr_gas-L86*in_hr_coal)/MAX(S86-T86,0.1)))</f>
        <v/>
      </c>
      <c r="Z86" s="28">
        <f>IF(C86="Low income",in_b40_li,IF(C86="Lower middle income",in_b40_lmi,IF(C86="Upper middle income",in_b40_umi,IF(C86="High income",in_b40_hi,0.03))))</f>
        <v/>
      </c>
      <c r="AA86" s="15">
        <f>(D86+F86)/G86</f>
        <v/>
      </c>
      <c r="AB86" s="28">
        <f>100*W86*R86/V86/in_phase</f>
        <v/>
      </c>
      <c r="AC86" s="29">
        <f>100*Z86*W86*R86/V86*(1-IF(W86&gt;0,MIN(in_rebate/(W86*in_res_sh*in_q40),1),1))</f>
        <v/>
      </c>
      <c r="AD86" s="28">
        <f>IF(AA86&gt;0,100*U86*(1-W86)/(in_whole_sh*V86),0)</f>
        <v/>
      </c>
      <c r="AE86" s="28">
        <f>IF(AA86&gt;0,100*MAX(U86-R86,0)/(in_whole_sh*V86),0)</f>
        <v/>
      </c>
      <c r="AF86" s="16">
        <f>IF(AB86&gt;0,in_f1/AB86,in_cap)</f>
        <v/>
      </c>
      <c r="AG86" s="16">
        <f>IF(AC86&gt;0,in_f2/AC86,in_cap)</f>
        <v/>
      </c>
      <c r="AH86" s="16">
        <f>IF(AD86&gt;0,in_f3/AD86,in_cap)</f>
        <v/>
      </c>
      <c r="AI86" s="16">
        <f>MIN(in_cap,AF86,AG86,AH86)</f>
        <v/>
      </c>
      <c r="AJ86" s="30">
        <f>100*(1-(1-X86*(1-EXP(-((AI86)+(0))/Y86)))*(1-MIN(ABS(in_elas)*W86*R86*(AI86)/V86,1)))</f>
        <v/>
      </c>
      <c r="AK86" s="17">
        <f>IF(AI86&gt;=in_cap-1E-9,"rate cap",TRIM(IF(ABS(AI86-AF86)&lt;1E-9,"F1 ","")&amp;IF(ABS(AI86-AG86)&lt;1E-9,"F2 ","")&amp;IF(ABS(AI86-AH86)&lt;1E-9,"F3","")))</f>
        <v/>
      </c>
      <c r="AL86" s="15">
        <f>100*(1-(1-X86*(1-EXP(-((MIN(in_cap,IF(AB86&gt;0,(in_f1+1)/AB86,in_cap),AG86,AH86))+(0))/Y86)))*(1-MIN(ABS(in_elas)*W86*R86*(MIN(in_cap,IF(AB86&gt;0,(in_f1+1)/AB86,in_cap),AG86,AH86))/V86,1)))-AJ86</f>
        <v/>
      </c>
      <c r="AM86" s="16">
        <f>MIN(in_cap,IF(AE86&gt;0,in_f3/AE86,in_cap))</f>
        <v/>
      </c>
      <c r="AN86" s="30">
        <f>100*(1-(1-X86*(1-EXP(-((0)+(AM86))/Y86)))*(1-MIN(ABS(in_elas)*W86*R86*(0)/V86,1)))</f>
        <v/>
      </c>
      <c r="AO86" s="17">
        <f>IF(AM86&gt;=in_cap-1E-9,"rate cap","F3")</f>
        <v/>
      </c>
      <c r="AP86" s="15">
        <f>100*(1-(1-X86*(1-EXP(-((50)+(0))/Y86)))*(1-MIN(ABS(in_elas)*W86*R86*(50)/V86,1)))</f>
        <v/>
      </c>
      <c r="AQ86" s="15">
        <f>100*(1-(1-X86*(1-EXP(-((0)+(50))/Y86)))*(1-MIN(ABS(in_elas)*W86*R86*(0)/V86,1)))</f>
        <v/>
      </c>
      <c r="AR86" s="15">
        <f>IF(AP86&gt;0,AQ86/AP86,"")</f>
        <v/>
      </c>
      <c r="AS86" s="16">
        <f>50*AB86</f>
        <v/>
      </c>
      <c r="AT86" s="30">
        <f>MAX(BM86:BW86)</f>
        <v/>
      </c>
      <c r="AU86" s="31">
        <f>AI86*(MATCH(AT86,BM86:BW86,0)-1)/10</f>
        <v/>
      </c>
      <c r="AV86" s="31">
        <f>INDEX(BB86:BL86,1,(MATCH(AT86,BM86:BW86,0)-1)+1)</f>
        <v/>
      </c>
      <c r="AW86" s="31">
        <f>AB86*AU86</f>
        <v/>
      </c>
      <c r="AX86" s="30">
        <f>AC86*AU86</f>
        <v/>
      </c>
      <c r="AY86" s="31">
        <f>AD86*AU86+AE86*AV86</f>
        <v/>
      </c>
      <c r="AZ86" s="32">
        <f>TRIM(IF(AND(AU86&gt;0,ABS(AU86-AF86)&lt;1E-6),"F1 ","")&amp;IF(AND(AU86&gt;0,ABS(AU86-AG86)&lt;1E-6),"F2 ","")&amp;IF(AY86&gt;=in_f3-1E-6,"F3 ","")&amp;IF(AV86&gt;=in_cap-1E-9,"rate cap",""))</f>
        <v/>
      </c>
      <c r="BA86" s="31">
        <f>Q86*AT86/100</f>
        <v/>
      </c>
      <c r="BB86" s="16">
        <f>MAX(0,MIN(in_cap,IF(AE86&gt;0,(in_f3-AD86*AI86*0/10)/AE86,in_cap)))</f>
        <v/>
      </c>
      <c r="BC86" s="16">
        <f>MAX(0,MIN(in_cap,IF(AE86&gt;0,(in_f3-AD86*AI86*1/10)/AE86,in_cap)))</f>
        <v/>
      </c>
      <c r="BD86" s="16">
        <f>MAX(0,MIN(in_cap,IF(AE86&gt;0,(in_f3-AD86*AI86*2/10)/AE86,in_cap)))</f>
        <v/>
      </c>
      <c r="BE86" s="16">
        <f>MAX(0,MIN(in_cap,IF(AE86&gt;0,(in_f3-AD86*AI86*3/10)/AE86,in_cap)))</f>
        <v/>
      </c>
      <c r="BF86" s="16">
        <f>MAX(0,MIN(in_cap,IF(AE86&gt;0,(in_f3-AD86*AI86*4/10)/AE86,in_cap)))</f>
        <v/>
      </c>
      <c r="BG86" s="16">
        <f>MAX(0,MIN(in_cap,IF(AE86&gt;0,(in_f3-AD86*AI86*5/10)/AE86,in_cap)))</f>
        <v/>
      </c>
      <c r="BH86" s="16">
        <f>MAX(0,MIN(in_cap,IF(AE86&gt;0,(in_f3-AD86*AI86*6/10)/AE86,in_cap)))</f>
        <v/>
      </c>
      <c r="BI86" s="16">
        <f>MAX(0,MIN(in_cap,IF(AE86&gt;0,(in_f3-AD86*AI86*7/10)/AE86,in_cap)))</f>
        <v/>
      </c>
      <c r="BJ86" s="16">
        <f>MAX(0,MIN(in_cap,IF(AE86&gt;0,(in_f3-AD86*AI86*8/10)/AE86,in_cap)))</f>
        <v/>
      </c>
      <c r="BK86" s="16">
        <f>MAX(0,MIN(in_cap,IF(AE86&gt;0,(in_f3-AD86*AI86*9/10)/AE86,in_cap)))</f>
        <v/>
      </c>
      <c r="BL86" s="16">
        <f>MAX(0,MIN(in_cap,IF(AE86&gt;0,(in_f3-AD86*AI86*10/10)/AE86,in_cap)))</f>
        <v/>
      </c>
      <c r="BM86" s="15">
        <f>100*(1-(1-X86*(1-EXP(-((AI86*0/10)+(BB86))/Y86)))*(1-MIN(ABS(in_elas)*W86*R86*(AI86*0/10)/V86,1)))</f>
        <v/>
      </c>
      <c r="BN86" s="15">
        <f>100*(1-(1-X86*(1-EXP(-((AI86*1/10)+(BC86))/Y86)))*(1-MIN(ABS(in_elas)*W86*R86*(AI86*1/10)/V86,1)))</f>
        <v/>
      </c>
      <c r="BO86" s="15">
        <f>100*(1-(1-X86*(1-EXP(-((AI86*2/10)+(BD86))/Y86)))*(1-MIN(ABS(in_elas)*W86*R86*(AI86*2/10)/V86,1)))</f>
        <v/>
      </c>
      <c r="BP86" s="15">
        <f>100*(1-(1-X86*(1-EXP(-((AI86*3/10)+(BE86))/Y86)))*(1-MIN(ABS(in_elas)*W86*R86*(AI86*3/10)/V86,1)))</f>
        <v/>
      </c>
      <c r="BQ86" s="15">
        <f>100*(1-(1-X86*(1-EXP(-((AI86*4/10)+(BF86))/Y86)))*(1-MIN(ABS(in_elas)*W86*R86*(AI86*4/10)/V86,1)))</f>
        <v/>
      </c>
      <c r="BR86" s="15">
        <f>100*(1-(1-X86*(1-EXP(-((AI86*5/10)+(BG86))/Y86)))*(1-MIN(ABS(in_elas)*W86*R86*(AI86*5/10)/V86,1)))</f>
        <v/>
      </c>
      <c r="BS86" s="15">
        <f>100*(1-(1-X86*(1-EXP(-((AI86*6/10)+(BH86))/Y86)))*(1-MIN(ABS(in_elas)*W86*R86*(AI86*6/10)/V86,1)))</f>
        <v/>
      </c>
      <c r="BT86" s="15">
        <f>100*(1-(1-X86*(1-EXP(-((AI86*7/10)+(BI86))/Y86)))*(1-MIN(ABS(in_elas)*W86*R86*(AI86*7/10)/V86,1)))</f>
        <v/>
      </c>
      <c r="BU86" s="15">
        <f>100*(1-(1-X86*(1-EXP(-((AI86*8/10)+(BJ86))/Y86)))*(1-MIN(ABS(in_elas)*W86*R86*(AI86*8/10)/V86,1)))</f>
        <v/>
      </c>
      <c r="BV86" s="15">
        <f>100*(1-(1-X86*(1-EXP(-((AI86*9/10)+(BK86))/Y86)))*(1-MIN(ABS(in_elas)*W86*R86*(AI86*9/10)/V86,1)))</f>
        <v/>
      </c>
      <c r="BW86" s="15">
        <f>100*(1-(1-X86*(1-EXP(-((AI86*10/10)+(BL86))/Y86)))*(1-MIN(ABS(in_elas)*W86*R86*(AI86*10/10)/V86,1)))</f>
        <v/>
      </c>
    </row>
    <row r="87">
      <c r="A87" s="17" t="inlineStr">
        <is>
          <t>KOR</t>
        </is>
      </c>
      <c r="B87" s="17">
        <f>INDEX(Data!$B:$B,MATCH($A87,Data!$A:$A,0))</f>
        <v/>
      </c>
      <c r="C87" s="17">
        <f>INDEX(Data!$D:$D,MATCH($A87,Data!$A:$A,0))</f>
        <v/>
      </c>
      <c r="D87" s="16">
        <f>SUMIFS(Data!$G:$G,Data!$A:$A,$A87,Data!$F:$F,"gen_coal_twh")</f>
        <v/>
      </c>
      <c r="E87" s="16">
        <f>SUMIFS(Data!$G:$G,Data!$A:$A,$A87,Data!$F:$F,"gen_gas_twh")</f>
        <v/>
      </c>
      <c r="F87" s="16">
        <f>SUMIFS(Data!$G:$G,Data!$A:$A,$A87,Data!$F:$F,"gen_oil_twh")</f>
        <v/>
      </c>
      <c r="G87" s="16">
        <f>SUMIFS(Data!$G:$G,Data!$A:$A,$A87,Data!$F:$F,"gen_total_twh")</f>
        <v/>
      </c>
      <c r="H87" s="16">
        <f>SUMIFS(Data!$G:$G,Data!$A:$A,$A87,Data!$F:$F,"em_coal_mt")</f>
        <v/>
      </c>
      <c r="I87" s="16">
        <f>SUMIFS(Data!$G:$G,Data!$A:$A,$A87,Data!$F:$F,"em_gas_mt")</f>
        <v/>
      </c>
      <c r="J87" s="16">
        <f>SUMIFS(Data!$G:$G,Data!$A:$A,$A87,Data!$F:$F,"em_oil_mt")</f>
        <v/>
      </c>
      <c r="K87" s="28">
        <f>IF(COUNTIFS(Data!$A:$A,$A87,Data!$F:$F,"price_electricity_residential_usd_kwh")=0,"",SUMIFS(Data!$G:$G,Data!$A:$A,$A87,Data!$F:$F,"price_electricity_residential_usd_kwh"))</f>
        <v/>
      </c>
      <c r="L87" s="28">
        <f>IF(COUNTIFS(Data!$A:$A,$A87,Data!$F:$F,"price_coal_power_usd_gj")=0,"",SUMIFS(Data!$G:$G,Data!$A:$A,$A87,Data!$F:$F,"price_coal_power_usd_gj"))</f>
        <v/>
      </c>
      <c r="M87" s="28">
        <f>IF(COUNTIFS(Data!$A:$A,$A87,Data!$F:$F,"price_gas_power_usd_gj")=0,"",SUMIFS(Data!$G:$G,Data!$A:$A,$A87,Data!$F:$F,"price_gas_power_usd_gj"))</f>
        <v/>
      </c>
      <c r="N87" s="28">
        <f>IF(COUNTIFS(Data!$A:$A,$A87,Data!$F:$F,"price_gas_industry_usd_gj")=0,"",SUMIFS(Data!$G:$G,Data!$A:$A,$A87,Data!$F:$F,"price_gas_industry_usd_gj"))</f>
        <v/>
      </c>
      <c r="O87" s="28">
        <f>IF(COUNTIFS(Data!$A:$A,$A87,Data!$F:$F,"power_market_structure")=0,"",SUMIFS(Data!$G:$G,Data!$A:$A,$A87,Data!$F:$F,"power_market_structure"))</f>
        <v/>
      </c>
      <c r="P87" s="28">
        <f>IF(COUNTIFS(Data!$A:$A,$A87,Data!$F:$F,"rise_renewable_energy_score")=0,"",SUMIFS(Data!$G:$G,Data!$A:$A,$A87,Data!$F:$F,"rise_renewable_energy_score"))</f>
        <v/>
      </c>
      <c r="Q87" s="16">
        <f>H87+I87+J87</f>
        <v/>
      </c>
      <c r="R87" s="28">
        <f>Q87/G87</f>
        <v/>
      </c>
      <c r="S87" s="28">
        <f>IF(D87&gt;0,H87/D87,0.85)</f>
        <v/>
      </c>
      <c r="T87" s="28">
        <f>IF(E87&gt;0,I87/E87,0.4)</f>
        <v/>
      </c>
      <c r="U87" s="28">
        <f>IF(D87+F87&gt;0,(H87+J87)/(D87+F87),0)</f>
        <v/>
      </c>
      <c r="V87" s="16">
        <f>K87*1000</f>
        <v/>
      </c>
      <c r="W87" s="15">
        <f>IF(O87=3,in_pt3,IF(O87=2,in_pt2,IF(O87=1,in_pt1,IF(C87="High income",in_pt_hi,in_pt_oth))))</f>
        <v/>
      </c>
      <c r="X87" s="28">
        <f>IF(Q87&gt;0,in_kappa*(in_rise_lo+(in_rise_hi-in_rise_lo)*IF(P87="",in_rise_miss,P87)/100)*(D87+F87)*MAX(U87-in_gas_rep*T87,0)/Q87,0)</f>
        <v/>
      </c>
      <c r="Y87" s="16">
        <f>IF(IF(M87="",N87,M87)="",MAX(in_sw_floor,in_sw_miss),MAX(in_sw_floor,(IF(M87="",N87,M87)*in_hr_gas-L87*in_hr_coal)/MAX(S87-T87,0.1)))</f>
        <v/>
      </c>
      <c r="Z87" s="28">
        <f>IF(C87="Low income",in_b40_li,IF(C87="Lower middle income",in_b40_lmi,IF(C87="Upper middle income",in_b40_umi,IF(C87="High income",in_b40_hi,0.03))))</f>
        <v/>
      </c>
      <c r="AA87" s="15">
        <f>(D87+F87)/G87</f>
        <v/>
      </c>
      <c r="AB87" s="28">
        <f>100*W87*R87/V87/in_phase</f>
        <v/>
      </c>
      <c r="AC87" s="29">
        <f>100*Z87*W87*R87/V87*(1-IF(W87&gt;0,MIN(in_rebate/(W87*in_res_sh*in_q40),1),1))</f>
        <v/>
      </c>
      <c r="AD87" s="28">
        <f>IF(AA87&gt;0,100*U87*(1-W87)/(in_whole_sh*V87),0)</f>
        <v/>
      </c>
      <c r="AE87" s="28">
        <f>IF(AA87&gt;0,100*MAX(U87-R87,0)/(in_whole_sh*V87),0)</f>
        <v/>
      </c>
      <c r="AF87" s="16">
        <f>IF(AB87&gt;0,in_f1/AB87,in_cap)</f>
        <v/>
      </c>
      <c r="AG87" s="16">
        <f>IF(AC87&gt;0,in_f2/AC87,in_cap)</f>
        <v/>
      </c>
      <c r="AH87" s="16">
        <f>IF(AD87&gt;0,in_f3/AD87,in_cap)</f>
        <v/>
      </c>
      <c r="AI87" s="16">
        <f>MIN(in_cap,AF87,AG87,AH87)</f>
        <v/>
      </c>
      <c r="AJ87" s="30">
        <f>100*(1-(1-X87*(1-EXP(-((AI87)+(0))/Y87)))*(1-MIN(ABS(in_elas)*W87*R87*(AI87)/V87,1)))</f>
        <v/>
      </c>
      <c r="AK87" s="17">
        <f>IF(AI87&gt;=in_cap-1E-9,"rate cap",TRIM(IF(ABS(AI87-AF87)&lt;1E-9,"F1 ","")&amp;IF(ABS(AI87-AG87)&lt;1E-9,"F2 ","")&amp;IF(ABS(AI87-AH87)&lt;1E-9,"F3","")))</f>
        <v/>
      </c>
      <c r="AL87" s="15">
        <f>100*(1-(1-X87*(1-EXP(-((MIN(in_cap,IF(AB87&gt;0,(in_f1+1)/AB87,in_cap),AG87,AH87))+(0))/Y87)))*(1-MIN(ABS(in_elas)*W87*R87*(MIN(in_cap,IF(AB87&gt;0,(in_f1+1)/AB87,in_cap),AG87,AH87))/V87,1)))-AJ87</f>
        <v/>
      </c>
      <c r="AM87" s="16">
        <f>MIN(in_cap,IF(AE87&gt;0,in_f3/AE87,in_cap))</f>
        <v/>
      </c>
      <c r="AN87" s="30">
        <f>100*(1-(1-X87*(1-EXP(-((0)+(AM87))/Y87)))*(1-MIN(ABS(in_elas)*W87*R87*(0)/V87,1)))</f>
        <v/>
      </c>
      <c r="AO87" s="17">
        <f>IF(AM87&gt;=in_cap-1E-9,"rate cap","F3")</f>
        <v/>
      </c>
      <c r="AP87" s="15">
        <f>100*(1-(1-X87*(1-EXP(-((50)+(0))/Y87)))*(1-MIN(ABS(in_elas)*W87*R87*(50)/V87,1)))</f>
        <v/>
      </c>
      <c r="AQ87" s="15">
        <f>100*(1-(1-X87*(1-EXP(-((0)+(50))/Y87)))*(1-MIN(ABS(in_elas)*W87*R87*(0)/V87,1)))</f>
        <v/>
      </c>
      <c r="AR87" s="15">
        <f>IF(AP87&gt;0,AQ87/AP87,"")</f>
        <v/>
      </c>
      <c r="AS87" s="16">
        <f>50*AB87</f>
        <v/>
      </c>
      <c r="AT87" s="30">
        <f>MAX(BM87:BW87)</f>
        <v/>
      </c>
      <c r="AU87" s="31">
        <f>AI87*(MATCH(AT87,BM87:BW87,0)-1)/10</f>
        <v/>
      </c>
      <c r="AV87" s="31">
        <f>INDEX(BB87:BL87,1,(MATCH(AT87,BM87:BW87,0)-1)+1)</f>
        <v/>
      </c>
      <c r="AW87" s="31">
        <f>AB87*AU87</f>
        <v/>
      </c>
      <c r="AX87" s="30">
        <f>AC87*AU87</f>
        <v/>
      </c>
      <c r="AY87" s="31">
        <f>AD87*AU87+AE87*AV87</f>
        <v/>
      </c>
      <c r="AZ87" s="32">
        <f>TRIM(IF(AND(AU87&gt;0,ABS(AU87-AF87)&lt;1E-6),"F1 ","")&amp;IF(AND(AU87&gt;0,ABS(AU87-AG87)&lt;1E-6),"F2 ","")&amp;IF(AY87&gt;=in_f3-1E-6,"F3 ","")&amp;IF(AV87&gt;=in_cap-1E-9,"rate cap",""))</f>
        <v/>
      </c>
      <c r="BA87" s="31">
        <f>Q87*AT87/100</f>
        <v/>
      </c>
      <c r="BB87" s="16">
        <f>MAX(0,MIN(in_cap,IF(AE87&gt;0,(in_f3-AD87*AI87*0/10)/AE87,in_cap)))</f>
        <v/>
      </c>
      <c r="BC87" s="16">
        <f>MAX(0,MIN(in_cap,IF(AE87&gt;0,(in_f3-AD87*AI87*1/10)/AE87,in_cap)))</f>
        <v/>
      </c>
      <c r="BD87" s="16">
        <f>MAX(0,MIN(in_cap,IF(AE87&gt;0,(in_f3-AD87*AI87*2/10)/AE87,in_cap)))</f>
        <v/>
      </c>
      <c r="BE87" s="16">
        <f>MAX(0,MIN(in_cap,IF(AE87&gt;0,(in_f3-AD87*AI87*3/10)/AE87,in_cap)))</f>
        <v/>
      </c>
      <c r="BF87" s="16">
        <f>MAX(0,MIN(in_cap,IF(AE87&gt;0,(in_f3-AD87*AI87*4/10)/AE87,in_cap)))</f>
        <v/>
      </c>
      <c r="BG87" s="16">
        <f>MAX(0,MIN(in_cap,IF(AE87&gt;0,(in_f3-AD87*AI87*5/10)/AE87,in_cap)))</f>
        <v/>
      </c>
      <c r="BH87" s="16">
        <f>MAX(0,MIN(in_cap,IF(AE87&gt;0,(in_f3-AD87*AI87*6/10)/AE87,in_cap)))</f>
        <v/>
      </c>
      <c r="BI87" s="16">
        <f>MAX(0,MIN(in_cap,IF(AE87&gt;0,(in_f3-AD87*AI87*7/10)/AE87,in_cap)))</f>
        <v/>
      </c>
      <c r="BJ87" s="16">
        <f>MAX(0,MIN(in_cap,IF(AE87&gt;0,(in_f3-AD87*AI87*8/10)/AE87,in_cap)))</f>
        <v/>
      </c>
      <c r="BK87" s="16">
        <f>MAX(0,MIN(in_cap,IF(AE87&gt;0,(in_f3-AD87*AI87*9/10)/AE87,in_cap)))</f>
        <v/>
      </c>
      <c r="BL87" s="16">
        <f>MAX(0,MIN(in_cap,IF(AE87&gt;0,(in_f3-AD87*AI87*10/10)/AE87,in_cap)))</f>
        <v/>
      </c>
      <c r="BM87" s="15">
        <f>100*(1-(1-X87*(1-EXP(-((AI87*0/10)+(BB87))/Y87)))*(1-MIN(ABS(in_elas)*W87*R87*(AI87*0/10)/V87,1)))</f>
        <v/>
      </c>
      <c r="BN87" s="15">
        <f>100*(1-(1-X87*(1-EXP(-((AI87*1/10)+(BC87))/Y87)))*(1-MIN(ABS(in_elas)*W87*R87*(AI87*1/10)/V87,1)))</f>
        <v/>
      </c>
      <c r="BO87" s="15">
        <f>100*(1-(1-X87*(1-EXP(-((AI87*2/10)+(BD87))/Y87)))*(1-MIN(ABS(in_elas)*W87*R87*(AI87*2/10)/V87,1)))</f>
        <v/>
      </c>
      <c r="BP87" s="15">
        <f>100*(1-(1-X87*(1-EXP(-((AI87*3/10)+(BE87))/Y87)))*(1-MIN(ABS(in_elas)*W87*R87*(AI87*3/10)/V87,1)))</f>
        <v/>
      </c>
      <c r="BQ87" s="15">
        <f>100*(1-(1-X87*(1-EXP(-((AI87*4/10)+(BF87))/Y87)))*(1-MIN(ABS(in_elas)*W87*R87*(AI87*4/10)/V87,1)))</f>
        <v/>
      </c>
      <c r="BR87" s="15">
        <f>100*(1-(1-X87*(1-EXP(-((AI87*5/10)+(BG87))/Y87)))*(1-MIN(ABS(in_elas)*W87*R87*(AI87*5/10)/V87,1)))</f>
        <v/>
      </c>
      <c r="BS87" s="15">
        <f>100*(1-(1-X87*(1-EXP(-((AI87*6/10)+(BH87))/Y87)))*(1-MIN(ABS(in_elas)*W87*R87*(AI87*6/10)/V87,1)))</f>
        <v/>
      </c>
      <c r="BT87" s="15">
        <f>100*(1-(1-X87*(1-EXP(-((AI87*7/10)+(BI87))/Y87)))*(1-MIN(ABS(in_elas)*W87*R87*(AI87*7/10)/V87,1)))</f>
        <v/>
      </c>
      <c r="BU87" s="15">
        <f>100*(1-(1-X87*(1-EXP(-((AI87*8/10)+(BJ87))/Y87)))*(1-MIN(ABS(in_elas)*W87*R87*(AI87*8/10)/V87,1)))</f>
        <v/>
      </c>
      <c r="BV87" s="15">
        <f>100*(1-(1-X87*(1-EXP(-((AI87*9/10)+(BK87))/Y87)))*(1-MIN(ABS(in_elas)*W87*R87*(AI87*9/10)/V87,1)))</f>
        <v/>
      </c>
      <c r="BW87" s="15">
        <f>100*(1-(1-X87*(1-EXP(-((AI87*10/10)+(BL87))/Y87)))*(1-MIN(ABS(in_elas)*W87*R87*(AI87*10/10)/V87,1)))</f>
        <v/>
      </c>
    </row>
    <row r="88">
      <c r="A88" s="17" t="inlineStr">
        <is>
          <t>KWT</t>
        </is>
      </c>
      <c r="B88" s="17">
        <f>INDEX(Data!$B:$B,MATCH($A88,Data!$A:$A,0))</f>
        <v/>
      </c>
      <c r="C88" s="17">
        <f>INDEX(Data!$D:$D,MATCH($A88,Data!$A:$A,0))</f>
        <v/>
      </c>
      <c r="D88" s="16">
        <f>SUMIFS(Data!$G:$G,Data!$A:$A,$A88,Data!$F:$F,"gen_coal_twh")</f>
        <v/>
      </c>
      <c r="E88" s="16">
        <f>SUMIFS(Data!$G:$G,Data!$A:$A,$A88,Data!$F:$F,"gen_gas_twh")</f>
        <v/>
      </c>
      <c r="F88" s="16">
        <f>SUMIFS(Data!$G:$G,Data!$A:$A,$A88,Data!$F:$F,"gen_oil_twh")</f>
        <v/>
      </c>
      <c r="G88" s="16">
        <f>SUMIFS(Data!$G:$G,Data!$A:$A,$A88,Data!$F:$F,"gen_total_twh")</f>
        <v/>
      </c>
      <c r="H88" s="16">
        <f>SUMIFS(Data!$G:$G,Data!$A:$A,$A88,Data!$F:$F,"em_coal_mt")</f>
        <v/>
      </c>
      <c r="I88" s="16">
        <f>SUMIFS(Data!$G:$G,Data!$A:$A,$A88,Data!$F:$F,"em_gas_mt")</f>
        <v/>
      </c>
      <c r="J88" s="16">
        <f>SUMIFS(Data!$G:$G,Data!$A:$A,$A88,Data!$F:$F,"em_oil_mt")</f>
        <v/>
      </c>
      <c r="K88" s="28">
        <f>IF(COUNTIFS(Data!$A:$A,$A88,Data!$F:$F,"price_electricity_residential_usd_kwh")=0,"",SUMIFS(Data!$G:$G,Data!$A:$A,$A88,Data!$F:$F,"price_electricity_residential_usd_kwh"))</f>
        <v/>
      </c>
      <c r="L88" s="28">
        <f>IF(COUNTIFS(Data!$A:$A,$A88,Data!$F:$F,"price_coal_power_usd_gj")=0,"",SUMIFS(Data!$G:$G,Data!$A:$A,$A88,Data!$F:$F,"price_coal_power_usd_gj"))</f>
        <v/>
      </c>
      <c r="M88" s="28">
        <f>IF(COUNTIFS(Data!$A:$A,$A88,Data!$F:$F,"price_gas_power_usd_gj")=0,"",SUMIFS(Data!$G:$G,Data!$A:$A,$A88,Data!$F:$F,"price_gas_power_usd_gj"))</f>
        <v/>
      </c>
      <c r="N88" s="28">
        <f>IF(COUNTIFS(Data!$A:$A,$A88,Data!$F:$F,"price_gas_industry_usd_gj")=0,"",SUMIFS(Data!$G:$G,Data!$A:$A,$A88,Data!$F:$F,"price_gas_industry_usd_gj"))</f>
        <v/>
      </c>
      <c r="O88" s="28">
        <f>IF(COUNTIFS(Data!$A:$A,$A88,Data!$F:$F,"power_market_structure")=0,"",SUMIFS(Data!$G:$G,Data!$A:$A,$A88,Data!$F:$F,"power_market_structure"))</f>
        <v/>
      </c>
      <c r="P88" s="28">
        <f>IF(COUNTIFS(Data!$A:$A,$A88,Data!$F:$F,"rise_renewable_energy_score")=0,"",SUMIFS(Data!$G:$G,Data!$A:$A,$A88,Data!$F:$F,"rise_renewable_energy_score"))</f>
        <v/>
      </c>
      <c r="Q88" s="16">
        <f>H88+I88+J88</f>
        <v/>
      </c>
      <c r="R88" s="28">
        <f>Q88/G88</f>
        <v/>
      </c>
      <c r="S88" s="28">
        <f>IF(D88&gt;0,H88/D88,0.85)</f>
        <v/>
      </c>
      <c r="T88" s="28">
        <f>IF(E88&gt;0,I88/E88,0.4)</f>
        <v/>
      </c>
      <c r="U88" s="28">
        <f>IF(D88+F88&gt;0,(H88+J88)/(D88+F88),0)</f>
        <v/>
      </c>
      <c r="V88" s="16">
        <f>K88*1000</f>
        <v/>
      </c>
      <c r="W88" s="15">
        <f>IF(O88=3,in_pt3,IF(O88=2,in_pt2,IF(O88=1,in_pt1,IF(C88="High income",in_pt_hi,in_pt_oth))))</f>
        <v/>
      </c>
      <c r="X88" s="28">
        <f>IF(Q88&gt;0,in_kappa*(in_rise_lo+(in_rise_hi-in_rise_lo)*IF(P88="",in_rise_miss,P88)/100)*(D88+F88)*MAX(U88-in_gas_rep*T88,0)/Q88,0)</f>
        <v/>
      </c>
      <c r="Y88" s="16">
        <f>IF(IF(M88="",N88,M88)="",MAX(in_sw_floor,in_sw_miss),MAX(in_sw_floor,(IF(M88="",N88,M88)*in_hr_gas-L88*in_hr_coal)/MAX(S88-T88,0.1)))</f>
        <v/>
      </c>
      <c r="Z88" s="28">
        <f>IF(C88="Low income",in_b40_li,IF(C88="Lower middle income",in_b40_lmi,IF(C88="Upper middle income",in_b40_umi,IF(C88="High income",in_b40_hi,0.03))))</f>
        <v/>
      </c>
      <c r="AA88" s="15">
        <f>(D88+F88)/G88</f>
        <v/>
      </c>
      <c r="AB88" s="28">
        <f>100*W88*R88/V88/in_phase</f>
        <v/>
      </c>
      <c r="AC88" s="29">
        <f>100*Z88*W88*R88/V88*(1-IF(W88&gt;0,MIN(in_rebate/(W88*in_res_sh*in_q40),1),1))</f>
        <v/>
      </c>
      <c r="AD88" s="28">
        <f>IF(AA88&gt;0,100*U88*(1-W88)/(in_whole_sh*V88),0)</f>
        <v/>
      </c>
      <c r="AE88" s="28">
        <f>IF(AA88&gt;0,100*MAX(U88-R88,0)/(in_whole_sh*V88),0)</f>
        <v/>
      </c>
      <c r="AF88" s="16">
        <f>IF(AB88&gt;0,in_f1/AB88,in_cap)</f>
        <v/>
      </c>
      <c r="AG88" s="16">
        <f>IF(AC88&gt;0,in_f2/AC88,in_cap)</f>
        <v/>
      </c>
      <c r="AH88" s="16">
        <f>IF(AD88&gt;0,in_f3/AD88,in_cap)</f>
        <v/>
      </c>
      <c r="AI88" s="16">
        <f>MIN(in_cap,AF88,AG88,AH88)</f>
        <v/>
      </c>
      <c r="AJ88" s="30">
        <f>100*(1-(1-X88*(1-EXP(-((AI88)+(0))/Y88)))*(1-MIN(ABS(in_elas)*W88*R88*(AI88)/V88,1)))</f>
        <v/>
      </c>
      <c r="AK88" s="17">
        <f>IF(AI88&gt;=in_cap-1E-9,"rate cap",TRIM(IF(ABS(AI88-AF88)&lt;1E-9,"F1 ","")&amp;IF(ABS(AI88-AG88)&lt;1E-9,"F2 ","")&amp;IF(ABS(AI88-AH88)&lt;1E-9,"F3","")))</f>
        <v/>
      </c>
      <c r="AL88" s="15">
        <f>100*(1-(1-X88*(1-EXP(-((MIN(in_cap,IF(AB88&gt;0,(in_f1+1)/AB88,in_cap),AG88,AH88))+(0))/Y88)))*(1-MIN(ABS(in_elas)*W88*R88*(MIN(in_cap,IF(AB88&gt;0,(in_f1+1)/AB88,in_cap),AG88,AH88))/V88,1)))-AJ88</f>
        <v/>
      </c>
      <c r="AM88" s="16">
        <f>MIN(in_cap,IF(AE88&gt;0,in_f3/AE88,in_cap))</f>
        <v/>
      </c>
      <c r="AN88" s="30">
        <f>100*(1-(1-X88*(1-EXP(-((0)+(AM88))/Y88)))*(1-MIN(ABS(in_elas)*W88*R88*(0)/V88,1)))</f>
        <v/>
      </c>
      <c r="AO88" s="17">
        <f>IF(AM88&gt;=in_cap-1E-9,"rate cap","F3")</f>
        <v/>
      </c>
      <c r="AP88" s="15">
        <f>100*(1-(1-X88*(1-EXP(-((50)+(0))/Y88)))*(1-MIN(ABS(in_elas)*W88*R88*(50)/V88,1)))</f>
        <v/>
      </c>
      <c r="AQ88" s="15">
        <f>100*(1-(1-X88*(1-EXP(-((0)+(50))/Y88)))*(1-MIN(ABS(in_elas)*W88*R88*(0)/V88,1)))</f>
        <v/>
      </c>
      <c r="AR88" s="15">
        <f>IF(AP88&gt;0,AQ88/AP88,"")</f>
        <v/>
      </c>
      <c r="AS88" s="16">
        <f>50*AB88</f>
        <v/>
      </c>
      <c r="AT88" s="30">
        <f>MAX(BM88:BW88)</f>
        <v/>
      </c>
      <c r="AU88" s="31">
        <f>AI88*(MATCH(AT88,BM88:BW88,0)-1)/10</f>
        <v/>
      </c>
      <c r="AV88" s="31">
        <f>INDEX(BB88:BL88,1,(MATCH(AT88,BM88:BW88,0)-1)+1)</f>
        <v/>
      </c>
      <c r="AW88" s="31">
        <f>AB88*AU88</f>
        <v/>
      </c>
      <c r="AX88" s="30">
        <f>AC88*AU88</f>
        <v/>
      </c>
      <c r="AY88" s="31">
        <f>AD88*AU88+AE88*AV88</f>
        <v/>
      </c>
      <c r="AZ88" s="32">
        <f>TRIM(IF(AND(AU88&gt;0,ABS(AU88-AF88)&lt;1E-6),"F1 ","")&amp;IF(AND(AU88&gt;0,ABS(AU88-AG88)&lt;1E-6),"F2 ","")&amp;IF(AY88&gt;=in_f3-1E-6,"F3 ","")&amp;IF(AV88&gt;=in_cap-1E-9,"rate cap",""))</f>
        <v/>
      </c>
      <c r="BA88" s="31">
        <f>Q88*AT88/100</f>
        <v/>
      </c>
      <c r="BB88" s="16">
        <f>MAX(0,MIN(in_cap,IF(AE88&gt;0,(in_f3-AD88*AI88*0/10)/AE88,in_cap)))</f>
        <v/>
      </c>
      <c r="BC88" s="16">
        <f>MAX(0,MIN(in_cap,IF(AE88&gt;0,(in_f3-AD88*AI88*1/10)/AE88,in_cap)))</f>
        <v/>
      </c>
      <c r="BD88" s="16">
        <f>MAX(0,MIN(in_cap,IF(AE88&gt;0,(in_f3-AD88*AI88*2/10)/AE88,in_cap)))</f>
        <v/>
      </c>
      <c r="BE88" s="16">
        <f>MAX(0,MIN(in_cap,IF(AE88&gt;0,(in_f3-AD88*AI88*3/10)/AE88,in_cap)))</f>
        <v/>
      </c>
      <c r="BF88" s="16">
        <f>MAX(0,MIN(in_cap,IF(AE88&gt;0,(in_f3-AD88*AI88*4/10)/AE88,in_cap)))</f>
        <v/>
      </c>
      <c r="BG88" s="16">
        <f>MAX(0,MIN(in_cap,IF(AE88&gt;0,(in_f3-AD88*AI88*5/10)/AE88,in_cap)))</f>
        <v/>
      </c>
      <c r="BH88" s="16">
        <f>MAX(0,MIN(in_cap,IF(AE88&gt;0,(in_f3-AD88*AI88*6/10)/AE88,in_cap)))</f>
        <v/>
      </c>
      <c r="BI88" s="16">
        <f>MAX(0,MIN(in_cap,IF(AE88&gt;0,(in_f3-AD88*AI88*7/10)/AE88,in_cap)))</f>
        <v/>
      </c>
      <c r="BJ88" s="16">
        <f>MAX(0,MIN(in_cap,IF(AE88&gt;0,(in_f3-AD88*AI88*8/10)/AE88,in_cap)))</f>
        <v/>
      </c>
      <c r="BK88" s="16">
        <f>MAX(0,MIN(in_cap,IF(AE88&gt;0,(in_f3-AD88*AI88*9/10)/AE88,in_cap)))</f>
        <v/>
      </c>
      <c r="BL88" s="16">
        <f>MAX(0,MIN(in_cap,IF(AE88&gt;0,(in_f3-AD88*AI88*10/10)/AE88,in_cap)))</f>
        <v/>
      </c>
      <c r="BM88" s="15">
        <f>100*(1-(1-X88*(1-EXP(-((AI88*0/10)+(BB88))/Y88)))*(1-MIN(ABS(in_elas)*W88*R88*(AI88*0/10)/V88,1)))</f>
        <v/>
      </c>
      <c r="BN88" s="15">
        <f>100*(1-(1-X88*(1-EXP(-((AI88*1/10)+(BC88))/Y88)))*(1-MIN(ABS(in_elas)*W88*R88*(AI88*1/10)/V88,1)))</f>
        <v/>
      </c>
      <c r="BO88" s="15">
        <f>100*(1-(1-X88*(1-EXP(-((AI88*2/10)+(BD88))/Y88)))*(1-MIN(ABS(in_elas)*W88*R88*(AI88*2/10)/V88,1)))</f>
        <v/>
      </c>
      <c r="BP88" s="15">
        <f>100*(1-(1-X88*(1-EXP(-((AI88*3/10)+(BE88))/Y88)))*(1-MIN(ABS(in_elas)*W88*R88*(AI88*3/10)/V88,1)))</f>
        <v/>
      </c>
      <c r="BQ88" s="15">
        <f>100*(1-(1-X88*(1-EXP(-((AI88*4/10)+(BF88))/Y88)))*(1-MIN(ABS(in_elas)*W88*R88*(AI88*4/10)/V88,1)))</f>
        <v/>
      </c>
      <c r="BR88" s="15">
        <f>100*(1-(1-X88*(1-EXP(-((AI88*5/10)+(BG88))/Y88)))*(1-MIN(ABS(in_elas)*W88*R88*(AI88*5/10)/V88,1)))</f>
        <v/>
      </c>
      <c r="BS88" s="15">
        <f>100*(1-(1-X88*(1-EXP(-((AI88*6/10)+(BH88))/Y88)))*(1-MIN(ABS(in_elas)*W88*R88*(AI88*6/10)/V88,1)))</f>
        <v/>
      </c>
      <c r="BT88" s="15">
        <f>100*(1-(1-X88*(1-EXP(-((AI88*7/10)+(BI88))/Y88)))*(1-MIN(ABS(in_elas)*W88*R88*(AI88*7/10)/V88,1)))</f>
        <v/>
      </c>
      <c r="BU88" s="15">
        <f>100*(1-(1-X88*(1-EXP(-((AI88*8/10)+(BJ88))/Y88)))*(1-MIN(ABS(in_elas)*W88*R88*(AI88*8/10)/V88,1)))</f>
        <v/>
      </c>
      <c r="BV88" s="15">
        <f>100*(1-(1-X88*(1-EXP(-((AI88*9/10)+(BK88))/Y88)))*(1-MIN(ABS(in_elas)*W88*R88*(AI88*9/10)/V88,1)))</f>
        <v/>
      </c>
      <c r="BW88" s="15">
        <f>100*(1-(1-X88*(1-EXP(-((AI88*10/10)+(BL88))/Y88)))*(1-MIN(ABS(in_elas)*W88*R88*(AI88*10/10)/V88,1)))</f>
        <v/>
      </c>
    </row>
    <row r="89">
      <c r="A89" s="17" t="inlineStr">
        <is>
          <t>LAO</t>
        </is>
      </c>
      <c r="B89" s="17">
        <f>INDEX(Data!$B:$B,MATCH($A89,Data!$A:$A,0))</f>
        <v/>
      </c>
      <c r="C89" s="17">
        <f>INDEX(Data!$D:$D,MATCH($A89,Data!$A:$A,0))</f>
        <v/>
      </c>
      <c r="D89" s="16">
        <f>SUMIFS(Data!$G:$G,Data!$A:$A,$A89,Data!$F:$F,"gen_coal_twh")</f>
        <v/>
      </c>
      <c r="E89" s="16">
        <f>SUMIFS(Data!$G:$G,Data!$A:$A,$A89,Data!$F:$F,"gen_gas_twh")</f>
        <v/>
      </c>
      <c r="F89" s="16">
        <f>SUMIFS(Data!$G:$G,Data!$A:$A,$A89,Data!$F:$F,"gen_oil_twh")</f>
        <v/>
      </c>
      <c r="G89" s="16">
        <f>SUMIFS(Data!$G:$G,Data!$A:$A,$A89,Data!$F:$F,"gen_total_twh")</f>
        <v/>
      </c>
      <c r="H89" s="16">
        <f>SUMIFS(Data!$G:$G,Data!$A:$A,$A89,Data!$F:$F,"em_coal_mt")</f>
        <v/>
      </c>
      <c r="I89" s="16">
        <f>SUMIFS(Data!$G:$G,Data!$A:$A,$A89,Data!$F:$F,"em_gas_mt")</f>
        <v/>
      </c>
      <c r="J89" s="16">
        <f>SUMIFS(Data!$G:$G,Data!$A:$A,$A89,Data!$F:$F,"em_oil_mt")</f>
        <v/>
      </c>
      <c r="K89" s="28">
        <f>IF(COUNTIFS(Data!$A:$A,$A89,Data!$F:$F,"price_electricity_residential_usd_kwh")=0,"",SUMIFS(Data!$G:$G,Data!$A:$A,$A89,Data!$F:$F,"price_electricity_residential_usd_kwh"))</f>
        <v/>
      </c>
      <c r="L89" s="28">
        <f>IF(COUNTIFS(Data!$A:$A,$A89,Data!$F:$F,"price_coal_power_usd_gj")=0,"",SUMIFS(Data!$G:$G,Data!$A:$A,$A89,Data!$F:$F,"price_coal_power_usd_gj"))</f>
        <v/>
      </c>
      <c r="M89" s="28">
        <f>IF(COUNTIFS(Data!$A:$A,$A89,Data!$F:$F,"price_gas_power_usd_gj")=0,"",SUMIFS(Data!$G:$G,Data!$A:$A,$A89,Data!$F:$F,"price_gas_power_usd_gj"))</f>
        <v/>
      </c>
      <c r="N89" s="28">
        <f>IF(COUNTIFS(Data!$A:$A,$A89,Data!$F:$F,"price_gas_industry_usd_gj")=0,"",SUMIFS(Data!$G:$G,Data!$A:$A,$A89,Data!$F:$F,"price_gas_industry_usd_gj"))</f>
        <v/>
      </c>
      <c r="O89" s="28">
        <f>IF(COUNTIFS(Data!$A:$A,$A89,Data!$F:$F,"power_market_structure")=0,"",SUMIFS(Data!$G:$G,Data!$A:$A,$A89,Data!$F:$F,"power_market_structure"))</f>
        <v/>
      </c>
      <c r="P89" s="28">
        <f>IF(COUNTIFS(Data!$A:$A,$A89,Data!$F:$F,"rise_renewable_energy_score")=0,"",SUMIFS(Data!$G:$G,Data!$A:$A,$A89,Data!$F:$F,"rise_renewable_energy_score"))</f>
        <v/>
      </c>
      <c r="Q89" s="16">
        <f>H89+I89+J89</f>
        <v/>
      </c>
      <c r="R89" s="28">
        <f>Q89/G89</f>
        <v/>
      </c>
      <c r="S89" s="28">
        <f>IF(D89&gt;0,H89/D89,0.85)</f>
        <v/>
      </c>
      <c r="T89" s="28">
        <f>IF(E89&gt;0,I89/E89,0.4)</f>
        <v/>
      </c>
      <c r="U89" s="28">
        <f>IF(D89+F89&gt;0,(H89+J89)/(D89+F89),0)</f>
        <v/>
      </c>
      <c r="V89" s="16">
        <f>K89*1000</f>
        <v/>
      </c>
      <c r="W89" s="15">
        <f>IF(O89=3,in_pt3,IF(O89=2,in_pt2,IF(O89=1,in_pt1,IF(C89="High income",in_pt_hi,in_pt_oth))))</f>
        <v/>
      </c>
      <c r="X89" s="28">
        <f>IF(Q89&gt;0,in_kappa*(in_rise_lo+(in_rise_hi-in_rise_lo)*IF(P89="",in_rise_miss,P89)/100)*(D89+F89)*MAX(U89-in_gas_rep*T89,0)/Q89,0)</f>
        <v/>
      </c>
      <c r="Y89" s="16">
        <f>IF(IF(M89="",N89,M89)="",MAX(in_sw_floor,in_sw_miss),MAX(in_sw_floor,(IF(M89="",N89,M89)*in_hr_gas-L89*in_hr_coal)/MAX(S89-T89,0.1)))</f>
        <v/>
      </c>
      <c r="Z89" s="28">
        <f>IF(C89="Low income",in_b40_li,IF(C89="Lower middle income",in_b40_lmi,IF(C89="Upper middle income",in_b40_umi,IF(C89="High income",in_b40_hi,0.03))))</f>
        <v/>
      </c>
      <c r="AA89" s="15">
        <f>(D89+F89)/G89</f>
        <v/>
      </c>
      <c r="AB89" s="28">
        <f>100*W89*R89/V89/in_phase</f>
        <v/>
      </c>
      <c r="AC89" s="29">
        <f>100*Z89*W89*R89/V89*(1-IF(W89&gt;0,MIN(in_rebate/(W89*in_res_sh*in_q40),1),1))</f>
        <v/>
      </c>
      <c r="AD89" s="28">
        <f>IF(AA89&gt;0,100*U89*(1-W89)/(in_whole_sh*V89),0)</f>
        <v/>
      </c>
      <c r="AE89" s="28">
        <f>IF(AA89&gt;0,100*MAX(U89-R89,0)/(in_whole_sh*V89),0)</f>
        <v/>
      </c>
      <c r="AF89" s="16">
        <f>IF(AB89&gt;0,in_f1/AB89,in_cap)</f>
        <v/>
      </c>
      <c r="AG89" s="16">
        <f>IF(AC89&gt;0,in_f2/AC89,in_cap)</f>
        <v/>
      </c>
      <c r="AH89" s="16">
        <f>IF(AD89&gt;0,in_f3/AD89,in_cap)</f>
        <v/>
      </c>
      <c r="AI89" s="16">
        <f>MIN(in_cap,AF89,AG89,AH89)</f>
        <v/>
      </c>
      <c r="AJ89" s="30">
        <f>100*(1-(1-X89*(1-EXP(-((AI89)+(0))/Y89)))*(1-MIN(ABS(in_elas)*W89*R89*(AI89)/V89,1)))</f>
        <v/>
      </c>
      <c r="AK89" s="17">
        <f>IF(AI89&gt;=in_cap-1E-9,"rate cap",TRIM(IF(ABS(AI89-AF89)&lt;1E-9,"F1 ","")&amp;IF(ABS(AI89-AG89)&lt;1E-9,"F2 ","")&amp;IF(ABS(AI89-AH89)&lt;1E-9,"F3","")))</f>
        <v/>
      </c>
      <c r="AL89" s="15">
        <f>100*(1-(1-X89*(1-EXP(-((MIN(in_cap,IF(AB89&gt;0,(in_f1+1)/AB89,in_cap),AG89,AH89))+(0))/Y89)))*(1-MIN(ABS(in_elas)*W89*R89*(MIN(in_cap,IF(AB89&gt;0,(in_f1+1)/AB89,in_cap),AG89,AH89))/V89,1)))-AJ89</f>
        <v/>
      </c>
      <c r="AM89" s="16">
        <f>MIN(in_cap,IF(AE89&gt;0,in_f3/AE89,in_cap))</f>
        <v/>
      </c>
      <c r="AN89" s="30">
        <f>100*(1-(1-X89*(1-EXP(-((0)+(AM89))/Y89)))*(1-MIN(ABS(in_elas)*W89*R89*(0)/V89,1)))</f>
        <v/>
      </c>
      <c r="AO89" s="17">
        <f>IF(AM89&gt;=in_cap-1E-9,"rate cap","F3")</f>
        <v/>
      </c>
      <c r="AP89" s="15">
        <f>100*(1-(1-X89*(1-EXP(-((50)+(0))/Y89)))*(1-MIN(ABS(in_elas)*W89*R89*(50)/V89,1)))</f>
        <v/>
      </c>
      <c r="AQ89" s="15">
        <f>100*(1-(1-X89*(1-EXP(-((0)+(50))/Y89)))*(1-MIN(ABS(in_elas)*W89*R89*(0)/V89,1)))</f>
        <v/>
      </c>
      <c r="AR89" s="15">
        <f>IF(AP89&gt;0,AQ89/AP89,"")</f>
        <v/>
      </c>
      <c r="AS89" s="16">
        <f>50*AB89</f>
        <v/>
      </c>
      <c r="AT89" s="30">
        <f>MAX(BM89:BW89)</f>
        <v/>
      </c>
      <c r="AU89" s="31">
        <f>AI89*(MATCH(AT89,BM89:BW89,0)-1)/10</f>
        <v/>
      </c>
      <c r="AV89" s="31">
        <f>INDEX(BB89:BL89,1,(MATCH(AT89,BM89:BW89,0)-1)+1)</f>
        <v/>
      </c>
      <c r="AW89" s="31">
        <f>AB89*AU89</f>
        <v/>
      </c>
      <c r="AX89" s="30">
        <f>AC89*AU89</f>
        <v/>
      </c>
      <c r="AY89" s="31">
        <f>AD89*AU89+AE89*AV89</f>
        <v/>
      </c>
      <c r="AZ89" s="32">
        <f>TRIM(IF(AND(AU89&gt;0,ABS(AU89-AF89)&lt;1E-6),"F1 ","")&amp;IF(AND(AU89&gt;0,ABS(AU89-AG89)&lt;1E-6),"F2 ","")&amp;IF(AY89&gt;=in_f3-1E-6,"F3 ","")&amp;IF(AV89&gt;=in_cap-1E-9,"rate cap",""))</f>
        <v/>
      </c>
      <c r="BA89" s="31">
        <f>Q89*AT89/100</f>
        <v/>
      </c>
      <c r="BB89" s="16">
        <f>MAX(0,MIN(in_cap,IF(AE89&gt;0,(in_f3-AD89*AI89*0/10)/AE89,in_cap)))</f>
        <v/>
      </c>
      <c r="BC89" s="16">
        <f>MAX(0,MIN(in_cap,IF(AE89&gt;0,(in_f3-AD89*AI89*1/10)/AE89,in_cap)))</f>
        <v/>
      </c>
      <c r="BD89" s="16">
        <f>MAX(0,MIN(in_cap,IF(AE89&gt;0,(in_f3-AD89*AI89*2/10)/AE89,in_cap)))</f>
        <v/>
      </c>
      <c r="BE89" s="16">
        <f>MAX(0,MIN(in_cap,IF(AE89&gt;0,(in_f3-AD89*AI89*3/10)/AE89,in_cap)))</f>
        <v/>
      </c>
      <c r="BF89" s="16">
        <f>MAX(0,MIN(in_cap,IF(AE89&gt;0,(in_f3-AD89*AI89*4/10)/AE89,in_cap)))</f>
        <v/>
      </c>
      <c r="BG89" s="16">
        <f>MAX(0,MIN(in_cap,IF(AE89&gt;0,(in_f3-AD89*AI89*5/10)/AE89,in_cap)))</f>
        <v/>
      </c>
      <c r="BH89" s="16">
        <f>MAX(0,MIN(in_cap,IF(AE89&gt;0,(in_f3-AD89*AI89*6/10)/AE89,in_cap)))</f>
        <v/>
      </c>
      <c r="BI89" s="16">
        <f>MAX(0,MIN(in_cap,IF(AE89&gt;0,(in_f3-AD89*AI89*7/10)/AE89,in_cap)))</f>
        <v/>
      </c>
      <c r="BJ89" s="16">
        <f>MAX(0,MIN(in_cap,IF(AE89&gt;0,(in_f3-AD89*AI89*8/10)/AE89,in_cap)))</f>
        <v/>
      </c>
      <c r="BK89" s="16">
        <f>MAX(0,MIN(in_cap,IF(AE89&gt;0,(in_f3-AD89*AI89*9/10)/AE89,in_cap)))</f>
        <v/>
      </c>
      <c r="BL89" s="16">
        <f>MAX(0,MIN(in_cap,IF(AE89&gt;0,(in_f3-AD89*AI89*10/10)/AE89,in_cap)))</f>
        <v/>
      </c>
      <c r="BM89" s="15">
        <f>100*(1-(1-X89*(1-EXP(-((AI89*0/10)+(BB89))/Y89)))*(1-MIN(ABS(in_elas)*W89*R89*(AI89*0/10)/V89,1)))</f>
        <v/>
      </c>
      <c r="BN89" s="15">
        <f>100*(1-(1-X89*(1-EXP(-((AI89*1/10)+(BC89))/Y89)))*(1-MIN(ABS(in_elas)*W89*R89*(AI89*1/10)/V89,1)))</f>
        <v/>
      </c>
      <c r="BO89" s="15">
        <f>100*(1-(1-X89*(1-EXP(-((AI89*2/10)+(BD89))/Y89)))*(1-MIN(ABS(in_elas)*W89*R89*(AI89*2/10)/V89,1)))</f>
        <v/>
      </c>
      <c r="BP89" s="15">
        <f>100*(1-(1-X89*(1-EXP(-((AI89*3/10)+(BE89))/Y89)))*(1-MIN(ABS(in_elas)*W89*R89*(AI89*3/10)/V89,1)))</f>
        <v/>
      </c>
      <c r="BQ89" s="15">
        <f>100*(1-(1-X89*(1-EXP(-((AI89*4/10)+(BF89))/Y89)))*(1-MIN(ABS(in_elas)*W89*R89*(AI89*4/10)/V89,1)))</f>
        <v/>
      </c>
      <c r="BR89" s="15">
        <f>100*(1-(1-X89*(1-EXP(-((AI89*5/10)+(BG89))/Y89)))*(1-MIN(ABS(in_elas)*W89*R89*(AI89*5/10)/V89,1)))</f>
        <v/>
      </c>
      <c r="BS89" s="15">
        <f>100*(1-(1-X89*(1-EXP(-((AI89*6/10)+(BH89))/Y89)))*(1-MIN(ABS(in_elas)*W89*R89*(AI89*6/10)/V89,1)))</f>
        <v/>
      </c>
      <c r="BT89" s="15">
        <f>100*(1-(1-X89*(1-EXP(-((AI89*7/10)+(BI89))/Y89)))*(1-MIN(ABS(in_elas)*W89*R89*(AI89*7/10)/V89,1)))</f>
        <v/>
      </c>
      <c r="BU89" s="15">
        <f>100*(1-(1-X89*(1-EXP(-((AI89*8/10)+(BJ89))/Y89)))*(1-MIN(ABS(in_elas)*W89*R89*(AI89*8/10)/V89,1)))</f>
        <v/>
      </c>
      <c r="BV89" s="15">
        <f>100*(1-(1-X89*(1-EXP(-((AI89*9/10)+(BK89))/Y89)))*(1-MIN(ABS(in_elas)*W89*R89*(AI89*9/10)/V89,1)))</f>
        <v/>
      </c>
      <c r="BW89" s="15">
        <f>100*(1-(1-X89*(1-EXP(-((AI89*10/10)+(BL89))/Y89)))*(1-MIN(ABS(in_elas)*W89*R89*(AI89*10/10)/V89,1)))</f>
        <v/>
      </c>
    </row>
    <row r="90">
      <c r="A90" s="17" t="inlineStr">
        <is>
          <t>LBN</t>
        </is>
      </c>
      <c r="B90" s="17">
        <f>INDEX(Data!$B:$B,MATCH($A90,Data!$A:$A,0))</f>
        <v/>
      </c>
      <c r="C90" s="17">
        <f>INDEX(Data!$D:$D,MATCH($A90,Data!$A:$A,0))</f>
        <v/>
      </c>
      <c r="D90" s="16">
        <f>SUMIFS(Data!$G:$G,Data!$A:$A,$A90,Data!$F:$F,"gen_coal_twh")</f>
        <v/>
      </c>
      <c r="E90" s="16">
        <f>SUMIFS(Data!$G:$G,Data!$A:$A,$A90,Data!$F:$F,"gen_gas_twh")</f>
        <v/>
      </c>
      <c r="F90" s="16">
        <f>SUMIFS(Data!$G:$G,Data!$A:$A,$A90,Data!$F:$F,"gen_oil_twh")</f>
        <v/>
      </c>
      <c r="G90" s="16">
        <f>SUMIFS(Data!$G:$G,Data!$A:$A,$A90,Data!$F:$F,"gen_total_twh")</f>
        <v/>
      </c>
      <c r="H90" s="16">
        <f>SUMIFS(Data!$G:$G,Data!$A:$A,$A90,Data!$F:$F,"em_coal_mt")</f>
        <v/>
      </c>
      <c r="I90" s="16">
        <f>SUMIFS(Data!$G:$G,Data!$A:$A,$A90,Data!$F:$F,"em_gas_mt")</f>
        <v/>
      </c>
      <c r="J90" s="16">
        <f>SUMIFS(Data!$G:$G,Data!$A:$A,$A90,Data!$F:$F,"em_oil_mt")</f>
        <v/>
      </c>
      <c r="K90" s="28">
        <f>IF(COUNTIFS(Data!$A:$A,$A90,Data!$F:$F,"price_electricity_residential_usd_kwh")=0,"",SUMIFS(Data!$G:$G,Data!$A:$A,$A90,Data!$F:$F,"price_electricity_residential_usd_kwh"))</f>
        <v/>
      </c>
      <c r="L90" s="28">
        <f>IF(COUNTIFS(Data!$A:$A,$A90,Data!$F:$F,"price_coal_power_usd_gj")=0,"",SUMIFS(Data!$G:$G,Data!$A:$A,$A90,Data!$F:$F,"price_coal_power_usd_gj"))</f>
        <v/>
      </c>
      <c r="M90" s="28">
        <f>IF(COUNTIFS(Data!$A:$A,$A90,Data!$F:$F,"price_gas_power_usd_gj")=0,"",SUMIFS(Data!$G:$G,Data!$A:$A,$A90,Data!$F:$F,"price_gas_power_usd_gj"))</f>
        <v/>
      </c>
      <c r="N90" s="28">
        <f>IF(COUNTIFS(Data!$A:$A,$A90,Data!$F:$F,"price_gas_industry_usd_gj")=0,"",SUMIFS(Data!$G:$G,Data!$A:$A,$A90,Data!$F:$F,"price_gas_industry_usd_gj"))</f>
        <v/>
      </c>
      <c r="O90" s="28">
        <f>IF(COUNTIFS(Data!$A:$A,$A90,Data!$F:$F,"power_market_structure")=0,"",SUMIFS(Data!$G:$G,Data!$A:$A,$A90,Data!$F:$F,"power_market_structure"))</f>
        <v/>
      </c>
      <c r="P90" s="28">
        <f>IF(COUNTIFS(Data!$A:$A,$A90,Data!$F:$F,"rise_renewable_energy_score")=0,"",SUMIFS(Data!$G:$G,Data!$A:$A,$A90,Data!$F:$F,"rise_renewable_energy_score"))</f>
        <v/>
      </c>
      <c r="Q90" s="16">
        <f>H90+I90+J90</f>
        <v/>
      </c>
      <c r="R90" s="28">
        <f>Q90/G90</f>
        <v/>
      </c>
      <c r="S90" s="28">
        <f>IF(D90&gt;0,H90/D90,0.85)</f>
        <v/>
      </c>
      <c r="T90" s="28">
        <f>IF(E90&gt;0,I90/E90,0.4)</f>
        <v/>
      </c>
      <c r="U90" s="28">
        <f>IF(D90+F90&gt;0,(H90+J90)/(D90+F90),0)</f>
        <v/>
      </c>
      <c r="V90" s="16">
        <f>K90*1000</f>
        <v/>
      </c>
      <c r="W90" s="15">
        <f>IF(O90=3,in_pt3,IF(O90=2,in_pt2,IF(O90=1,in_pt1,IF(C90="High income",in_pt_hi,in_pt_oth))))</f>
        <v/>
      </c>
      <c r="X90" s="28">
        <f>IF(Q90&gt;0,in_kappa*(in_rise_lo+(in_rise_hi-in_rise_lo)*IF(P90="",in_rise_miss,P90)/100)*(D90+F90)*MAX(U90-in_gas_rep*T90,0)/Q90,0)</f>
        <v/>
      </c>
      <c r="Y90" s="16">
        <f>IF(IF(M90="",N90,M90)="",MAX(in_sw_floor,in_sw_miss),MAX(in_sw_floor,(IF(M90="",N90,M90)*in_hr_gas-L90*in_hr_coal)/MAX(S90-T90,0.1)))</f>
        <v/>
      </c>
      <c r="Z90" s="28">
        <f>IF(C90="Low income",in_b40_li,IF(C90="Lower middle income",in_b40_lmi,IF(C90="Upper middle income",in_b40_umi,IF(C90="High income",in_b40_hi,0.03))))</f>
        <v/>
      </c>
      <c r="AA90" s="15">
        <f>(D90+F90)/G90</f>
        <v/>
      </c>
      <c r="AB90" s="28">
        <f>100*W90*R90/V90/in_phase</f>
        <v/>
      </c>
      <c r="AC90" s="29">
        <f>100*Z90*W90*R90/V90*(1-IF(W90&gt;0,MIN(in_rebate/(W90*in_res_sh*in_q40),1),1))</f>
        <v/>
      </c>
      <c r="AD90" s="28">
        <f>IF(AA90&gt;0,100*U90*(1-W90)/(in_whole_sh*V90),0)</f>
        <v/>
      </c>
      <c r="AE90" s="28">
        <f>IF(AA90&gt;0,100*MAX(U90-R90,0)/(in_whole_sh*V90),0)</f>
        <v/>
      </c>
      <c r="AF90" s="16">
        <f>IF(AB90&gt;0,in_f1/AB90,in_cap)</f>
        <v/>
      </c>
      <c r="AG90" s="16">
        <f>IF(AC90&gt;0,in_f2/AC90,in_cap)</f>
        <v/>
      </c>
      <c r="AH90" s="16">
        <f>IF(AD90&gt;0,in_f3/AD90,in_cap)</f>
        <v/>
      </c>
      <c r="AI90" s="16">
        <f>MIN(in_cap,AF90,AG90,AH90)</f>
        <v/>
      </c>
      <c r="AJ90" s="30">
        <f>100*(1-(1-X90*(1-EXP(-((AI90)+(0))/Y90)))*(1-MIN(ABS(in_elas)*W90*R90*(AI90)/V90,1)))</f>
        <v/>
      </c>
      <c r="AK90" s="17">
        <f>IF(AI90&gt;=in_cap-1E-9,"rate cap",TRIM(IF(ABS(AI90-AF90)&lt;1E-9,"F1 ","")&amp;IF(ABS(AI90-AG90)&lt;1E-9,"F2 ","")&amp;IF(ABS(AI90-AH90)&lt;1E-9,"F3","")))</f>
        <v/>
      </c>
      <c r="AL90" s="15">
        <f>100*(1-(1-X90*(1-EXP(-((MIN(in_cap,IF(AB90&gt;0,(in_f1+1)/AB90,in_cap),AG90,AH90))+(0))/Y90)))*(1-MIN(ABS(in_elas)*W90*R90*(MIN(in_cap,IF(AB90&gt;0,(in_f1+1)/AB90,in_cap),AG90,AH90))/V90,1)))-AJ90</f>
        <v/>
      </c>
      <c r="AM90" s="16">
        <f>MIN(in_cap,IF(AE90&gt;0,in_f3/AE90,in_cap))</f>
        <v/>
      </c>
      <c r="AN90" s="30">
        <f>100*(1-(1-X90*(1-EXP(-((0)+(AM90))/Y90)))*(1-MIN(ABS(in_elas)*W90*R90*(0)/V90,1)))</f>
        <v/>
      </c>
      <c r="AO90" s="17">
        <f>IF(AM90&gt;=in_cap-1E-9,"rate cap","F3")</f>
        <v/>
      </c>
      <c r="AP90" s="15">
        <f>100*(1-(1-X90*(1-EXP(-((50)+(0))/Y90)))*(1-MIN(ABS(in_elas)*W90*R90*(50)/V90,1)))</f>
        <v/>
      </c>
      <c r="AQ90" s="15">
        <f>100*(1-(1-X90*(1-EXP(-((0)+(50))/Y90)))*(1-MIN(ABS(in_elas)*W90*R90*(0)/V90,1)))</f>
        <v/>
      </c>
      <c r="AR90" s="15">
        <f>IF(AP90&gt;0,AQ90/AP90,"")</f>
        <v/>
      </c>
      <c r="AS90" s="16">
        <f>50*AB90</f>
        <v/>
      </c>
      <c r="AT90" s="30">
        <f>MAX(BM90:BW90)</f>
        <v/>
      </c>
      <c r="AU90" s="31">
        <f>AI90*(MATCH(AT90,BM90:BW90,0)-1)/10</f>
        <v/>
      </c>
      <c r="AV90" s="31">
        <f>INDEX(BB90:BL90,1,(MATCH(AT90,BM90:BW90,0)-1)+1)</f>
        <v/>
      </c>
      <c r="AW90" s="31">
        <f>AB90*AU90</f>
        <v/>
      </c>
      <c r="AX90" s="30">
        <f>AC90*AU90</f>
        <v/>
      </c>
      <c r="AY90" s="31">
        <f>AD90*AU90+AE90*AV90</f>
        <v/>
      </c>
      <c r="AZ90" s="32">
        <f>TRIM(IF(AND(AU90&gt;0,ABS(AU90-AF90)&lt;1E-6),"F1 ","")&amp;IF(AND(AU90&gt;0,ABS(AU90-AG90)&lt;1E-6),"F2 ","")&amp;IF(AY90&gt;=in_f3-1E-6,"F3 ","")&amp;IF(AV90&gt;=in_cap-1E-9,"rate cap",""))</f>
        <v/>
      </c>
      <c r="BA90" s="31">
        <f>Q90*AT90/100</f>
        <v/>
      </c>
      <c r="BB90" s="16">
        <f>MAX(0,MIN(in_cap,IF(AE90&gt;0,(in_f3-AD90*AI90*0/10)/AE90,in_cap)))</f>
        <v/>
      </c>
      <c r="BC90" s="16">
        <f>MAX(0,MIN(in_cap,IF(AE90&gt;0,(in_f3-AD90*AI90*1/10)/AE90,in_cap)))</f>
        <v/>
      </c>
      <c r="BD90" s="16">
        <f>MAX(0,MIN(in_cap,IF(AE90&gt;0,(in_f3-AD90*AI90*2/10)/AE90,in_cap)))</f>
        <v/>
      </c>
      <c r="BE90" s="16">
        <f>MAX(0,MIN(in_cap,IF(AE90&gt;0,(in_f3-AD90*AI90*3/10)/AE90,in_cap)))</f>
        <v/>
      </c>
      <c r="BF90" s="16">
        <f>MAX(0,MIN(in_cap,IF(AE90&gt;0,(in_f3-AD90*AI90*4/10)/AE90,in_cap)))</f>
        <v/>
      </c>
      <c r="BG90" s="16">
        <f>MAX(0,MIN(in_cap,IF(AE90&gt;0,(in_f3-AD90*AI90*5/10)/AE90,in_cap)))</f>
        <v/>
      </c>
      <c r="BH90" s="16">
        <f>MAX(0,MIN(in_cap,IF(AE90&gt;0,(in_f3-AD90*AI90*6/10)/AE90,in_cap)))</f>
        <v/>
      </c>
      <c r="BI90" s="16">
        <f>MAX(0,MIN(in_cap,IF(AE90&gt;0,(in_f3-AD90*AI90*7/10)/AE90,in_cap)))</f>
        <v/>
      </c>
      <c r="BJ90" s="16">
        <f>MAX(0,MIN(in_cap,IF(AE90&gt;0,(in_f3-AD90*AI90*8/10)/AE90,in_cap)))</f>
        <v/>
      </c>
      <c r="BK90" s="16">
        <f>MAX(0,MIN(in_cap,IF(AE90&gt;0,(in_f3-AD90*AI90*9/10)/AE90,in_cap)))</f>
        <v/>
      </c>
      <c r="BL90" s="16">
        <f>MAX(0,MIN(in_cap,IF(AE90&gt;0,(in_f3-AD90*AI90*10/10)/AE90,in_cap)))</f>
        <v/>
      </c>
      <c r="BM90" s="15">
        <f>100*(1-(1-X90*(1-EXP(-((AI90*0/10)+(BB90))/Y90)))*(1-MIN(ABS(in_elas)*W90*R90*(AI90*0/10)/V90,1)))</f>
        <v/>
      </c>
      <c r="BN90" s="15">
        <f>100*(1-(1-X90*(1-EXP(-((AI90*1/10)+(BC90))/Y90)))*(1-MIN(ABS(in_elas)*W90*R90*(AI90*1/10)/V90,1)))</f>
        <v/>
      </c>
      <c r="BO90" s="15">
        <f>100*(1-(1-X90*(1-EXP(-((AI90*2/10)+(BD90))/Y90)))*(1-MIN(ABS(in_elas)*W90*R90*(AI90*2/10)/V90,1)))</f>
        <v/>
      </c>
      <c r="BP90" s="15">
        <f>100*(1-(1-X90*(1-EXP(-((AI90*3/10)+(BE90))/Y90)))*(1-MIN(ABS(in_elas)*W90*R90*(AI90*3/10)/V90,1)))</f>
        <v/>
      </c>
      <c r="BQ90" s="15">
        <f>100*(1-(1-X90*(1-EXP(-((AI90*4/10)+(BF90))/Y90)))*(1-MIN(ABS(in_elas)*W90*R90*(AI90*4/10)/V90,1)))</f>
        <v/>
      </c>
      <c r="BR90" s="15">
        <f>100*(1-(1-X90*(1-EXP(-((AI90*5/10)+(BG90))/Y90)))*(1-MIN(ABS(in_elas)*W90*R90*(AI90*5/10)/V90,1)))</f>
        <v/>
      </c>
      <c r="BS90" s="15">
        <f>100*(1-(1-X90*(1-EXP(-((AI90*6/10)+(BH90))/Y90)))*(1-MIN(ABS(in_elas)*W90*R90*(AI90*6/10)/V90,1)))</f>
        <v/>
      </c>
      <c r="BT90" s="15">
        <f>100*(1-(1-X90*(1-EXP(-((AI90*7/10)+(BI90))/Y90)))*(1-MIN(ABS(in_elas)*W90*R90*(AI90*7/10)/V90,1)))</f>
        <v/>
      </c>
      <c r="BU90" s="15">
        <f>100*(1-(1-X90*(1-EXP(-((AI90*8/10)+(BJ90))/Y90)))*(1-MIN(ABS(in_elas)*W90*R90*(AI90*8/10)/V90,1)))</f>
        <v/>
      </c>
      <c r="BV90" s="15">
        <f>100*(1-(1-X90*(1-EXP(-((AI90*9/10)+(BK90))/Y90)))*(1-MIN(ABS(in_elas)*W90*R90*(AI90*9/10)/V90,1)))</f>
        <v/>
      </c>
      <c r="BW90" s="15">
        <f>100*(1-(1-X90*(1-EXP(-((AI90*10/10)+(BL90))/Y90)))*(1-MIN(ABS(in_elas)*W90*R90*(AI90*10/10)/V90,1)))</f>
        <v/>
      </c>
    </row>
    <row r="91">
      <c r="A91" s="17" t="inlineStr">
        <is>
          <t>LBR</t>
        </is>
      </c>
      <c r="B91" s="17">
        <f>INDEX(Data!$B:$B,MATCH($A91,Data!$A:$A,0))</f>
        <v/>
      </c>
      <c r="C91" s="17">
        <f>INDEX(Data!$D:$D,MATCH($A91,Data!$A:$A,0))</f>
        <v/>
      </c>
      <c r="D91" s="16">
        <f>SUMIFS(Data!$G:$G,Data!$A:$A,$A91,Data!$F:$F,"gen_coal_twh")</f>
        <v/>
      </c>
      <c r="E91" s="16">
        <f>SUMIFS(Data!$G:$G,Data!$A:$A,$A91,Data!$F:$F,"gen_gas_twh")</f>
        <v/>
      </c>
      <c r="F91" s="16">
        <f>SUMIFS(Data!$G:$G,Data!$A:$A,$A91,Data!$F:$F,"gen_oil_twh")</f>
        <v/>
      </c>
      <c r="G91" s="16">
        <f>SUMIFS(Data!$G:$G,Data!$A:$A,$A91,Data!$F:$F,"gen_total_twh")</f>
        <v/>
      </c>
      <c r="H91" s="16">
        <f>SUMIFS(Data!$G:$G,Data!$A:$A,$A91,Data!$F:$F,"em_coal_mt")</f>
        <v/>
      </c>
      <c r="I91" s="16">
        <f>SUMIFS(Data!$G:$G,Data!$A:$A,$A91,Data!$F:$F,"em_gas_mt")</f>
        <v/>
      </c>
      <c r="J91" s="16">
        <f>SUMIFS(Data!$G:$G,Data!$A:$A,$A91,Data!$F:$F,"em_oil_mt")</f>
        <v/>
      </c>
      <c r="K91" s="28">
        <f>IF(COUNTIFS(Data!$A:$A,$A91,Data!$F:$F,"price_electricity_residential_usd_kwh")=0,"",SUMIFS(Data!$G:$G,Data!$A:$A,$A91,Data!$F:$F,"price_electricity_residential_usd_kwh"))</f>
        <v/>
      </c>
      <c r="L91" s="28">
        <f>IF(COUNTIFS(Data!$A:$A,$A91,Data!$F:$F,"price_coal_power_usd_gj")=0,"",SUMIFS(Data!$G:$G,Data!$A:$A,$A91,Data!$F:$F,"price_coal_power_usd_gj"))</f>
        <v/>
      </c>
      <c r="M91" s="28">
        <f>IF(COUNTIFS(Data!$A:$A,$A91,Data!$F:$F,"price_gas_power_usd_gj")=0,"",SUMIFS(Data!$G:$G,Data!$A:$A,$A91,Data!$F:$F,"price_gas_power_usd_gj"))</f>
        <v/>
      </c>
      <c r="N91" s="28">
        <f>IF(COUNTIFS(Data!$A:$A,$A91,Data!$F:$F,"price_gas_industry_usd_gj")=0,"",SUMIFS(Data!$G:$G,Data!$A:$A,$A91,Data!$F:$F,"price_gas_industry_usd_gj"))</f>
        <v/>
      </c>
      <c r="O91" s="28">
        <f>IF(COUNTIFS(Data!$A:$A,$A91,Data!$F:$F,"power_market_structure")=0,"",SUMIFS(Data!$G:$G,Data!$A:$A,$A91,Data!$F:$F,"power_market_structure"))</f>
        <v/>
      </c>
      <c r="P91" s="28">
        <f>IF(COUNTIFS(Data!$A:$A,$A91,Data!$F:$F,"rise_renewable_energy_score")=0,"",SUMIFS(Data!$G:$G,Data!$A:$A,$A91,Data!$F:$F,"rise_renewable_energy_score"))</f>
        <v/>
      </c>
      <c r="Q91" s="16">
        <f>H91+I91+J91</f>
        <v/>
      </c>
      <c r="R91" s="28">
        <f>Q91/G91</f>
        <v/>
      </c>
      <c r="S91" s="28">
        <f>IF(D91&gt;0,H91/D91,0.85)</f>
        <v/>
      </c>
      <c r="T91" s="28">
        <f>IF(E91&gt;0,I91/E91,0.4)</f>
        <v/>
      </c>
      <c r="U91" s="28">
        <f>IF(D91+F91&gt;0,(H91+J91)/(D91+F91),0)</f>
        <v/>
      </c>
      <c r="V91" s="16">
        <f>K91*1000</f>
        <v/>
      </c>
      <c r="W91" s="15">
        <f>IF(O91=3,in_pt3,IF(O91=2,in_pt2,IF(O91=1,in_pt1,IF(C91="High income",in_pt_hi,in_pt_oth))))</f>
        <v/>
      </c>
      <c r="X91" s="28">
        <f>IF(Q91&gt;0,in_kappa*(in_rise_lo+(in_rise_hi-in_rise_lo)*IF(P91="",in_rise_miss,P91)/100)*(D91+F91)*MAX(U91-in_gas_rep*T91,0)/Q91,0)</f>
        <v/>
      </c>
      <c r="Y91" s="16">
        <f>IF(IF(M91="",N91,M91)="",MAX(in_sw_floor,in_sw_miss),MAX(in_sw_floor,(IF(M91="",N91,M91)*in_hr_gas-L91*in_hr_coal)/MAX(S91-T91,0.1)))</f>
        <v/>
      </c>
      <c r="Z91" s="28">
        <f>IF(C91="Low income",in_b40_li,IF(C91="Lower middle income",in_b40_lmi,IF(C91="Upper middle income",in_b40_umi,IF(C91="High income",in_b40_hi,0.03))))</f>
        <v/>
      </c>
      <c r="AA91" s="15">
        <f>(D91+F91)/G91</f>
        <v/>
      </c>
      <c r="AB91" s="28">
        <f>100*W91*R91/V91/in_phase</f>
        <v/>
      </c>
      <c r="AC91" s="29">
        <f>100*Z91*W91*R91/V91*(1-IF(W91&gt;0,MIN(in_rebate/(W91*in_res_sh*in_q40),1),1))</f>
        <v/>
      </c>
      <c r="AD91" s="28">
        <f>IF(AA91&gt;0,100*U91*(1-W91)/(in_whole_sh*V91),0)</f>
        <v/>
      </c>
      <c r="AE91" s="28">
        <f>IF(AA91&gt;0,100*MAX(U91-R91,0)/(in_whole_sh*V91),0)</f>
        <v/>
      </c>
      <c r="AF91" s="16">
        <f>IF(AB91&gt;0,in_f1/AB91,in_cap)</f>
        <v/>
      </c>
      <c r="AG91" s="16">
        <f>IF(AC91&gt;0,in_f2/AC91,in_cap)</f>
        <v/>
      </c>
      <c r="AH91" s="16">
        <f>IF(AD91&gt;0,in_f3/AD91,in_cap)</f>
        <v/>
      </c>
      <c r="AI91" s="16">
        <f>MIN(in_cap,AF91,AG91,AH91)</f>
        <v/>
      </c>
      <c r="AJ91" s="30">
        <f>100*(1-(1-X91*(1-EXP(-((AI91)+(0))/Y91)))*(1-MIN(ABS(in_elas)*W91*R91*(AI91)/V91,1)))</f>
        <v/>
      </c>
      <c r="AK91" s="17">
        <f>IF(AI91&gt;=in_cap-1E-9,"rate cap",TRIM(IF(ABS(AI91-AF91)&lt;1E-9,"F1 ","")&amp;IF(ABS(AI91-AG91)&lt;1E-9,"F2 ","")&amp;IF(ABS(AI91-AH91)&lt;1E-9,"F3","")))</f>
        <v/>
      </c>
      <c r="AL91" s="15">
        <f>100*(1-(1-X91*(1-EXP(-((MIN(in_cap,IF(AB91&gt;0,(in_f1+1)/AB91,in_cap),AG91,AH91))+(0))/Y91)))*(1-MIN(ABS(in_elas)*W91*R91*(MIN(in_cap,IF(AB91&gt;0,(in_f1+1)/AB91,in_cap),AG91,AH91))/V91,1)))-AJ91</f>
        <v/>
      </c>
      <c r="AM91" s="16">
        <f>MIN(in_cap,IF(AE91&gt;0,in_f3/AE91,in_cap))</f>
        <v/>
      </c>
      <c r="AN91" s="30">
        <f>100*(1-(1-X91*(1-EXP(-((0)+(AM91))/Y91)))*(1-MIN(ABS(in_elas)*W91*R91*(0)/V91,1)))</f>
        <v/>
      </c>
      <c r="AO91" s="17">
        <f>IF(AM91&gt;=in_cap-1E-9,"rate cap","F3")</f>
        <v/>
      </c>
      <c r="AP91" s="15">
        <f>100*(1-(1-X91*(1-EXP(-((50)+(0))/Y91)))*(1-MIN(ABS(in_elas)*W91*R91*(50)/V91,1)))</f>
        <v/>
      </c>
      <c r="AQ91" s="15">
        <f>100*(1-(1-X91*(1-EXP(-((0)+(50))/Y91)))*(1-MIN(ABS(in_elas)*W91*R91*(0)/V91,1)))</f>
        <v/>
      </c>
      <c r="AR91" s="15">
        <f>IF(AP91&gt;0,AQ91/AP91,"")</f>
        <v/>
      </c>
      <c r="AS91" s="16">
        <f>50*AB91</f>
        <v/>
      </c>
      <c r="AT91" s="30">
        <f>MAX(BM91:BW91)</f>
        <v/>
      </c>
      <c r="AU91" s="31">
        <f>AI91*(MATCH(AT91,BM91:BW91,0)-1)/10</f>
        <v/>
      </c>
      <c r="AV91" s="31">
        <f>INDEX(BB91:BL91,1,(MATCH(AT91,BM91:BW91,0)-1)+1)</f>
        <v/>
      </c>
      <c r="AW91" s="31">
        <f>AB91*AU91</f>
        <v/>
      </c>
      <c r="AX91" s="30">
        <f>AC91*AU91</f>
        <v/>
      </c>
      <c r="AY91" s="31">
        <f>AD91*AU91+AE91*AV91</f>
        <v/>
      </c>
      <c r="AZ91" s="32">
        <f>TRIM(IF(AND(AU91&gt;0,ABS(AU91-AF91)&lt;1E-6),"F1 ","")&amp;IF(AND(AU91&gt;0,ABS(AU91-AG91)&lt;1E-6),"F2 ","")&amp;IF(AY91&gt;=in_f3-1E-6,"F3 ","")&amp;IF(AV91&gt;=in_cap-1E-9,"rate cap",""))</f>
        <v/>
      </c>
      <c r="BA91" s="31">
        <f>Q91*AT91/100</f>
        <v/>
      </c>
      <c r="BB91" s="16">
        <f>MAX(0,MIN(in_cap,IF(AE91&gt;0,(in_f3-AD91*AI91*0/10)/AE91,in_cap)))</f>
        <v/>
      </c>
      <c r="BC91" s="16">
        <f>MAX(0,MIN(in_cap,IF(AE91&gt;0,(in_f3-AD91*AI91*1/10)/AE91,in_cap)))</f>
        <v/>
      </c>
      <c r="BD91" s="16">
        <f>MAX(0,MIN(in_cap,IF(AE91&gt;0,(in_f3-AD91*AI91*2/10)/AE91,in_cap)))</f>
        <v/>
      </c>
      <c r="BE91" s="16">
        <f>MAX(0,MIN(in_cap,IF(AE91&gt;0,(in_f3-AD91*AI91*3/10)/AE91,in_cap)))</f>
        <v/>
      </c>
      <c r="BF91" s="16">
        <f>MAX(0,MIN(in_cap,IF(AE91&gt;0,(in_f3-AD91*AI91*4/10)/AE91,in_cap)))</f>
        <v/>
      </c>
      <c r="BG91" s="16">
        <f>MAX(0,MIN(in_cap,IF(AE91&gt;0,(in_f3-AD91*AI91*5/10)/AE91,in_cap)))</f>
        <v/>
      </c>
      <c r="BH91" s="16">
        <f>MAX(0,MIN(in_cap,IF(AE91&gt;0,(in_f3-AD91*AI91*6/10)/AE91,in_cap)))</f>
        <v/>
      </c>
      <c r="BI91" s="16">
        <f>MAX(0,MIN(in_cap,IF(AE91&gt;0,(in_f3-AD91*AI91*7/10)/AE91,in_cap)))</f>
        <v/>
      </c>
      <c r="BJ91" s="16">
        <f>MAX(0,MIN(in_cap,IF(AE91&gt;0,(in_f3-AD91*AI91*8/10)/AE91,in_cap)))</f>
        <v/>
      </c>
      <c r="BK91" s="16">
        <f>MAX(0,MIN(in_cap,IF(AE91&gt;0,(in_f3-AD91*AI91*9/10)/AE91,in_cap)))</f>
        <v/>
      </c>
      <c r="BL91" s="16">
        <f>MAX(0,MIN(in_cap,IF(AE91&gt;0,(in_f3-AD91*AI91*10/10)/AE91,in_cap)))</f>
        <v/>
      </c>
      <c r="BM91" s="15">
        <f>100*(1-(1-X91*(1-EXP(-((AI91*0/10)+(BB91))/Y91)))*(1-MIN(ABS(in_elas)*W91*R91*(AI91*0/10)/V91,1)))</f>
        <v/>
      </c>
      <c r="BN91" s="15">
        <f>100*(1-(1-X91*(1-EXP(-((AI91*1/10)+(BC91))/Y91)))*(1-MIN(ABS(in_elas)*W91*R91*(AI91*1/10)/V91,1)))</f>
        <v/>
      </c>
      <c r="BO91" s="15">
        <f>100*(1-(1-X91*(1-EXP(-((AI91*2/10)+(BD91))/Y91)))*(1-MIN(ABS(in_elas)*W91*R91*(AI91*2/10)/V91,1)))</f>
        <v/>
      </c>
      <c r="BP91" s="15">
        <f>100*(1-(1-X91*(1-EXP(-((AI91*3/10)+(BE91))/Y91)))*(1-MIN(ABS(in_elas)*W91*R91*(AI91*3/10)/V91,1)))</f>
        <v/>
      </c>
      <c r="BQ91" s="15">
        <f>100*(1-(1-X91*(1-EXP(-((AI91*4/10)+(BF91))/Y91)))*(1-MIN(ABS(in_elas)*W91*R91*(AI91*4/10)/V91,1)))</f>
        <v/>
      </c>
      <c r="BR91" s="15">
        <f>100*(1-(1-X91*(1-EXP(-((AI91*5/10)+(BG91))/Y91)))*(1-MIN(ABS(in_elas)*W91*R91*(AI91*5/10)/V91,1)))</f>
        <v/>
      </c>
      <c r="BS91" s="15">
        <f>100*(1-(1-X91*(1-EXP(-((AI91*6/10)+(BH91))/Y91)))*(1-MIN(ABS(in_elas)*W91*R91*(AI91*6/10)/V91,1)))</f>
        <v/>
      </c>
      <c r="BT91" s="15">
        <f>100*(1-(1-X91*(1-EXP(-((AI91*7/10)+(BI91))/Y91)))*(1-MIN(ABS(in_elas)*W91*R91*(AI91*7/10)/V91,1)))</f>
        <v/>
      </c>
      <c r="BU91" s="15">
        <f>100*(1-(1-X91*(1-EXP(-((AI91*8/10)+(BJ91))/Y91)))*(1-MIN(ABS(in_elas)*W91*R91*(AI91*8/10)/V91,1)))</f>
        <v/>
      </c>
      <c r="BV91" s="15">
        <f>100*(1-(1-X91*(1-EXP(-((AI91*9/10)+(BK91))/Y91)))*(1-MIN(ABS(in_elas)*W91*R91*(AI91*9/10)/V91,1)))</f>
        <v/>
      </c>
      <c r="BW91" s="15">
        <f>100*(1-(1-X91*(1-EXP(-((AI91*10/10)+(BL91))/Y91)))*(1-MIN(ABS(in_elas)*W91*R91*(AI91*10/10)/V91,1)))</f>
        <v/>
      </c>
    </row>
    <row r="92">
      <c r="A92" s="17" t="inlineStr">
        <is>
          <t>LBY</t>
        </is>
      </c>
      <c r="B92" s="17">
        <f>INDEX(Data!$B:$B,MATCH($A92,Data!$A:$A,0))</f>
        <v/>
      </c>
      <c r="C92" s="17">
        <f>INDEX(Data!$D:$D,MATCH($A92,Data!$A:$A,0))</f>
        <v/>
      </c>
      <c r="D92" s="16">
        <f>SUMIFS(Data!$G:$G,Data!$A:$A,$A92,Data!$F:$F,"gen_coal_twh")</f>
        <v/>
      </c>
      <c r="E92" s="16">
        <f>SUMIFS(Data!$G:$G,Data!$A:$A,$A92,Data!$F:$F,"gen_gas_twh")</f>
        <v/>
      </c>
      <c r="F92" s="16">
        <f>SUMIFS(Data!$G:$G,Data!$A:$A,$A92,Data!$F:$F,"gen_oil_twh")</f>
        <v/>
      </c>
      <c r="G92" s="16">
        <f>SUMIFS(Data!$G:$G,Data!$A:$A,$A92,Data!$F:$F,"gen_total_twh")</f>
        <v/>
      </c>
      <c r="H92" s="16">
        <f>SUMIFS(Data!$G:$G,Data!$A:$A,$A92,Data!$F:$F,"em_coal_mt")</f>
        <v/>
      </c>
      <c r="I92" s="16">
        <f>SUMIFS(Data!$G:$G,Data!$A:$A,$A92,Data!$F:$F,"em_gas_mt")</f>
        <v/>
      </c>
      <c r="J92" s="16">
        <f>SUMIFS(Data!$G:$G,Data!$A:$A,$A92,Data!$F:$F,"em_oil_mt")</f>
        <v/>
      </c>
      <c r="K92" s="28">
        <f>IF(COUNTIFS(Data!$A:$A,$A92,Data!$F:$F,"price_electricity_residential_usd_kwh")=0,"",SUMIFS(Data!$G:$G,Data!$A:$A,$A92,Data!$F:$F,"price_electricity_residential_usd_kwh"))</f>
        <v/>
      </c>
      <c r="L92" s="28">
        <f>IF(COUNTIFS(Data!$A:$A,$A92,Data!$F:$F,"price_coal_power_usd_gj")=0,"",SUMIFS(Data!$G:$G,Data!$A:$A,$A92,Data!$F:$F,"price_coal_power_usd_gj"))</f>
        <v/>
      </c>
      <c r="M92" s="28">
        <f>IF(COUNTIFS(Data!$A:$A,$A92,Data!$F:$F,"price_gas_power_usd_gj")=0,"",SUMIFS(Data!$G:$G,Data!$A:$A,$A92,Data!$F:$F,"price_gas_power_usd_gj"))</f>
        <v/>
      </c>
      <c r="N92" s="28">
        <f>IF(COUNTIFS(Data!$A:$A,$A92,Data!$F:$F,"price_gas_industry_usd_gj")=0,"",SUMIFS(Data!$G:$G,Data!$A:$A,$A92,Data!$F:$F,"price_gas_industry_usd_gj"))</f>
        <v/>
      </c>
      <c r="O92" s="28">
        <f>IF(COUNTIFS(Data!$A:$A,$A92,Data!$F:$F,"power_market_structure")=0,"",SUMIFS(Data!$G:$G,Data!$A:$A,$A92,Data!$F:$F,"power_market_structure"))</f>
        <v/>
      </c>
      <c r="P92" s="28">
        <f>IF(COUNTIFS(Data!$A:$A,$A92,Data!$F:$F,"rise_renewable_energy_score")=0,"",SUMIFS(Data!$G:$G,Data!$A:$A,$A92,Data!$F:$F,"rise_renewable_energy_score"))</f>
        <v/>
      </c>
      <c r="Q92" s="16">
        <f>H92+I92+J92</f>
        <v/>
      </c>
      <c r="R92" s="28">
        <f>Q92/G92</f>
        <v/>
      </c>
      <c r="S92" s="28">
        <f>IF(D92&gt;0,H92/D92,0.85)</f>
        <v/>
      </c>
      <c r="T92" s="28">
        <f>IF(E92&gt;0,I92/E92,0.4)</f>
        <v/>
      </c>
      <c r="U92" s="28">
        <f>IF(D92+F92&gt;0,(H92+J92)/(D92+F92),0)</f>
        <v/>
      </c>
      <c r="V92" s="16">
        <f>K92*1000</f>
        <v/>
      </c>
      <c r="W92" s="15">
        <f>IF(O92=3,in_pt3,IF(O92=2,in_pt2,IF(O92=1,in_pt1,IF(C92="High income",in_pt_hi,in_pt_oth))))</f>
        <v/>
      </c>
      <c r="X92" s="28">
        <f>IF(Q92&gt;0,in_kappa*(in_rise_lo+(in_rise_hi-in_rise_lo)*IF(P92="",in_rise_miss,P92)/100)*(D92+F92)*MAX(U92-in_gas_rep*T92,0)/Q92,0)</f>
        <v/>
      </c>
      <c r="Y92" s="16">
        <f>IF(IF(M92="",N92,M92)="",MAX(in_sw_floor,in_sw_miss),MAX(in_sw_floor,(IF(M92="",N92,M92)*in_hr_gas-L92*in_hr_coal)/MAX(S92-T92,0.1)))</f>
        <v/>
      </c>
      <c r="Z92" s="28">
        <f>IF(C92="Low income",in_b40_li,IF(C92="Lower middle income",in_b40_lmi,IF(C92="Upper middle income",in_b40_umi,IF(C92="High income",in_b40_hi,0.03))))</f>
        <v/>
      </c>
      <c r="AA92" s="15">
        <f>(D92+F92)/G92</f>
        <v/>
      </c>
      <c r="AB92" s="28">
        <f>100*W92*R92/V92/in_phase</f>
        <v/>
      </c>
      <c r="AC92" s="29">
        <f>100*Z92*W92*R92/V92*(1-IF(W92&gt;0,MIN(in_rebate/(W92*in_res_sh*in_q40),1),1))</f>
        <v/>
      </c>
      <c r="AD92" s="28">
        <f>IF(AA92&gt;0,100*U92*(1-W92)/(in_whole_sh*V92),0)</f>
        <v/>
      </c>
      <c r="AE92" s="28">
        <f>IF(AA92&gt;0,100*MAX(U92-R92,0)/(in_whole_sh*V92),0)</f>
        <v/>
      </c>
      <c r="AF92" s="16">
        <f>IF(AB92&gt;0,in_f1/AB92,in_cap)</f>
        <v/>
      </c>
      <c r="AG92" s="16">
        <f>IF(AC92&gt;0,in_f2/AC92,in_cap)</f>
        <v/>
      </c>
      <c r="AH92" s="16">
        <f>IF(AD92&gt;0,in_f3/AD92,in_cap)</f>
        <v/>
      </c>
      <c r="AI92" s="16">
        <f>MIN(in_cap,AF92,AG92,AH92)</f>
        <v/>
      </c>
      <c r="AJ92" s="30">
        <f>100*(1-(1-X92*(1-EXP(-((AI92)+(0))/Y92)))*(1-MIN(ABS(in_elas)*W92*R92*(AI92)/V92,1)))</f>
        <v/>
      </c>
      <c r="AK92" s="17">
        <f>IF(AI92&gt;=in_cap-1E-9,"rate cap",TRIM(IF(ABS(AI92-AF92)&lt;1E-9,"F1 ","")&amp;IF(ABS(AI92-AG92)&lt;1E-9,"F2 ","")&amp;IF(ABS(AI92-AH92)&lt;1E-9,"F3","")))</f>
        <v/>
      </c>
      <c r="AL92" s="15">
        <f>100*(1-(1-X92*(1-EXP(-((MIN(in_cap,IF(AB92&gt;0,(in_f1+1)/AB92,in_cap),AG92,AH92))+(0))/Y92)))*(1-MIN(ABS(in_elas)*W92*R92*(MIN(in_cap,IF(AB92&gt;0,(in_f1+1)/AB92,in_cap),AG92,AH92))/V92,1)))-AJ92</f>
        <v/>
      </c>
      <c r="AM92" s="16">
        <f>MIN(in_cap,IF(AE92&gt;0,in_f3/AE92,in_cap))</f>
        <v/>
      </c>
      <c r="AN92" s="30">
        <f>100*(1-(1-X92*(1-EXP(-((0)+(AM92))/Y92)))*(1-MIN(ABS(in_elas)*W92*R92*(0)/V92,1)))</f>
        <v/>
      </c>
      <c r="AO92" s="17">
        <f>IF(AM92&gt;=in_cap-1E-9,"rate cap","F3")</f>
        <v/>
      </c>
      <c r="AP92" s="15">
        <f>100*(1-(1-X92*(1-EXP(-((50)+(0))/Y92)))*(1-MIN(ABS(in_elas)*W92*R92*(50)/V92,1)))</f>
        <v/>
      </c>
      <c r="AQ92" s="15">
        <f>100*(1-(1-X92*(1-EXP(-((0)+(50))/Y92)))*(1-MIN(ABS(in_elas)*W92*R92*(0)/V92,1)))</f>
        <v/>
      </c>
      <c r="AR92" s="15">
        <f>IF(AP92&gt;0,AQ92/AP92,"")</f>
        <v/>
      </c>
      <c r="AS92" s="16">
        <f>50*AB92</f>
        <v/>
      </c>
      <c r="AT92" s="30">
        <f>MAX(BM92:BW92)</f>
        <v/>
      </c>
      <c r="AU92" s="31">
        <f>AI92*(MATCH(AT92,BM92:BW92,0)-1)/10</f>
        <v/>
      </c>
      <c r="AV92" s="31">
        <f>INDEX(BB92:BL92,1,(MATCH(AT92,BM92:BW92,0)-1)+1)</f>
        <v/>
      </c>
      <c r="AW92" s="31">
        <f>AB92*AU92</f>
        <v/>
      </c>
      <c r="AX92" s="30">
        <f>AC92*AU92</f>
        <v/>
      </c>
      <c r="AY92" s="31">
        <f>AD92*AU92+AE92*AV92</f>
        <v/>
      </c>
      <c r="AZ92" s="32">
        <f>TRIM(IF(AND(AU92&gt;0,ABS(AU92-AF92)&lt;1E-6),"F1 ","")&amp;IF(AND(AU92&gt;0,ABS(AU92-AG92)&lt;1E-6),"F2 ","")&amp;IF(AY92&gt;=in_f3-1E-6,"F3 ","")&amp;IF(AV92&gt;=in_cap-1E-9,"rate cap",""))</f>
        <v/>
      </c>
      <c r="BA92" s="31">
        <f>Q92*AT92/100</f>
        <v/>
      </c>
      <c r="BB92" s="16">
        <f>MAX(0,MIN(in_cap,IF(AE92&gt;0,(in_f3-AD92*AI92*0/10)/AE92,in_cap)))</f>
        <v/>
      </c>
      <c r="BC92" s="16">
        <f>MAX(0,MIN(in_cap,IF(AE92&gt;0,(in_f3-AD92*AI92*1/10)/AE92,in_cap)))</f>
        <v/>
      </c>
      <c r="BD92" s="16">
        <f>MAX(0,MIN(in_cap,IF(AE92&gt;0,(in_f3-AD92*AI92*2/10)/AE92,in_cap)))</f>
        <v/>
      </c>
      <c r="BE92" s="16">
        <f>MAX(0,MIN(in_cap,IF(AE92&gt;0,(in_f3-AD92*AI92*3/10)/AE92,in_cap)))</f>
        <v/>
      </c>
      <c r="BF92" s="16">
        <f>MAX(0,MIN(in_cap,IF(AE92&gt;0,(in_f3-AD92*AI92*4/10)/AE92,in_cap)))</f>
        <v/>
      </c>
      <c r="BG92" s="16">
        <f>MAX(0,MIN(in_cap,IF(AE92&gt;0,(in_f3-AD92*AI92*5/10)/AE92,in_cap)))</f>
        <v/>
      </c>
      <c r="BH92" s="16">
        <f>MAX(0,MIN(in_cap,IF(AE92&gt;0,(in_f3-AD92*AI92*6/10)/AE92,in_cap)))</f>
        <v/>
      </c>
      <c r="BI92" s="16">
        <f>MAX(0,MIN(in_cap,IF(AE92&gt;0,(in_f3-AD92*AI92*7/10)/AE92,in_cap)))</f>
        <v/>
      </c>
      <c r="BJ92" s="16">
        <f>MAX(0,MIN(in_cap,IF(AE92&gt;0,(in_f3-AD92*AI92*8/10)/AE92,in_cap)))</f>
        <v/>
      </c>
      <c r="BK92" s="16">
        <f>MAX(0,MIN(in_cap,IF(AE92&gt;0,(in_f3-AD92*AI92*9/10)/AE92,in_cap)))</f>
        <v/>
      </c>
      <c r="BL92" s="16">
        <f>MAX(0,MIN(in_cap,IF(AE92&gt;0,(in_f3-AD92*AI92*10/10)/AE92,in_cap)))</f>
        <v/>
      </c>
      <c r="BM92" s="15">
        <f>100*(1-(1-X92*(1-EXP(-((AI92*0/10)+(BB92))/Y92)))*(1-MIN(ABS(in_elas)*W92*R92*(AI92*0/10)/V92,1)))</f>
        <v/>
      </c>
      <c r="BN92" s="15">
        <f>100*(1-(1-X92*(1-EXP(-((AI92*1/10)+(BC92))/Y92)))*(1-MIN(ABS(in_elas)*W92*R92*(AI92*1/10)/V92,1)))</f>
        <v/>
      </c>
      <c r="BO92" s="15">
        <f>100*(1-(1-X92*(1-EXP(-((AI92*2/10)+(BD92))/Y92)))*(1-MIN(ABS(in_elas)*W92*R92*(AI92*2/10)/V92,1)))</f>
        <v/>
      </c>
      <c r="BP92" s="15">
        <f>100*(1-(1-X92*(1-EXP(-((AI92*3/10)+(BE92))/Y92)))*(1-MIN(ABS(in_elas)*W92*R92*(AI92*3/10)/V92,1)))</f>
        <v/>
      </c>
      <c r="BQ92" s="15">
        <f>100*(1-(1-X92*(1-EXP(-((AI92*4/10)+(BF92))/Y92)))*(1-MIN(ABS(in_elas)*W92*R92*(AI92*4/10)/V92,1)))</f>
        <v/>
      </c>
      <c r="BR92" s="15">
        <f>100*(1-(1-X92*(1-EXP(-((AI92*5/10)+(BG92))/Y92)))*(1-MIN(ABS(in_elas)*W92*R92*(AI92*5/10)/V92,1)))</f>
        <v/>
      </c>
      <c r="BS92" s="15">
        <f>100*(1-(1-X92*(1-EXP(-((AI92*6/10)+(BH92))/Y92)))*(1-MIN(ABS(in_elas)*W92*R92*(AI92*6/10)/V92,1)))</f>
        <v/>
      </c>
      <c r="BT92" s="15">
        <f>100*(1-(1-X92*(1-EXP(-((AI92*7/10)+(BI92))/Y92)))*(1-MIN(ABS(in_elas)*W92*R92*(AI92*7/10)/V92,1)))</f>
        <v/>
      </c>
      <c r="BU92" s="15">
        <f>100*(1-(1-X92*(1-EXP(-((AI92*8/10)+(BJ92))/Y92)))*(1-MIN(ABS(in_elas)*W92*R92*(AI92*8/10)/V92,1)))</f>
        <v/>
      </c>
      <c r="BV92" s="15">
        <f>100*(1-(1-X92*(1-EXP(-((AI92*9/10)+(BK92))/Y92)))*(1-MIN(ABS(in_elas)*W92*R92*(AI92*9/10)/V92,1)))</f>
        <v/>
      </c>
      <c r="BW92" s="15">
        <f>100*(1-(1-X92*(1-EXP(-((AI92*10/10)+(BL92))/Y92)))*(1-MIN(ABS(in_elas)*W92*R92*(AI92*10/10)/V92,1)))</f>
        <v/>
      </c>
    </row>
    <row r="93">
      <c r="A93" s="17" t="inlineStr">
        <is>
          <t>LCA</t>
        </is>
      </c>
      <c r="B93" s="17">
        <f>INDEX(Data!$B:$B,MATCH($A93,Data!$A:$A,0))</f>
        <v/>
      </c>
      <c r="C93" s="17">
        <f>INDEX(Data!$D:$D,MATCH($A93,Data!$A:$A,0))</f>
        <v/>
      </c>
      <c r="D93" s="16">
        <f>SUMIFS(Data!$G:$G,Data!$A:$A,$A93,Data!$F:$F,"gen_coal_twh")</f>
        <v/>
      </c>
      <c r="E93" s="16">
        <f>SUMIFS(Data!$G:$G,Data!$A:$A,$A93,Data!$F:$F,"gen_gas_twh")</f>
        <v/>
      </c>
      <c r="F93" s="16">
        <f>SUMIFS(Data!$G:$G,Data!$A:$A,$A93,Data!$F:$F,"gen_oil_twh")</f>
        <v/>
      </c>
      <c r="G93" s="16">
        <f>SUMIFS(Data!$G:$G,Data!$A:$A,$A93,Data!$F:$F,"gen_total_twh")</f>
        <v/>
      </c>
      <c r="H93" s="16">
        <f>SUMIFS(Data!$G:$G,Data!$A:$A,$A93,Data!$F:$F,"em_coal_mt")</f>
        <v/>
      </c>
      <c r="I93" s="16">
        <f>SUMIFS(Data!$G:$G,Data!$A:$A,$A93,Data!$F:$F,"em_gas_mt")</f>
        <v/>
      </c>
      <c r="J93" s="16">
        <f>SUMIFS(Data!$G:$G,Data!$A:$A,$A93,Data!$F:$F,"em_oil_mt")</f>
        <v/>
      </c>
      <c r="K93" s="28">
        <f>IF(COUNTIFS(Data!$A:$A,$A93,Data!$F:$F,"price_electricity_residential_usd_kwh")=0,"",SUMIFS(Data!$G:$G,Data!$A:$A,$A93,Data!$F:$F,"price_electricity_residential_usd_kwh"))</f>
        <v/>
      </c>
      <c r="L93" s="28">
        <f>IF(COUNTIFS(Data!$A:$A,$A93,Data!$F:$F,"price_coal_power_usd_gj")=0,"",SUMIFS(Data!$G:$G,Data!$A:$A,$A93,Data!$F:$F,"price_coal_power_usd_gj"))</f>
        <v/>
      </c>
      <c r="M93" s="28">
        <f>IF(COUNTIFS(Data!$A:$A,$A93,Data!$F:$F,"price_gas_power_usd_gj")=0,"",SUMIFS(Data!$G:$G,Data!$A:$A,$A93,Data!$F:$F,"price_gas_power_usd_gj"))</f>
        <v/>
      </c>
      <c r="N93" s="28">
        <f>IF(COUNTIFS(Data!$A:$A,$A93,Data!$F:$F,"price_gas_industry_usd_gj")=0,"",SUMIFS(Data!$G:$G,Data!$A:$A,$A93,Data!$F:$F,"price_gas_industry_usd_gj"))</f>
        <v/>
      </c>
      <c r="O93" s="28">
        <f>IF(COUNTIFS(Data!$A:$A,$A93,Data!$F:$F,"power_market_structure")=0,"",SUMIFS(Data!$G:$G,Data!$A:$A,$A93,Data!$F:$F,"power_market_structure"))</f>
        <v/>
      </c>
      <c r="P93" s="28">
        <f>IF(COUNTIFS(Data!$A:$A,$A93,Data!$F:$F,"rise_renewable_energy_score")=0,"",SUMIFS(Data!$G:$G,Data!$A:$A,$A93,Data!$F:$F,"rise_renewable_energy_score"))</f>
        <v/>
      </c>
      <c r="Q93" s="16">
        <f>H93+I93+J93</f>
        <v/>
      </c>
      <c r="R93" s="28">
        <f>Q93/G93</f>
        <v/>
      </c>
      <c r="S93" s="28">
        <f>IF(D93&gt;0,H93/D93,0.85)</f>
        <v/>
      </c>
      <c r="T93" s="28">
        <f>IF(E93&gt;0,I93/E93,0.4)</f>
        <v/>
      </c>
      <c r="U93" s="28">
        <f>IF(D93+F93&gt;0,(H93+J93)/(D93+F93),0)</f>
        <v/>
      </c>
      <c r="V93" s="16">
        <f>K93*1000</f>
        <v/>
      </c>
      <c r="W93" s="15">
        <f>IF(O93=3,in_pt3,IF(O93=2,in_pt2,IF(O93=1,in_pt1,IF(C93="High income",in_pt_hi,in_pt_oth))))</f>
        <v/>
      </c>
      <c r="X93" s="28">
        <f>IF(Q93&gt;0,in_kappa*(in_rise_lo+(in_rise_hi-in_rise_lo)*IF(P93="",in_rise_miss,P93)/100)*(D93+F93)*MAX(U93-in_gas_rep*T93,0)/Q93,0)</f>
        <v/>
      </c>
      <c r="Y93" s="16">
        <f>IF(IF(M93="",N93,M93)="",MAX(in_sw_floor,in_sw_miss),MAX(in_sw_floor,(IF(M93="",N93,M93)*in_hr_gas-L93*in_hr_coal)/MAX(S93-T93,0.1)))</f>
        <v/>
      </c>
      <c r="Z93" s="28">
        <f>IF(C93="Low income",in_b40_li,IF(C93="Lower middle income",in_b40_lmi,IF(C93="Upper middle income",in_b40_umi,IF(C93="High income",in_b40_hi,0.03))))</f>
        <v/>
      </c>
      <c r="AA93" s="15">
        <f>(D93+F93)/G93</f>
        <v/>
      </c>
      <c r="AB93" s="28">
        <f>100*W93*R93/V93/in_phase</f>
        <v/>
      </c>
      <c r="AC93" s="29">
        <f>100*Z93*W93*R93/V93*(1-IF(W93&gt;0,MIN(in_rebate/(W93*in_res_sh*in_q40),1),1))</f>
        <v/>
      </c>
      <c r="AD93" s="28">
        <f>IF(AA93&gt;0,100*U93*(1-W93)/(in_whole_sh*V93),0)</f>
        <v/>
      </c>
      <c r="AE93" s="28">
        <f>IF(AA93&gt;0,100*MAX(U93-R93,0)/(in_whole_sh*V93),0)</f>
        <v/>
      </c>
      <c r="AF93" s="16">
        <f>IF(AB93&gt;0,in_f1/AB93,in_cap)</f>
        <v/>
      </c>
      <c r="AG93" s="16">
        <f>IF(AC93&gt;0,in_f2/AC93,in_cap)</f>
        <v/>
      </c>
      <c r="AH93" s="16">
        <f>IF(AD93&gt;0,in_f3/AD93,in_cap)</f>
        <v/>
      </c>
      <c r="AI93" s="16">
        <f>MIN(in_cap,AF93,AG93,AH93)</f>
        <v/>
      </c>
      <c r="AJ93" s="30">
        <f>100*(1-(1-X93*(1-EXP(-((AI93)+(0))/Y93)))*(1-MIN(ABS(in_elas)*W93*R93*(AI93)/V93,1)))</f>
        <v/>
      </c>
      <c r="AK93" s="17">
        <f>IF(AI93&gt;=in_cap-1E-9,"rate cap",TRIM(IF(ABS(AI93-AF93)&lt;1E-9,"F1 ","")&amp;IF(ABS(AI93-AG93)&lt;1E-9,"F2 ","")&amp;IF(ABS(AI93-AH93)&lt;1E-9,"F3","")))</f>
        <v/>
      </c>
      <c r="AL93" s="15">
        <f>100*(1-(1-X93*(1-EXP(-((MIN(in_cap,IF(AB93&gt;0,(in_f1+1)/AB93,in_cap),AG93,AH93))+(0))/Y93)))*(1-MIN(ABS(in_elas)*W93*R93*(MIN(in_cap,IF(AB93&gt;0,(in_f1+1)/AB93,in_cap),AG93,AH93))/V93,1)))-AJ93</f>
        <v/>
      </c>
      <c r="AM93" s="16">
        <f>MIN(in_cap,IF(AE93&gt;0,in_f3/AE93,in_cap))</f>
        <v/>
      </c>
      <c r="AN93" s="30">
        <f>100*(1-(1-X93*(1-EXP(-((0)+(AM93))/Y93)))*(1-MIN(ABS(in_elas)*W93*R93*(0)/V93,1)))</f>
        <v/>
      </c>
      <c r="AO93" s="17">
        <f>IF(AM93&gt;=in_cap-1E-9,"rate cap","F3")</f>
        <v/>
      </c>
      <c r="AP93" s="15">
        <f>100*(1-(1-X93*(1-EXP(-((50)+(0))/Y93)))*(1-MIN(ABS(in_elas)*W93*R93*(50)/V93,1)))</f>
        <v/>
      </c>
      <c r="AQ93" s="15">
        <f>100*(1-(1-X93*(1-EXP(-((0)+(50))/Y93)))*(1-MIN(ABS(in_elas)*W93*R93*(0)/V93,1)))</f>
        <v/>
      </c>
      <c r="AR93" s="15">
        <f>IF(AP93&gt;0,AQ93/AP93,"")</f>
        <v/>
      </c>
      <c r="AS93" s="16">
        <f>50*AB93</f>
        <v/>
      </c>
      <c r="AT93" s="30">
        <f>MAX(BM93:BW93)</f>
        <v/>
      </c>
      <c r="AU93" s="31">
        <f>AI93*(MATCH(AT93,BM93:BW93,0)-1)/10</f>
        <v/>
      </c>
      <c r="AV93" s="31">
        <f>INDEX(BB93:BL93,1,(MATCH(AT93,BM93:BW93,0)-1)+1)</f>
        <v/>
      </c>
      <c r="AW93" s="31">
        <f>AB93*AU93</f>
        <v/>
      </c>
      <c r="AX93" s="30">
        <f>AC93*AU93</f>
        <v/>
      </c>
      <c r="AY93" s="31">
        <f>AD93*AU93+AE93*AV93</f>
        <v/>
      </c>
      <c r="AZ93" s="32">
        <f>TRIM(IF(AND(AU93&gt;0,ABS(AU93-AF93)&lt;1E-6),"F1 ","")&amp;IF(AND(AU93&gt;0,ABS(AU93-AG93)&lt;1E-6),"F2 ","")&amp;IF(AY93&gt;=in_f3-1E-6,"F3 ","")&amp;IF(AV93&gt;=in_cap-1E-9,"rate cap",""))</f>
        <v/>
      </c>
      <c r="BA93" s="31">
        <f>Q93*AT93/100</f>
        <v/>
      </c>
      <c r="BB93" s="16">
        <f>MAX(0,MIN(in_cap,IF(AE93&gt;0,(in_f3-AD93*AI93*0/10)/AE93,in_cap)))</f>
        <v/>
      </c>
      <c r="BC93" s="16">
        <f>MAX(0,MIN(in_cap,IF(AE93&gt;0,(in_f3-AD93*AI93*1/10)/AE93,in_cap)))</f>
        <v/>
      </c>
      <c r="BD93" s="16">
        <f>MAX(0,MIN(in_cap,IF(AE93&gt;0,(in_f3-AD93*AI93*2/10)/AE93,in_cap)))</f>
        <v/>
      </c>
      <c r="BE93" s="16">
        <f>MAX(0,MIN(in_cap,IF(AE93&gt;0,(in_f3-AD93*AI93*3/10)/AE93,in_cap)))</f>
        <v/>
      </c>
      <c r="BF93" s="16">
        <f>MAX(0,MIN(in_cap,IF(AE93&gt;0,(in_f3-AD93*AI93*4/10)/AE93,in_cap)))</f>
        <v/>
      </c>
      <c r="BG93" s="16">
        <f>MAX(0,MIN(in_cap,IF(AE93&gt;0,(in_f3-AD93*AI93*5/10)/AE93,in_cap)))</f>
        <v/>
      </c>
      <c r="BH93" s="16">
        <f>MAX(0,MIN(in_cap,IF(AE93&gt;0,(in_f3-AD93*AI93*6/10)/AE93,in_cap)))</f>
        <v/>
      </c>
      <c r="BI93" s="16">
        <f>MAX(0,MIN(in_cap,IF(AE93&gt;0,(in_f3-AD93*AI93*7/10)/AE93,in_cap)))</f>
        <v/>
      </c>
      <c r="BJ93" s="16">
        <f>MAX(0,MIN(in_cap,IF(AE93&gt;0,(in_f3-AD93*AI93*8/10)/AE93,in_cap)))</f>
        <v/>
      </c>
      <c r="BK93" s="16">
        <f>MAX(0,MIN(in_cap,IF(AE93&gt;0,(in_f3-AD93*AI93*9/10)/AE93,in_cap)))</f>
        <v/>
      </c>
      <c r="BL93" s="16">
        <f>MAX(0,MIN(in_cap,IF(AE93&gt;0,(in_f3-AD93*AI93*10/10)/AE93,in_cap)))</f>
        <v/>
      </c>
      <c r="BM93" s="15">
        <f>100*(1-(1-X93*(1-EXP(-((AI93*0/10)+(BB93))/Y93)))*(1-MIN(ABS(in_elas)*W93*R93*(AI93*0/10)/V93,1)))</f>
        <v/>
      </c>
      <c r="BN93" s="15">
        <f>100*(1-(1-X93*(1-EXP(-((AI93*1/10)+(BC93))/Y93)))*(1-MIN(ABS(in_elas)*W93*R93*(AI93*1/10)/V93,1)))</f>
        <v/>
      </c>
      <c r="BO93" s="15">
        <f>100*(1-(1-X93*(1-EXP(-((AI93*2/10)+(BD93))/Y93)))*(1-MIN(ABS(in_elas)*W93*R93*(AI93*2/10)/V93,1)))</f>
        <v/>
      </c>
      <c r="BP93" s="15">
        <f>100*(1-(1-X93*(1-EXP(-((AI93*3/10)+(BE93))/Y93)))*(1-MIN(ABS(in_elas)*W93*R93*(AI93*3/10)/V93,1)))</f>
        <v/>
      </c>
      <c r="BQ93" s="15">
        <f>100*(1-(1-X93*(1-EXP(-((AI93*4/10)+(BF93))/Y93)))*(1-MIN(ABS(in_elas)*W93*R93*(AI93*4/10)/V93,1)))</f>
        <v/>
      </c>
      <c r="BR93" s="15">
        <f>100*(1-(1-X93*(1-EXP(-((AI93*5/10)+(BG93))/Y93)))*(1-MIN(ABS(in_elas)*W93*R93*(AI93*5/10)/V93,1)))</f>
        <v/>
      </c>
      <c r="BS93" s="15">
        <f>100*(1-(1-X93*(1-EXP(-((AI93*6/10)+(BH93))/Y93)))*(1-MIN(ABS(in_elas)*W93*R93*(AI93*6/10)/V93,1)))</f>
        <v/>
      </c>
      <c r="BT93" s="15">
        <f>100*(1-(1-X93*(1-EXP(-((AI93*7/10)+(BI93))/Y93)))*(1-MIN(ABS(in_elas)*W93*R93*(AI93*7/10)/V93,1)))</f>
        <v/>
      </c>
      <c r="BU93" s="15">
        <f>100*(1-(1-X93*(1-EXP(-((AI93*8/10)+(BJ93))/Y93)))*(1-MIN(ABS(in_elas)*W93*R93*(AI93*8/10)/V93,1)))</f>
        <v/>
      </c>
      <c r="BV93" s="15">
        <f>100*(1-(1-X93*(1-EXP(-((AI93*9/10)+(BK93))/Y93)))*(1-MIN(ABS(in_elas)*W93*R93*(AI93*9/10)/V93,1)))</f>
        <v/>
      </c>
      <c r="BW93" s="15">
        <f>100*(1-(1-X93*(1-EXP(-((AI93*10/10)+(BL93))/Y93)))*(1-MIN(ABS(in_elas)*W93*R93*(AI93*10/10)/V93,1)))</f>
        <v/>
      </c>
    </row>
    <row r="94">
      <c r="A94" s="17" t="inlineStr">
        <is>
          <t>LKA</t>
        </is>
      </c>
      <c r="B94" s="17">
        <f>INDEX(Data!$B:$B,MATCH($A94,Data!$A:$A,0))</f>
        <v/>
      </c>
      <c r="C94" s="17">
        <f>INDEX(Data!$D:$D,MATCH($A94,Data!$A:$A,0))</f>
        <v/>
      </c>
      <c r="D94" s="16">
        <f>SUMIFS(Data!$G:$G,Data!$A:$A,$A94,Data!$F:$F,"gen_coal_twh")</f>
        <v/>
      </c>
      <c r="E94" s="16">
        <f>SUMIFS(Data!$G:$G,Data!$A:$A,$A94,Data!$F:$F,"gen_gas_twh")</f>
        <v/>
      </c>
      <c r="F94" s="16">
        <f>SUMIFS(Data!$G:$G,Data!$A:$A,$A94,Data!$F:$F,"gen_oil_twh")</f>
        <v/>
      </c>
      <c r="G94" s="16">
        <f>SUMIFS(Data!$G:$G,Data!$A:$A,$A94,Data!$F:$F,"gen_total_twh")</f>
        <v/>
      </c>
      <c r="H94" s="16">
        <f>SUMIFS(Data!$G:$G,Data!$A:$A,$A94,Data!$F:$F,"em_coal_mt")</f>
        <v/>
      </c>
      <c r="I94" s="16">
        <f>SUMIFS(Data!$G:$G,Data!$A:$A,$A94,Data!$F:$F,"em_gas_mt")</f>
        <v/>
      </c>
      <c r="J94" s="16">
        <f>SUMIFS(Data!$G:$G,Data!$A:$A,$A94,Data!$F:$F,"em_oil_mt")</f>
        <v/>
      </c>
      <c r="K94" s="28">
        <f>IF(COUNTIFS(Data!$A:$A,$A94,Data!$F:$F,"price_electricity_residential_usd_kwh")=0,"",SUMIFS(Data!$G:$G,Data!$A:$A,$A94,Data!$F:$F,"price_electricity_residential_usd_kwh"))</f>
        <v/>
      </c>
      <c r="L94" s="28">
        <f>IF(COUNTIFS(Data!$A:$A,$A94,Data!$F:$F,"price_coal_power_usd_gj")=0,"",SUMIFS(Data!$G:$G,Data!$A:$A,$A94,Data!$F:$F,"price_coal_power_usd_gj"))</f>
        <v/>
      </c>
      <c r="M94" s="28">
        <f>IF(COUNTIFS(Data!$A:$A,$A94,Data!$F:$F,"price_gas_power_usd_gj")=0,"",SUMIFS(Data!$G:$G,Data!$A:$A,$A94,Data!$F:$F,"price_gas_power_usd_gj"))</f>
        <v/>
      </c>
      <c r="N94" s="28">
        <f>IF(COUNTIFS(Data!$A:$A,$A94,Data!$F:$F,"price_gas_industry_usd_gj")=0,"",SUMIFS(Data!$G:$G,Data!$A:$A,$A94,Data!$F:$F,"price_gas_industry_usd_gj"))</f>
        <v/>
      </c>
      <c r="O94" s="28">
        <f>IF(COUNTIFS(Data!$A:$A,$A94,Data!$F:$F,"power_market_structure")=0,"",SUMIFS(Data!$G:$G,Data!$A:$A,$A94,Data!$F:$F,"power_market_structure"))</f>
        <v/>
      </c>
      <c r="P94" s="28">
        <f>IF(COUNTIFS(Data!$A:$A,$A94,Data!$F:$F,"rise_renewable_energy_score")=0,"",SUMIFS(Data!$G:$G,Data!$A:$A,$A94,Data!$F:$F,"rise_renewable_energy_score"))</f>
        <v/>
      </c>
      <c r="Q94" s="16">
        <f>H94+I94+J94</f>
        <v/>
      </c>
      <c r="R94" s="28">
        <f>Q94/G94</f>
        <v/>
      </c>
      <c r="S94" s="28">
        <f>IF(D94&gt;0,H94/D94,0.85)</f>
        <v/>
      </c>
      <c r="T94" s="28">
        <f>IF(E94&gt;0,I94/E94,0.4)</f>
        <v/>
      </c>
      <c r="U94" s="28">
        <f>IF(D94+F94&gt;0,(H94+J94)/(D94+F94),0)</f>
        <v/>
      </c>
      <c r="V94" s="16">
        <f>K94*1000</f>
        <v/>
      </c>
      <c r="W94" s="15">
        <f>IF(O94=3,in_pt3,IF(O94=2,in_pt2,IF(O94=1,in_pt1,IF(C94="High income",in_pt_hi,in_pt_oth))))</f>
        <v/>
      </c>
      <c r="X94" s="28">
        <f>IF(Q94&gt;0,in_kappa*(in_rise_lo+(in_rise_hi-in_rise_lo)*IF(P94="",in_rise_miss,P94)/100)*(D94+F94)*MAX(U94-in_gas_rep*T94,0)/Q94,0)</f>
        <v/>
      </c>
      <c r="Y94" s="16">
        <f>IF(IF(M94="",N94,M94)="",MAX(in_sw_floor,in_sw_miss),MAX(in_sw_floor,(IF(M94="",N94,M94)*in_hr_gas-L94*in_hr_coal)/MAX(S94-T94,0.1)))</f>
        <v/>
      </c>
      <c r="Z94" s="28">
        <f>IF(C94="Low income",in_b40_li,IF(C94="Lower middle income",in_b40_lmi,IF(C94="Upper middle income",in_b40_umi,IF(C94="High income",in_b40_hi,0.03))))</f>
        <v/>
      </c>
      <c r="AA94" s="15">
        <f>(D94+F94)/G94</f>
        <v/>
      </c>
      <c r="AB94" s="28">
        <f>100*W94*R94/V94/in_phase</f>
        <v/>
      </c>
      <c r="AC94" s="29">
        <f>100*Z94*W94*R94/V94*(1-IF(W94&gt;0,MIN(in_rebate/(W94*in_res_sh*in_q40),1),1))</f>
        <v/>
      </c>
      <c r="AD94" s="28">
        <f>IF(AA94&gt;0,100*U94*(1-W94)/(in_whole_sh*V94),0)</f>
        <v/>
      </c>
      <c r="AE94" s="28">
        <f>IF(AA94&gt;0,100*MAX(U94-R94,0)/(in_whole_sh*V94),0)</f>
        <v/>
      </c>
      <c r="AF94" s="16">
        <f>IF(AB94&gt;0,in_f1/AB94,in_cap)</f>
        <v/>
      </c>
      <c r="AG94" s="16">
        <f>IF(AC94&gt;0,in_f2/AC94,in_cap)</f>
        <v/>
      </c>
      <c r="AH94" s="16">
        <f>IF(AD94&gt;0,in_f3/AD94,in_cap)</f>
        <v/>
      </c>
      <c r="AI94" s="16">
        <f>MIN(in_cap,AF94,AG94,AH94)</f>
        <v/>
      </c>
      <c r="AJ94" s="30">
        <f>100*(1-(1-X94*(1-EXP(-((AI94)+(0))/Y94)))*(1-MIN(ABS(in_elas)*W94*R94*(AI94)/V94,1)))</f>
        <v/>
      </c>
      <c r="AK94" s="17">
        <f>IF(AI94&gt;=in_cap-1E-9,"rate cap",TRIM(IF(ABS(AI94-AF94)&lt;1E-9,"F1 ","")&amp;IF(ABS(AI94-AG94)&lt;1E-9,"F2 ","")&amp;IF(ABS(AI94-AH94)&lt;1E-9,"F3","")))</f>
        <v/>
      </c>
      <c r="AL94" s="15">
        <f>100*(1-(1-X94*(1-EXP(-((MIN(in_cap,IF(AB94&gt;0,(in_f1+1)/AB94,in_cap),AG94,AH94))+(0))/Y94)))*(1-MIN(ABS(in_elas)*W94*R94*(MIN(in_cap,IF(AB94&gt;0,(in_f1+1)/AB94,in_cap),AG94,AH94))/V94,1)))-AJ94</f>
        <v/>
      </c>
      <c r="AM94" s="16">
        <f>MIN(in_cap,IF(AE94&gt;0,in_f3/AE94,in_cap))</f>
        <v/>
      </c>
      <c r="AN94" s="30">
        <f>100*(1-(1-X94*(1-EXP(-((0)+(AM94))/Y94)))*(1-MIN(ABS(in_elas)*W94*R94*(0)/V94,1)))</f>
        <v/>
      </c>
      <c r="AO94" s="17">
        <f>IF(AM94&gt;=in_cap-1E-9,"rate cap","F3")</f>
        <v/>
      </c>
      <c r="AP94" s="15">
        <f>100*(1-(1-X94*(1-EXP(-((50)+(0))/Y94)))*(1-MIN(ABS(in_elas)*W94*R94*(50)/V94,1)))</f>
        <v/>
      </c>
      <c r="AQ94" s="15">
        <f>100*(1-(1-X94*(1-EXP(-((0)+(50))/Y94)))*(1-MIN(ABS(in_elas)*W94*R94*(0)/V94,1)))</f>
        <v/>
      </c>
      <c r="AR94" s="15">
        <f>IF(AP94&gt;0,AQ94/AP94,"")</f>
        <v/>
      </c>
      <c r="AS94" s="16">
        <f>50*AB94</f>
        <v/>
      </c>
      <c r="AT94" s="30">
        <f>MAX(BM94:BW94)</f>
        <v/>
      </c>
      <c r="AU94" s="31">
        <f>AI94*(MATCH(AT94,BM94:BW94,0)-1)/10</f>
        <v/>
      </c>
      <c r="AV94" s="31">
        <f>INDEX(BB94:BL94,1,(MATCH(AT94,BM94:BW94,0)-1)+1)</f>
        <v/>
      </c>
      <c r="AW94" s="31">
        <f>AB94*AU94</f>
        <v/>
      </c>
      <c r="AX94" s="30">
        <f>AC94*AU94</f>
        <v/>
      </c>
      <c r="AY94" s="31">
        <f>AD94*AU94+AE94*AV94</f>
        <v/>
      </c>
      <c r="AZ94" s="32">
        <f>TRIM(IF(AND(AU94&gt;0,ABS(AU94-AF94)&lt;1E-6),"F1 ","")&amp;IF(AND(AU94&gt;0,ABS(AU94-AG94)&lt;1E-6),"F2 ","")&amp;IF(AY94&gt;=in_f3-1E-6,"F3 ","")&amp;IF(AV94&gt;=in_cap-1E-9,"rate cap",""))</f>
        <v/>
      </c>
      <c r="BA94" s="31">
        <f>Q94*AT94/100</f>
        <v/>
      </c>
      <c r="BB94" s="16">
        <f>MAX(0,MIN(in_cap,IF(AE94&gt;0,(in_f3-AD94*AI94*0/10)/AE94,in_cap)))</f>
        <v/>
      </c>
      <c r="BC94" s="16">
        <f>MAX(0,MIN(in_cap,IF(AE94&gt;0,(in_f3-AD94*AI94*1/10)/AE94,in_cap)))</f>
        <v/>
      </c>
      <c r="BD94" s="16">
        <f>MAX(0,MIN(in_cap,IF(AE94&gt;0,(in_f3-AD94*AI94*2/10)/AE94,in_cap)))</f>
        <v/>
      </c>
      <c r="BE94" s="16">
        <f>MAX(0,MIN(in_cap,IF(AE94&gt;0,(in_f3-AD94*AI94*3/10)/AE94,in_cap)))</f>
        <v/>
      </c>
      <c r="BF94" s="16">
        <f>MAX(0,MIN(in_cap,IF(AE94&gt;0,(in_f3-AD94*AI94*4/10)/AE94,in_cap)))</f>
        <v/>
      </c>
      <c r="BG94" s="16">
        <f>MAX(0,MIN(in_cap,IF(AE94&gt;0,(in_f3-AD94*AI94*5/10)/AE94,in_cap)))</f>
        <v/>
      </c>
      <c r="BH94" s="16">
        <f>MAX(0,MIN(in_cap,IF(AE94&gt;0,(in_f3-AD94*AI94*6/10)/AE94,in_cap)))</f>
        <v/>
      </c>
      <c r="BI94" s="16">
        <f>MAX(0,MIN(in_cap,IF(AE94&gt;0,(in_f3-AD94*AI94*7/10)/AE94,in_cap)))</f>
        <v/>
      </c>
      <c r="BJ94" s="16">
        <f>MAX(0,MIN(in_cap,IF(AE94&gt;0,(in_f3-AD94*AI94*8/10)/AE94,in_cap)))</f>
        <v/>
      </c>
      <c r="BK94" s="16">
        <f>MAX(0,MIN(in_cap,IF(AE94&gt;0,(in_f3-AD94*AI94*9/10)/AE94,in_cap)))</f>
        <v/>
      </c>
      <c r="BL94" s="16">
        <f>MAX(0,MIN(in_cap,IF(AE94&gt;0,(in_f3-AD94*AI94*10/10)/AE94,in_cap)))</f>
        <v/>
      </c>
      <c r="BM94" s="15">
        <f>100*(1-(1-X94*(1-EXP(-((AI94*0/10)+(BB94))/Y94)))*(1-MIN(ABS(in_elas)*W94*R94*(AI94*0/10)/V94,1)))</f>
        <v/>
      </c>
      <c r="BN94" s="15">
        <f>100*(1-(1-X94*(1-EXP(-((AI94*1/10)+(BC94))/Y94)))*(1-MIN(ABS(in_elas)*W94*R94*(AI94*1/10)/V94,1)))</f>
        <v/>
      </c>
      <c r="BO94" s="15">
        <f>100*(1-(1-X94*(1-EXP(-((AI94*2/10)+(BD94))/Y94)))*(1-MIN(ABS(in_elas)*W94*R94*(AI94*2/10)/V94,1)))</f>
        <v/>
      </c>
      <c r="BP94" s="15">
        <f>100*(1-(1-X94*(1-EXP(-((AI94*3/10)+(BE94))/Y94)))*(1-MIN(ABS(in_elas)*W94*R94*(AI94*3/10)/V94,1)))</f>
        <v/>
      </c>
      <c r="BQ94" s="15">
        <f>100*(1-(1-X94*(1-EXP(-((AI94*4/10)+(BF94))/Y94)))*(1-MIN(ABS(in_elas)*W94*R94*(AI94*4/10)/V94,1)))</f>
        <v/>
      </c>
      <c r="BR94" s="15">
        <f>100*(1-(1-X94*(1-EXP(-((AI94*5/10)+(BG94))/Y94)))*(1-MIN(ABS(in_elas)*W94*R94*(AI94*5/10)/V94,1)))</f>
        <v/>
      </c>
      <c r="BS94" s="15">
        <f>100*(1-(1-X94*(1-EXP(-((AI94*6/10)+(BH94))/Y94)))*(1-MIN(ABS(in_elas)*W94*R94*(AI94*6/10)/V94,1)))</f>
        <v/>
      </c>
      <c r="BT94" s="15">
        <f>100*(1-(1-X94*(1-EXP(-((AI94*7/10)+(BI94))/Y94)))*(1-MIN(ABS(in_elas)*W94*R94*(AI94*7/10)/V94,1)))</f>
        <v/>
      </c>
      <c r="BU94" s="15">
        <f>100*(1-(1-X94*(1-EXP(-((AI94*8/10)+(BJ94))/Y94)))*(1-MIN(ABS(in_elas)*W94*R94*(AI94*8/10)/V94,1)))</f>
        <v/>
      </c>
      <c r="BV94" s="15">
        <f>100*(1-(1-X94*(1-EXP(-((AI94*9/10)+(BK94))/Y94)))*(1-MIN(ABS(in_elas)*W94*R94*(AI94*9/10)/V94,1)))</f>
        <v/>
      </c>
      <c r="BW94" s="15">
        <f>100*(1-(1-X94*(1-EXP(-((AI94*10/10)+(BL94))/Y94)))*(1-MIN(ABS(in_elas)*W94*R94*(AI94*10/10)/V94,1)))</f>
        <v/>
      </c>
    </row>
    <row r="95">
      <c r="A95" s="17" t="inlineStr">
        <is>
          <t>LTU</t>
        </is>
      </c>
      <c r="B95" s="17">
        <f>INDEX(Data!$B:$B,MATCH($A95,Data!$A:$A,0))</f>
        <v/>
      </c>
      <c r="C95" s="17">
        <f>INDEX(Data!$D:$D,MATCH($A95,Data!$A:$A,0))</f>
        <v/>
      </c>
      <c r="D95" s="16">
        <f>SUMIFS(Data!$G:$G,Data!$A:$A,$A95,Data!$F:$F,"gen_coal_twh")</f>
        <v/>
      </c>
      <c r="E95" s="16">
        <f>SUMIFS(Data!$G:$G,Data!$A:$A,$A95,Data!$F:$F,"gen_gas_twh")</f>
        <v/>
      </c>
      <c r="F95" s="16">
        <f>SUMIFS(Data!$G:$G,Data!$A:$A,$A95,Data!$F:$F,"gen_oil_twh")</f>
        <v/>
      </c>
      <c r="G95" s="16">
        <f>SUMIFS(Data!$G:$G,Data!$A:$A,$A95,Data!$F:$F,"gen_total_twh")</f>
        <v/>
      </c>
      <c r="H95" s="16">
        <f>SUMIFS(Data!$G:$G,Data!$A:$A,$A95,Data!$F:$F,"em_coal_mt")</f>
        <v/>
      </c>
      <c r="I95" s="16">
        <f>SUMIFS(Data!$G:$G,Data!$A:$A,$A95,Data!$F:$F,"em_gas_mt")</f>
        <v/>
      </c>
      <c r="J95" s="16">
        <f>SUMIFS(Data!$G:$G,Data!$A:$A,$A95,Data!$F:$F,"em_oil_mt")</f>
        <v/>
      </c>
      <c r="K95" s="28">
        <f>IF(COUNTIFS(Data!$A:$A,$A95,Data!$F:$F,"price_electricity_residential_usd_kwh")=0,"",SUMIFS(Data!$G:$G,Data!$A:$A,$A95,Data!$F:$F,"price_electricity_residential_usd_kwh"))</f>
        <v/>
      </c>
      <c r="L95" s="28">
        <f>IF(COUNTIFS(Data!$A:$A,$A95,Data!$F:$F,"price_coal_power_usd_gj")=0,"",SUMIFS(Data!$G:$G,Data!$A:$A,$A95,Data!$F:$F,"price_coal_power_usd_gj"))</f>
        <v/>
      </c>
      <c r="M95" s="28">
        <f>IF(COUNTIFS(Data!$A:$A,$A95,Data!$F:$F,"price_gas_power_usd_gj")=0,"",SUMIFS(Data!$G:$G,Data!$A:$A,$A95,Data!$F:$F,"price_gas_power_usd_gj"))</f>
        <v/>
      </c>
      <c r="N95" s="28">
        <f>IF(COUNTIFS(Data!$A:$A,$A95,Data!$F:$F,"price_gas_industry_usd_gj")=0,"",SUMIFS(Data!$G:$G,Data!$A:$A,$A95,Data!$F:$F,"price_gas_industry_usd_gj"))</f>
        <v/>
      </c>
      <c r="O95" s="28">
        <f>IF(COUNTIFS(Data!$A:$A,$A95,Data!$F:$F,"power_market_structure")=0,"",SUMIFS(Data!$G:$G,Data!$A:$A,$A95,Data!$F:$F,"power_market_structure"))</f>
        <v/>
      </c>
      <c r="P95" s="28">
        <f>IF(COUNTIFS(Data!$A:$A,$A95,Data!$F:$F,"rise_renewable_energy_score")=0,"",SUMIFS(Data!$G:$G,Data!$A:$A,$A95,Data!$F:$F,"rise_renewable_energy_score"))</f>
        <v/>
      </c>
      <c r="Q95" s="16">
        <f>H95+I95+J95</f>
        <v/>
      </c>
      <c r="R95" s="28">
        <f>Q95/G95</f>
        <v/>
      </c>
      <c r="S95" s="28">
        <f>IF(D95&gt;0,H95/D95,0.85)</f>
        <v/>
      </c>
      <c r="T95" s="28">
        <f>IF(E95&gt;0,I95/E95,0.4)</f>
        <v/>
      </c>
      <c r="U95" s="28">
        <f>IF(D95+F95&gt;0,(H95+J95)/(D95+F95),0)</f>
        <v/>
      </c>
      <c r="V95" s="16">
        <f>K95*1000</f>
        <v/>
      </c>
      <c r="W95" s="15">
        <f>IF(O95=3,in_pt3,IF(O95=2,in_pt2,IF(O95=1,in_pt1,IF(C95="High income",in_pt_hi,in_pt_oth))))</f>
        <v/>
      </c>
      <c r="X95" s="28">
        <f>IF(Q95&gt;0,in_kappa*(in_rise_lo+(in_rise_hi-in_rise_lo)*IF(P95="",in_rise_miss,P95)/100)*(D95+F95)*MAX(U95-in_gas_rep*T95,0)/Q95,0)</f>
        <v/>
      </c>
      <c r="Y95" s="16">
        <f>IF(IF(M95="",N95,M95)="",MAX(in_sw_floor,in_sw_miss),MAX(in_sw_floor,(IF(M95="",N95,M95)*in_hr_gas-L95*in_hr_coal)/MAX(S95-T95,0.1)))</f>
        <v/>
      </c>
      <c r="Z95" s="28">
        <f>IF(C95="Low income",in_b40_li,IF(C95="Lower middle income",in_b40_lmi,IF(C95="Upper middle income",in_b40_umi,IF(C95="High income",in_b40_hi,0.03))))</f>
        <v/>
      </c>
      <c r="AA95" s="15">
        <f>(D95+F95)/G95</f>
        <v/>
      </c>
      <c r="AB95" s="28">
        <f>100*W95*R95/V95/in_phase</f>
        <v/>
      </c>
      <c r="AC95" s="29">
        <f>100*Z95*W95*R95/V95*(1-IF(W95&gt;0,MIN(in_rebate/(W95*in_res_sh*in_q40),1),1))</f>
        <v/>
      </c>
      <c r="AD95" s="28">
        <f>IF(AA95&gt;0,100*U95*(1-W95)/(in_whole_sh*V95),0)</f>
        <v/>
      </c>
      <c r="AE95" s="28">
        <f>IF(AA95&gt;0,100*MAX(U95-R95,0)/(in_whole_sh*V95),0)</f>
        <v/>
      </c>
      <c r="AF95" s="16">
        <f>IF(AB95&gt;0,in_f1/AB95,in_cap)</f>
        <v/>
      </c>
      <c r="AG95" s="16">
        <f>IF(AC95&gt;0,in_f2/AC95,in_cap)</f>
        <v/>
      </c>
      <c r="AH95" s="16">
        <f>IF(AD95&gt;0,in_f3/AD95,in_cap)</f>
        <v/>
      </c>
      <c r="AI95" s="16">
        <f>MIN(in_cap,AF95,AG95,AH95)</f>
        <v/>
      </c>
      <c r="AJ95" s="30">
        <f>100*(1-(1-X95*(1-EXP(-((AI95)+(0))/Y95)))*(1-MIN(ABS(in_elas)*W95*R95*(AI95)/V95,1)))</f>
        <v/>
      </c>
      <c r="AK95" s="17">
        <f>IF(AI95&gt;=in_cap-1E-9,"rate cap",TRIM(IF(ABS(AI95-AF95)&lt;1E-9,"F1 ","")&amp;IF(ABS(AI95-AG95)&lt;1E-9,"F2 ","")&amp;IF(ABS(AI95-AH95)&lt;1E-9,"F3","")))</f>
        <v/>
      </c>
      <c r="AL95" s="15">
        <f>100*(1-(1-X95*(1-EXP(-((MIN(in_cap,IF(AB95&gt;0,(in_f1+1)/AB95,in_cap),AG95,AH95))+(0))/Y95)))*(1-MIN(ABS(in_elas)*W95*R95*(MIN(in_cap,IF(AB95&gt;0,(in_f1+1)/AB95,in_cap),AG95,AH95))/V95,1)))-AJ95</f>
        <v/>
      </c>
      <c r="AM95" s="16">
        <f>MIN(in_cap,IF(AE95&gt;0,in_f3/AE95,in_cap))</f>
        <v/>
      </c>
      <c r="AN95" s="30">
        <f>100*(1-(1-X95*(1-EXP(-((0)+(AM95))/Y95)))*(1-MIN(ABS(in_elas)*W95*R95*(0)/V95,1)))</f>
        <v/>
      </c>
      <c r="AO95" s="17">
        <f>IF(AM95&gt;=in_cap-1E-9,"rate cap","F3")</f>
        <v/>
      </c>
      <c r="AP95" s="15">
        <f>100*(1-(1-X95*(1-EXP(-((50)+(0))/Y95)))*(1-MIN(ABS(in_elas)*W95*R95*(50)/V95,1)))</f>
        <v/>
      </c>
      <c r="AQ95" s="15">
        <f>100*(1-(1-X95*(1-EXP(-((0)+(50))/Y95)))*(1-MIN(ABS(in_elas)*W95*R95*(0)/V95,1)))</f>
        <v/>
      </c>
      <c r="AR95" s="15">
        <f>IF(AP95&gt;0,AQ95/AP95,"")</f>
        <v/>
      </c>
      <c r="AS95" s="16">
        <f>50*AB95</f>
        <v/>
      </c>
      <c r="AT95" s="30">
        <f>MAX(BM95:BW95)</f>
        <v/>
      </c>
      <c r="AU95" s="31">
        <f>AI95*(MATCH(AT95,BM95:BW95,0)-1)/10</f>
        <v/>
      </c>
      <c r="AV95" s="31">
        <f>INDEX(BB95:BL95,1,(MATCH(AT95,BM95:BW95,0)-1)+1)</f>
        <v/>
      </c>
      <c r="AW95" s="31">
        <f>AB95*AU95</f>
        <v/>
      </c>
      <c r="AX95" s="30">
        <f>AC95*AU95</f>
        <v/>
      </c>
      <c r="AY95" s="31">
        <f>AD95*AU95+AE95*AV95</f>
        <v/>
      </c>
      <c r="AZ95" s="32">
        <f>TRIM(IF(AND(AU95&gt;0,ABS(AU95-AF95)&lt;1E-6),"F1 ","")&amp;IF(AND(AU95&gt;0,ABS(AU95-AG95)&lt;1E-6),"F2 ","")&amp;IF(AY95&gt;=in_f3-1E-6,"F3 ","")&amp;IF(AV95&gt;=in_cap-1E-9,"rate cap",""))</f>
        <v/>
      </c>
      <c r="BA95" s="31">
        <f>Q95*AT95/100</f>
        <v/>
      </c>
      <c r="BB95" s="16">
        <f>MAX(0,MIN(in_cap,IF(AE95&gt;0,(in_f3-AD95*AI95*0/10)/AE95,in_cap)))</f>
        <v/>
      </c>
      <c r="BC95" s="16">
        <f>MAX(0,MIN(in_cap,IF(AE95&gt;0,(in_f3-AD95*AI95*1/10)/AE95,in_cap)))</f>
        <v/>
      </c>
      <c r="BD95" s="16">
        <f>MAX(0,MIN(in_cap,IF(AE95&gt;0,(in_f3-AD95*AI95*2/10)/AE95,in_cap)))</f>
        <v/>
      </c>
      <c r="BE95" s="16">
        <f>MAX(0,MIN(in_cap,IF(AE95&gt;0,(in_f3-AD95*AI95*3/10)/AE95,in_cap)))</f>
        <v/>
      </c>
      <c r="BF95" s="16">
        <f>MAX(0,MIN(in_cap,IF(AE95&gt;0,(in_f3-AD95*AI95*4/10)/AE95,in_cap)))</f>
        <v/>
      </c>
      <c r="BG95" s="16">
        <f>MAX(0,MIN(in_cap,IF(AE95&gt;0,(in_f3-AD95*AI95*5/10)/AE95,in_cap)))</f>
        <v/>
      </c>
      <c r="BH95" s="16">
        <f>MAX(0,MIN(in_cap,IF(AE95&gt;0,(in_f3-AD95*AI95*6/10)/AE95,in_cap)))</f>
        <v/>
      </c>
      <c r="BI95" s="16">
        <f>MAX(0,MIN(in_cap,IF(AE95&gt;0,(in_f3-AD95*AI95*7/10)/AE95,in_cap)))</f>
        <v/>
      </c>
      <c r="BJ95" s="16">
        <f>MAX(0,MIN(in_cap,IF(AE95&gt;0,(in_f3-AD95*AI95*8/10)/AE95,in_cap)))</f>
        <v/>
      </c>
      <c r="BK95" s="16">
        <f>MAX(0,MIN(in_cap,IF(AE95&gt;0,(in_f3-AD95*AI95*9/10)/AE95,in_cap)))</f>
        <v/>
      </c>
      <c r="BL95" s="16">
        <f>MAX(0,MIN(in_cap,IF(AE95&gt;0,(in_f3-AD95*AI95*10/10)/AE95,in_cap)))</f>
        <v/>
      </c>
      <c r="BM95" s="15">
        <f>100*(1-(1-X95*(1-EXP(-((AI95*0/10)+(BB95))/Y95)))*(1-MIN(ABS(in_elas)*W95*R95*(AI95*0/10)/V95,1)))</f>
        <v/>
      </c>
      <c r="BN95" s="15">
        <f>100*(1-(1-X95*(1-EXP(-((AI95*1/10)+(BC95))/Y95)))*(1-MIN(ABS(in_elas)*W95*R95*(AI95*1/10)/V95,1)))</f>
        <v/>
      </c>
      <c r="BO95" s="15">
        <f>100*(1-(1-X95*(1-EXP(-((AI95*2/10)+(BD95))/Y95)))*(1-MIN(ABS(in_elas)*W95*R95*(AI95*2/10)/V95,1)))</f>
        <v/>
      </c>
      <c r="BP95" s="15">
        <f>100*(1-(1-X95*(1-EXP(-((AI95*3/10)+(BE95))/Y95)))*(1-MIN(ABS(in_elas)*W95*R95*(AI95*3/10)/V95,1)))</f>
        <v/>
      </c>
      <c r="BQ95" s="15">
        <f>100*(1-(1-X95*(1-EXP(-((AI95*4/10)+(BF95))/Y95)))*(1-MIN(ABS(in_elas)*W95*R95*(AI95*4/10)/V95,1)))</f>
        <v/>
      </c>
      <c r="BR95" s="15">
        <f>100*(1-(1-X95*(1-EXP(-((AI95*5/10)+(BG95))/Y95)))*(1-MIN(ABS(in_elas)*W95*R95*(AI95*5/10)/V95,1)))</f>
        <v/>
      </c>
      <c r="BS95" s="15">
        <f>100*(1-(1-X95*(1-EXP(-((AI95*6/10)+(BH95))/Y95)))*(1-MIN(ABS(in_elas)*W95*R95*(AI95*6/10)/V95,1)))</f>
        <v/>
      </c>
      <c r="BT95" s="15">
        <f>100*(1-(1-X95*(1-EXP(-((AI95*7/10)+(BI95))/Y95)))*(1-MIN(ABS(in_elas)*W95*R95*(AI95*7/10)/V95,1)))</f>
        <v/>
      </c>
      <c r="BU95" s="15">
        <f>100*(1-(1-X95*(1-EXP(-((AI95*8/10)+(BJ95))/Y95)))*(1-MIN(ABS(in_elas)*W95*R95*(AI95*8/10)/V95,1)))</f>
        <v/>
      </c>
      <c r="BV95" s="15">
        <f>100*(1-(1-X95*(1-EXP(-((AI95*9/10)+(BK95))/Y95)))*(1-MIN(ABS(in_elas)*W95*R95*(AI95*9/10)/V95,1)))</f>
        <v/>
      </c>
      <c r="BW95" s="15">
        <f>100*(1-(1-X95*(1-EXP(-((AI95*10/10)+(BL95))/Y95)))*(1-MIN(ABS(in_elas)*W95*R95*(AI95*10/10)/V95,1)))</f>
        <v/>
      </c>
    </row>
    <row r="96">
      <c r="A96" s="17" t="inlineStr">
        <is>
          <t>LUX</t>
        </is>
      </c>
      <c r="B96" s="17">
        <f>INDEX(Data!$B:$B,MATCH($A96,Data!$A:$A,0))</f>
        <v/>
      </c>
      <c r="C96" s="17">
        <f>INDEX(Data!$D:$D,MATCH($A96,Data!$A:$A,0))</f>
        <v/>
      </c>
      <c r="D96" s="16">
        <f>SUMIFS(Data!$G:$G,Data!$A:$A,$A96,Data!$F:$F,"gen_coal_twh")</f>
        <v/>
      </c>
      <c r="E96" s="16">
        <f>SUMIFS(Data!$G:$G,Data!$A:$A,$A96,Data!$F:$F,"gen_gas_twh")</f>
        <v/>
      </c>
      <c r="F96" s="16">
        <f>SUMIFS(Data!$G:$G,Data!$A:$A,$A96,Data!$F:$F,"gen_oil_twh")</f>
        <v/>
      </c>
      <c r="G96" s="16">
        <f>SUMIFS(Data!$G:$G,Data!$A:$A,$A96,Data!$F:$F,"gen_total_twh")</f>
        <v/>
      </c>
      <c r="H96" s="16">
        <f>SUMIFS(Data!$G:$G,Data!$A:$A,$A96,Data!$F:$F,"em_coal_mt")</f>
        <v/>
      </c>
      <c r="I96" s="16">
        <f>SUMIFS(Data!$G:$G,Data!$A:$A,$A96,Data!$F:$F,"em_gas_mt")</f>
        <v/>
      </c>
      <c r="J96" s="16">
        <f>SUMIFS(Data!$G:$G,Data!$A:$A,$A96,Data!$F:$F,"em_oil_mt")</f>
        <v/>
      </c>
      <c r="K96" s="28">
        <f>IF(COUNTIFS(Data!$A:$A,$A96,Data!$F:$F,"price_electricity_residential_usd_kwh")=0,"",SUMIFS(Data!$G:$G,Data!$A:$A,$A96,Data!$F:$F,"price_electricity_residential_usd_kwh"))</f>
        <v/>
      </c>
      <c r="L96" s="28">
        <f>IF(COUNTIFS(Data!$A:$A,$A96,Data!$F:$F,"price_coal_power_usd_gj")=0,"",SUMIFS(Data!$G:$G,Data!$A:$A,$A96,Data!$F:$F,"price_coal_power_usd_gj"))</f>
        <v/>
      </c>
      <c r="M96" s="28">
        <f>IF(COUNTIFS(Data!$A:$A,$A96,Data!$F:$F,"price_gas_power_usd_gj")=0,"",SUMIFS(Data!$G:$G,Data!$A:$A,$A96,Data!$F:$F,"price_gas_power_usd_gj"))</f>
        <v/>
      </c>
      <c r="N96" s="28">
        <f>IF(COUNTIFS(Data!$A:$A,$A96,Data!$F:$F,"price_gas_industry_usd_gj")=0,"",SUMIFS(Data!$G:$G,Data!$A:$A,$A96,Data!$F:$F,"price_gas_industry_usd_gj"))</f>
        <v/>
      </c>
      <c r="O96" s="28">
        <f>IF(COUNTIFS(Data!$A:$A,$A96,Data!$F:$F,"power_market_structure")=0,"",SUMIFS(Data!$G:$G,Data!$A:$A,$A96,Data!$F:$F,"power_market_structure"))</f>
        <v/>
      </c>
      <c r="P96" s="28">
        <f>IF(COUNTIFS(Data!$A:$A,$A96,Data!$F:$F,"rise_renewable_energy_score")=0,"",SUMIFS(Data!$G:$G,Data!$A:$A,$A96,Data!$F:$F,"rise_renewable_energy_score"))</f>
        <v/>
      </c>
      <c r="Q96" s="16">
        <f>H96+I96+J96</f>
        <v/>
      </c>
      <c r="R96" s="28">
        <f>Q96/G96</f>
        <v/>
      </c>
      <c r="S96" s="28">
        <f>IF(D96&gt;0,H96/D96,0.85)</f>
        <v/>
      </c>
      <c r="T96" s="28">
        <f>IF(E96&gt;0,I96/E96,0.4)</f>
        <v/>
      </c>
      <c r="U96" s="28">
        <f>IF(D96+F96&gt;0,(H96+J96)/(D96+F96),0)</f>
        <v/>
      </c>
      <c r="V96" s="16">
        <f>K96*1000</f>
        <v/>
      </c>
      <c r="W96" s="15">
        <f>IF(O96=3,in_pt3,IF(O96=2,in_pt2,IF(O96=1,in_pt1,IF(C96="High income",in_pt_hi,in_pt_oth))))</f>
        <v/>
      </c>
      <c r="X96" s="28">
        <f>IF(Q96&gt;0,in_kappa*(in_rise_lo+(in_rise_hi-in_rise_lo)*IF(P96="",in_rise_miss,P96)/100)*(D96+F96)*MAX(U96-in_gas_rep*T96,0)/Q96,0)</f>
        <v/>
      </c>
      <c r="Y96" s="16">
        <f>IF(IF(M96="",N96,M96)="",MAX(in_sw_floor,in_sw_miss),MAX(in_sw_floor,(IF(M96="",N96,M96)*in_hr_gas-L96*in_hr_coal)/MAX(S96-T96,0.1)))</f>
        <v/>
      </c>
      <c r="Z96" s="28">
        <f>IF(C96="Low income",in_b40_li,IF(C96="Lower middle income",in_b40_lmi,IF(C96="Upper middle income",in_b40_umi,IF(C96="High income",in_b40_hi,0.03))))</f>
        <v/>
      </c>
      <c r="AA96" s="15">
        <f>(D96+F96)/G96</f>
        <v/>
      </c>
      <c r="AB96" s="28">
        <f>100*W96*R96/V96/in_phase</f>
        <v/>
      </c>
      <c r="AC96" s="29">
        <f>100*Z96*W96*R96/V96*(1-IF(W96&gt;0,MIN(in_rebate/(W96*in_res_sh*in_q40),1),1))</f>
        <v/>
      </c>
      <c r="AD96" s="28">
        <f>IF(AA96&gt;0,100*U96*(1-W96)/(in_whole_sh*V96),0)</f>
        <v/>
      </c>
      <c r="AE96" s="28">
        <f>IF(AA96&gt;0,100*MAX(U96-R96,0)/(in_whole_sh*V96),0)</f>
        <v/>
      </c>
      <c r="AF96" s="16">
        <f>IF(AB96&gt;0,in_f1/AB96,in_cap)</f>
        <v/>
      </c>
      <c r="AG96" s="16">
        <f>IF(AC96&gt;0,in_f2/AC96,in_cap)</f>
        <v/>
      </c>
      <c r="AH96" s="16">
        <f>IF(AD96&gt;0,in_f3/AD96,in_cap)</f>
        <v/>
      </c>
      <c r="AI96" s="16">
        <f>MIN(in_cap,AF96,AG96,AH96)</f>
        <v/>
      </c>
      <c r="AJ96" s="30">
        <f>100*(1-(1-X96*(1-EXP(-((AI96)+(0))/Y96)))*(1-MIN(ABS(in_elas)*W96*R96*(AI96)/V96,1)))</f>
        <v/>
      </c>
      <c r="AK96" s="17">
        <f>IF(AI96&gt;=in_cap-1E-9,"rate cap",TRIM(IF(ABS(AI96-AF96)&lt;1E-9,"F1 ","")&amp;IF(ABS(AI96-AG96)&lt;1E-9,"F2 ","")&amp;IF(ABS(AI96-AH96)&lt;1E-9,"F3","")))</f>
        <v/>
      </c>
      <c r="AL96" s="15">
        <f>100*(1-(1-X96*(1-EXP(-((MIN(in_cap,IF(AB96&gt;0,(in_f1+1)/AB96,in_cap),AG96,AH96))+(0))/Y96)))*(1-MIN(ABS(in_elas)*W96*R96*(MIN(in_cap,IF(AB96&gt;0,(in_f1+1)/AB96,in_cap),AG96,AH96))/V96,1)))-AJ96</f>
        <v/>
      </c>
      <c r="AM96" s="16">
        <f>MIN(in_cap,IF(AE96&gt;0,in_f3/AE96,in_cap))</f>
        <v/>
      </c>
      <c r="AN96" s="30">
        <f>100*(1-(1-X96*(1-EXP(-((0)+(AM96))/Y96)))*(1-MIN(ABS(in_elas)*W96*R96*(0)/V96,1)))</f>
        <v/>
      </c>
      <c r="AO96" s="17">
        <f>IF(AM96&gt;=in_cap-1E-9,"rate cap","F3")</f>
        <v/>
      </c>
      <c r="AP96" s="15">
        <f>100*(1-(1-X96*(1-EXP(-((50)+(0))/Y96)))*(1-MIN(ABS(in_elas)*W96*R96*(50)/V96,1)))</f>
        <v/>
      </c>
      <c r="AQ96" s="15">
        <f>100*(1-(1-X96*(1-EXP(-((0)+(50))/Y96)))*(1-MIN(ABS(in_elas)*W96*R96*(0)/V96,1)))</f>
        <v/>
      </c>
      <c r="AR96" s="15">
        <f>IF(AP96&gt;0,AQ96/AP96,"")</f>
        <v/>
      </c>
      <c r="AS96" s="16">
        <f>50*AB96</f>
        <v/>
      </c>
      <c r="AT96" s="30">
        <f>MAX(BM96:BW96)</f>
        <v/>
      </c>
      <c r="AU96" s="31">
        <f>AI96*(MATCH(AT96,BM96:BW96,0)-1)/10</f>
        <v/>
      </c>
      <c r="AV96" s="31">
        <f>INDEX(BB96:BL96,1,(MATCH(AT96,BM96:BW96,0)-1)+1)</f>
        <v/>
      </c>
      <c r="AW96" s="31">
        <f>AB96*AU96</f>
        <v/>
      </c>
      <c r="AX96" s="30">
        <f>AC96*AU96</f>
        <v/>
      </c>
      <c r="AY96" s="31">
        <f>AD96*AU96+AE96*AV96</f>
        <v/>
      </c>
      <c r="AZ96" s="32">
        <f>TRIM(IF(AND(AU96&gt;0,ABS(AU96-AF96)&lt;1E-6),"F1 ","")&amp;IF(AND(AU96&gt;0,ABS(AU96-AG96)&lt;1E-6),"F2 ","")&amp;IF(AY96&gt;=in_f3-1E-6,"F3 ","")&amp;IF(AV96&gt;=in_cap-1E-9,"rate cap",""))</f>
        <v/>
      </c>
      <c r="BA96" s="31">
        <f>Q96*AT96/100</f>
        <v/>
      </c>
      <c r="BB96" s="16">
        <f>MAX(0,MIN(in_cap,IF(AE96&gt;0,(in_f3-AD96*AI96*0/10)/AE96,in_cap)))</f>
        <v/>
      </c>
      <c r="BC96" s="16">
        <f>MAX(0,MIN(in_cap,IF(AE96&gt;0,(in_f3-AD96*AI96*1/10)/AE96,in_cap)))</f>
        <v/>
      </c>
      <c r="BD96" s="16">
        <f>MAX(0,MIN(in_cap,IF(AE96&gt;0,(in_f3-AD96*AI96*2/10)/AE96,in_cap)))</f>
        <v/>
      </c>
      <c r="BE96" s="16">
        <f>MAX(0,MIN(in_cap,IF(AE96&gt;0,(in_f3-AD96*AI96*3/10)/AE96,in_cap)))</f>
        <v/>
      </c>
      <c r="BF96" s="16">
        <f>MAX(0,MIN(in_cap,IF(AE96&gt;0,(in_f3-AD96*AI96*4/10)/AE96,in_cap)))</f>
        <v/>
      </c>
      <c r="BG96" s="16">
        <f>MAX(0,MIN(in_cap,IF(AE96&gt;0,(in_f3-AD96*AI96*5/10)/AE96,in_cap)))</f>
        <v/>
      </c>
      <c r="BH96" s="16">
        <f>MAX(0,MIN(in_cap,IF(AE96&gt;0,(in_f3-AD96*AI96*6/10)/AE96,in_cap)))</f>
        <v/>
      </c>
      <c r="BI96" s="16">
        <f>MAX(0,MIN(in_cap,IF(AE96&gt;0,(in_f3-AD96*AI96*7/10)/AE96,in_cap)))</f>
        <v/>
      </c>
      <c r="BJ96" s="16">
        <f>MAX(0,MIN(in_cap,IF(AE96&gt;0,(in_f3-AD96*AI96*8/10)/AE96,in_cap)))</f>
        <v/>
      </c>
      <c r="BK96" s="16">
        <f>MAX(0,MIN(in_cap,IF(AE96&gt;0,(in_f3-AD96*AI96*9/10)/AE96,in_cap)))</f>
        <v/>
      </c>
      <c r="BL96" s="16">
        <f>MAX(0,MIN(in_cap,IF(AE96&gt;0,(in_f3-AD96*AI96*10/10)/AE96,in_cap)))</f>
        <v/>
      </c>
      <c r="BM96" s="15">
        <f>100*(1-(1-X96*(1-EXP(-((AI96*0/10)+(BB96))/Y96)))*(1-MIN(ABS(in_elas)*W96*R96*(AI96*0/10)/V96,1)))</f>
        <v/>
      </c>
      <c r="BN96" s="15">
        <f>100*(1-(1-X96*(1-EXP(-((AI96*1/10)+(BC96))/Y96)))*(1-MIN(ABS(in_elas)*W96*R96*(AI96*1/10)/V96,1)))</f>
        <v/>
      </c>
      <c r="BO96" s="15">
        <f>100*(1-(1-X96*(1-EXP(-((AI96*2/10)+(BD96))/Y96)))*(1-MIN(ABS(in_elas)*W96*R96*(AI96*2/10)/V96,1)))</f>
        <v/>
      </c>
      <c r="BP96" s="15">
        <f>100*(1-(1-X96*(1-EXP(-((AI96*3/10)+(BE96))/Y96)))*(1-MIN(ABS(in_elas)*W96*R96*(AI96*3/10)/V96,1)))</f>
        <v/>
      </c>
      <c r="BQ96" s="15">
        <f>100*(1-(1-X96*(1-EXP(-((AI96*4/10)+(BF96))/Y96)))*(1-MIN(ABS(in_elas)*W96*R96*(AI96*4/10)/V96,1)))</f>
        <v/>
      </c>
      <c r="BR96" s="15">
        <f>100*(1-(1-X96*(1-EXP(-((AI96*5/10)+(BG96))/Y96)))*(1-MIN(ABS(in_elas)*W96*R96*(AI96*5/10)/V96,1)))</f>
        <v/>
      </c>
      <c r="BS96" s="15">
        <f>100*(1-(1-X96*(1-EXP(-((AI96*6/10)+(BH96))/Y96)))*(1-MIN(ABS(in_elas)*W96*R96*(AI96*6/10)/V96,1)))</f>
        <v/>
      </c>
      <c r="BT96" s="15">
        <f>100*(1-(1-X96*(1-EXP(-((AI96*7/10)+(BI96))/Y96)))*(1-MIN(ABS(in_elas)*W96*R96*(AI96*7/10)/V96,1)))</f>
        <v/>
      </c>
      <c r="BU96" s="15">
        <f>100*(1-(1-X96*(1-EXP(-((AI96*8/10)+(BJ96))/Y96)))*(1-MIN(ABS(in_elas)*W96*R96*(AI96*8/10)/V96,1)))</f>
        <v/>
      </c>
      <c r="BV96" s="15">
        <f>100*(1-(1-X96*(1-EXP(-((AI96*9/10)+(BK96))/Y96)))*(1-MIN(ABS(in_elas)*W96*R96*(AI96*9/10)/V96,1)))</f>
        <v/>
      </c>
      <c r="BW96" s="15">
        <f>100*(1-(1-X96*(1-EXP(-((AI96*10/10)+(BL96))/Y96)))*(1-MIN(ABS(in_elas)*W96*R96*(AI96*10/10)/V96,1)))</f>
        <v/>
      </c>
    </row>
    <row r="97">
      <c r="A97" s="17" t="inlineStr">
        <is>
          <t>LVA</t>
        </is>
      </c>
      <c r="B97" s="17">
        <f>INDEX(Data!$B:$B,MATCH($A97,Data!$A:$A,0))</f>
        <v/>
      </c>
      <c r="C97" s="17">
        <f>INDEX(Data!$D:$D,MATCH($A97,Data!$A:$A,0))</f>
        <v/>
      </c>
      <c r="D97" s="16">
        <f>SUMIFS(Data!$G:$G,Data!$A:$A,$A97,Data!$F:$F,"gen_coal_twh")</f>
        <v/>
      </c>
      <c r="E97" s="16">
        <f>SUMIFS(Data!$G:$G,Data!$A:$A,$A97,Data!$F:$F,"gen_gas_twh")</f>
        <v/>
      </c>
      <c r="F97" s="16">
        <f>SUMIFS(Data!$G:$G,Data!$A:$A,$A97,Data!$F:$F,"gen_oil_twh")</f>
        <v/>
      </c>
      <c r="G97" s="16">
        <f>SUMIFS(Data!$G:$G,Data!$A:$A,$A97,Data!$F:$F,"gen_total_twh")</f>
        <v/>
      </c>
      <c r="H97" s="16">
        <f>SUMIFS(Data!$G:$G,Data!$A:$A,$A97,Data!$F:$F,"em_coal_mt")</f>
        <v/>
      </c>
      <c r="I97" s="16">
        <f>SUMIFS(Data!$G:$G,Data!$A:$A,$A97,Data!$F:$F,"em_gas_mt")</f>
        <v/>
      </c>
      <c r="J97" s="16">
        <f>SUMIFS(Data!$G:$G,Data!$A:$A,$A97,Data!$F:$F,"em_oil_mt")</f>
        <v/>
      </c>
      <c r="K97" s="28">
        <f>IF(COUNTIFS(Data!$A:$A,$A97,Data!$F:$F,"price_electricity_residential_usd_kwh")=0,"",SUMIFS(Data!$G:$G,Data!$A:$A,$A97,Data!$F:$F,"price_electricity_residential_usd_kwh"))</f>
        <v/>
      </c>
      <c r="L97" s="28">
        <f>IF(COUNTIFS(Data!$A:$A,$A97,Data!$F:$F,"price_coal_power_usd_gj")=0,"",SUMIFS(Data!$G:$G,Data!$A:$A,$A97,Data!$F:$F,"price_coal_power_usd_gj"))</f>
        <v/>
      </c>
      <c r="M97" s="28">
        <f>IF(COUNTIFS(Data!$A:$A,$A97,Data!$F:$F,"price_gas_power_usd_gj")=0,"",SUMIFS(Data!$G:$G,Data!$A:$A,$A97,Data!$F:$F,"price_gas_power_usd_gj"))</f>
        <v/>
      </c>
      <c r="N97" s="28">
        <f>IF(COUNTIFS(Data!$A:$A,$A97,Data!$F:$F,"price_gas_industry_usd_gj")=0,"",SUMIFS(Data!$G:$G,Data!$A:$A,$A97,Data!$F:$F,"price_gas_industry_usd_gj"))</f>
        <v/>
      </c>
      <c r="O97" s="28">
        <f>IF(COUNTIFS(Data!$A:$A,$A97,Data!$F:$F,"power_market_structure")=0,"",SUMIFS(Data!$G:$G,Data!$A:$A,$A97,Data!$F:$F,"power_market_structure"))</f>
        <v/>
      </c>
      <c r="P97" s="28">
        <f>IF(COUNTIFS(Data!$A:$A,$A97,Data!$F:$F,"rise_renewable_energy_score")=0,"",SUMIFS(Data!$G:$G,Data!$A:$A,$A97,Data!$F:$F,"rise_renewable_energy_score"))</f>
        <v/>
      </c>
      <c r="Q97" s="16">
        <f>H97+I97+J97</f>
        <v/>
      </c>
      <c r="R97" s="28">
        <f>Q97/G97</f>
        <v/>
      </c>
      <c r="S97" s="28">
        <f>IF(D97&gt;0,H97/D97,0.85)</f>
        <v/>
      </c>
      <c r="T97" s="28">
        <f>IF(E97&gt;0,I97/E97,0.4)</f>
        <v/>
      </c>
      <c r="U97" s="28">
        <f>IF(D97+F97&gt;0,(H97+J97)/(D97+F97),0)</f>
        <v/>
      </c>
      <c r="V97" s="16">
        <f>K97*1000</f>
        <v/>
      </c>
      <c r="W97" s="15">
        <f>IF(O97=3,in_pt3,IF(O97=2,in_pt2,IF(O97=1,in_pt1,IF(C97="High income",in_pt_hi,in_pt_oth))))</f>
        <v/>
      </c>
      <c r="X97" s="28">
        <f>IF(Q97&gt;0,in_kappa*(in_rise_lo+(in_rise_hi-in_rise_lo)*IF(P97="",in_rise_miss,P97)/100)*(D97+F97)*MAX(U97-in_gas_rep*T97,0)/Q97,0)</f>
        <v/>
      </c>
      <c r="Y97" s="16">
        <f>IF(IF(M97="",N97,M97)="",MAX(in_sw_floor,in_sw_miss),MAX(in_sw_floor,(IF(M97="",N97,M97)*in_hr_gas-L97*in_hr_coal)/MAX(S97-T97,0.1)))</f>
        <v/>
      </c>
      <c r="Z97" s="28">
        <f>IF(C97="Low income",in_b40_li,IF(C97="Lower middle income",in_b40_lmi,IF(C97="Upper middle income",in_b40_umi,IF(C97="High income",in_b40_hi,0.03))))</f>
        <v/>
      </c>
      <c r="AA97" s="15">
        <f>(D97+F97)/G97</f>
        <v/>
      </c>
      <c r="AB97" s="28">
        <f>100*W97*R97/V97/in_phase</f>
        <v/>
      </c>
      <c r="AC97" s="29">
        <f>100*Z97*W97*R97/V97*(1-IF(W97&gt;0,MIN(in_rebate/(W97*in_res_sh*in_q40),1),1))</f>
        <v/>
      </c>
      <c r="AD97" s="28">
        <f>IF(AA97&gt;0,100*U97*(1-W97)/(in_whole_sh*V97),0)</f>
        <v/>
      </c>
      <c r="AE97" s="28">
        <f>IF(AA97&gt;0,100*MAX(U97-R97,0)/(in_whole_sh*V97),0)</f>
        <v/>
      </c>
      <c r="AF97" s="16">
        <f>IF(AB97&gt;0,in_f1/AB97,in_cap)</f>
        <v/>
      </c>
      <c r="AG97" s="16">
        <f>IF(AC97&gt;0,in_f2/AC97,in_cap)</f>
        <v/>
      </c>
      <c r="AH97" s="16">
        <f>IF(AD97&gt;0,in_f3/AD97,in_cap)</f>
        <v/>
      </c>
      <c r="AI97" s="16">
        <f>MIN(in_cap,AF97,AG97,AH97)</f>
        <v/>
      </c>
      <c r="AJ97" s="30">
        <f>100*(1-(1-X97*(1-EXP(-((AI97)+(0))/Y97)))*(1-MIN(ABS(in_elas)*W97*R97*(AI97)/V97,1)))</f>
        <v/>
      </c>
      <c r="AK97" s="17">
        <f>IF(AI97&gt;=in_cap-1E-9,"rate cap",TRIM(IF(ABS(AI97-AF97)&lt;1E-9,"F1 ","")&amp;IF(ABS(AI97-AG97)&lt;1E-9,"F2 ","")&amp;IF(ABS(AI97-AH97)&lt;1E-9,"F3","")))</f>
        <v/>
      </c>
      <c r="AL97" s="15">
        <f>100*(1-(1-X97*(1-EXP(-((MIN(in_cap,IF(AB97&gt;0,(in_f1+1)/AB97,in_cap),AG97,AH97))+(0))/Y97)))*(1-MIN(ABS(in_elas)*W97*R97*(MIN(in_cap,IF(AB97&gt;0,(in_f1+1)/AB97,in_cap),AG97,AH97))/V97,1)))-AJ97</f>
        <v/>
      </c>
      <c r="AM97" s="16">
        <f>MIN(in_cap,IF(AE97&gt;0,in_f3/AE97,in_cap))</f>
        <v/>
      </c>
      <c r="AN97" s="30">
        <f>100*(1-(1-X97*(1-EXP(-((0)+(AM97))/Y97)))*(1-MIN(ABS(in_elas)*W97*R97*(0)/V97,1)))</f>
        <v/>
      </c>
      <c r="AO97" s="17">
        <f>IF(AM97&gt;=in_cap-1E-9,"rate cap","F3")</f>
        <v/>
      </c>
      <c r="AP97" s="15">
        <f>100*(1-(1-X97*(1-EXP(-((50)+(0))/Y97)))*(1-MIN(ABS(in_elas)*W97*R97*(50)/V97,1)))</f>
        <v/>
      </c>
      <c r="AQ97" s="15">
        <f>100*(1-(1-X97*(1-EXP(-((0)+(50))/Y97)))*(1-MIN(ABS(in_elas)*W97*R97*(0)/V97,1)))</f>
        <v/>
      </c>
      <c r="AR97" s="15">
        <f>IF(AP97&gt;0,AQ97/AP97,"")</f>
        <v/>
      </c>
      <c r="AS97" s="16">
        <f>50*AB97</f>
        <v/>
      </c>
      <c r="AT97" s="30">
        <f>MAX(BM97:BW97)</f>
        <v/>
      </c>
      <c r="AU97" s="31">
        <f>AI97*(MATCH(AT97,BM97:BW97,0)-1)/10</f>
        <v/>
      </c>
      <c r="AV97" s="31">
        <f>INDEX(BB97:BL97,1,(MATCH(AT97,BM97:BW97,0)-1)+1)</f>
        <v/>
      </c>
      <c r="AW97" s="31">
        <f>AB97*AU97</f>
        <v/>
      </c>
      <c r="AX97" s="30">
        <f>AC97*AU97</f>
        <v/>
      </c>
      <c r="AY97" s="31">
        <f>AD97*AU97+AE97*AV97</f>
        <v/>
      </c>
      <c r="AZ97" s="32">
        <f>TRIM(IF(AND(AU97&gt;0,ABS(AU97-AF97)&lt;1E-6),"F1 ","")&amp;IF(AND(AU97&gt;0,ABS(AU97-AG97)&lt;1E-6),"F2 ","")&amp;IF(AY97&gt;=in_f3-1E-6,"F3 ","")&amp;IF(AV97&gt;=in_cap-1E-9,"rate cap",""))</f>
        <v/>
      </c>
      <c r="BA97" s="31">
        <f>Q97*AT97/100</f>
        <v/>
      </c>
      <c r="BB97" s="16">
        <f>MAX(0,MIN(in_cap,IF(AE97&gt;0,(in_f3-AD97*AI97*0/10)/AE97,in_cap)))</f>
        <v/>
      </c>
      <c r="BC97" s="16">
        <f>MAX(0,MIN(in_cap,IF(AE97&gt;0,(in_f3-AD97*AI97*1/10)/AE97,in_cap)))</f>
        <v/>
      </c>
      <c r="BD97" s="16">
        <f>MAX(0,MIN(in_cap,IF(AE97&gt;0,(in_f3-AD97*AI97*2/10)/AE97,in_cap)))</f>
        <v/>
      </c>
      <c r="BE97" s="16">
        <f>MAX(0,MIN(in_cap,IF(AE97&gt;0,(in_f3-AD97*AI97*3/10)/AE97,in_cap)))</f>
        <v/>
      </c>
      <c r="BF97" s="16">
        <f>MAX(0,MIN(in_cap,IF(AE97&gt;0,(in_f3-AD97*AI97*4/10)/AE97,in_cap)))</f>
        <v/>
      </c>
      <c r="BG97" s="16">
        <f>MAX(0,MIN(in_cap,IF(AE97&gt;0,(in_f3-AD97*AI97*5/10)/AE97,in_cap)))</f>
        <v/>
      </c>
      <c r="BH97" s="16">
        <f>MAX(0,MIN(in_cap,IF(AE97&gt;0,(in_f3-AD97*AI97*6/10)/AE97,in_cap)))</f>
        <v/>
      </c>
      <c r="BI97" s="16">
        <f>MAX(0,MIN(in_cap,IF(AE97&gt;0,(in_f3-AD97*AI97*7/10)/AE97,in_cap)))</f>
        <v/>
      </c>
      <c r="BJ97" s="16">
        <f>MAX(0,MIN(in_cap,IF(AE97&gt;0,(in_f3-AD97*AI97*8/10)/AE97,in_cap)))</f>
        <v/>
      </c>
      <c r="BK97" s="16">
        <f>MAX(0,MIN(in_cap,IF(AE97&gt;0,(in_f3-AD97*AI97*9/10)/AE97,in_cap)))</f>
        <v/>
      </c>
      <c r="BL97" s="16">
        <f>MAX(0,MIN(in_cap,IF(AE97&gt;0,(in_f3-AD97*AI97*10/10)/AE97,in_cap)))</f>
        <v/>
      </c>
      <c r="BM97" s="15">
        <f>100*(1-(1-X97*(1-EXP(-((AI97*0/10)+(BB97))/Y97)))*(1-MIN(ABS(in_elas)*W97*R97*(AI97*0/10)/V97,1)))</f>
        <v/>
      </c>
      <c r="BN97" s="15">
        <f>100*(1-(1-X97*(1-EXP(-((AI97*1/10)+(BC97))/Y97)))*(1-MIN(ABS(in_elas)*W97*R97*(AI97*1/10)/V97,1)))</f>
        <v/>
      </c>
      <c r="BO97" s="15">
        <f>100*(1-(1-X97*(1-EXP(-((AI97*2/10)+(BD97))/Y97)))*(1-MIN(ABS(in_elas)*W97*R97*(AI97*2/10)/V97,1)))</f>
        <v/>
      </c>
      <c r="BP97" s="15">
        <f>100*(1-(1-X97*(1-EXP(-((AI97*3/10)+(BE97))/Y97)))*(1-MIN(ABS(in_elas)*W97*R97*(AI97*3/10)/V97,1)))</f>
        <v/>
      </c>
      <c r="BQ97" s="15">
        <f>100*(1-(1-X97*(1-EXP(-((AI97*4/10)+(BF97))/Y97)))*(1-MIN(ABS(in_elas)*W97*R97*(AI97*4/10)/V97,1)))</f>
        <v/>
      </c>
      <c r="BR97" s="15">
        <f>100*(1-(1-X97*(1-EXP(-((AI97*5/10)+(BG97))/Y97)))*(1-MIN(ABS(in_elas)*W97*R97*(AI97*5/10)/V97,1)))</f>
        <v/>
      </c>
      <c r="BS97" s="15">
        <f>100*(1-(1-X97*(1-EXP(-((AI97*6/10)+(BH97))/Y97)))*(1-MIN(ABS(in_elas)*W97*R97*(AI97*6/10)/V97,1)))</f>
        <v/>
      </c>
      <c r="BT97" s="15">
        <f>100*(1-(1-X97*(1-EXP(-((AI97*7/10)+(BI97))/Y97)))*(1-MIN(ABS(in_elas)*W97*R97*(AI97*7/10)/V97,1)))</f>
        <v/>
      </c>
      <c r="BU97" s="15">
        <f>100*(1-(1-X97*(1-EXP(-((AI97*8/10)+(BJ97))/Y97)))*(1-MIN(ABS(in_elas)*W97*R97*(AI97*8/10)/V97,1)))</f>
        <v/>
      </c>
      <c r="BV97" s="15">
        <f>100*(1-(1-X97*(1-EXP(-((AI97*9/10)+(BK97))/Y97)))*(1-MIN(ABS(in_elas)*W97*R97*(AI97*9/10)/V97,1)))</f>
        <v/>
      </c>
      <c r="BW97" s="15">
        <f>100*(1-(1-X97*(1-EXP(-((AI97*10/10)+(BL97))/Y97)))*(1-MIN(ABS(in_elas)*W97*R97*(AI97*10/10)/V97,1)))</f>
        <v/>
      </c>
    </row>
    <row r="98">
      <c r="A98" s="17" t="inlineStr">
        <is>
          <t>MAC</t>
        </is>
      </c>
      <c r="B98" s="17">
        <f>INDEX(Data!$B:$B,MATCH($A98,Data!$A:$A,0))</f>
        <v/>
      </c>
      <c r="C98" s="17">
        <f>INDEX(Data!$D:$D,MATCH($A98,Data!$A:$A,0))</f>
        <v/>
      </c>
      <c r="D98" s="16">
        <f>SUMIFS(Data!$G:$G,Data!$A:$A,$A98,Data!$F:$F,"gen_coal_twh")</f>
        <v/>
      </c>
      <c r="E98" s="16">
        <f>SUMIFS(Data!$G:$G,Data!$A:$A,$A98,Data!$F:$F,"gen_gas_twh")</f>
        <v/>
      </c>
      <c r="F98" s="16">
        <f>SUMIFS(Data!$G:$G,Data!$A:$A,$A98,Data!$F:$F,"gen_oil_twh")</f>
        <v/>
      </c>
      <c r="G98" s="16">
        <f>SUMIFS(Data!$G:$G,Data!$A:$A,$A98,Data!$F:$F,"gen_total_twh")</f>
        <v/>
      </c>
      <c r="H98" s="16">
        <f>SUMIFS(Data!$G:$G,Data!$A:$A,$A98,Data!$F:$F,"em_coal_mt")</f>
        <v/>
      </c>
      <c r="I98" s="16">
        <f>SUMIFS(Data!$G:$G,Data!$A:$A,$A98,Data!$F:$F,"em_gas_mt")</f>
        <v/>
      </c>
      <c r="J98" s="16">
        <f>SUMIFS(Data!$G:$G,Data!$A:$A,$A98,Data!$F:$F,"em_oil_mt")</f>
        <v/>
      </c>
      <c r="K98" s="28">
        <f>IF(COUNTIFS(Data!$A:$A,$A98,Data!$F:$F,"price_electricity_residential_usd_kwh")=0,"",SUMIFS(Data!$G:$G,Data!$A:$A,$A98,Data!$F:$F,"price_electricity_residential_usd_kwh"))</f>
        <v/>
      </c>
      <c r="L98" s="28">
        <f>IF(COUNTIFS(Data!$A:$A,$A98,Data!$F:$F,"price_coal_power_usd_gj")=0,"",SUMIFS(Data!$G:$G,Data!$A:$A,$A98,Data!$F:$F,"price_coal_power_usd_gj"))</f>
        <v/>
      </c>
      <c r="M98" s="28">
        <f>IF(COUNTIFS(Data!$A:$A,$A98,Data!$F:$F,"price_gas_power_usd_gj")=0,"",SUMIFS(Data!$G:$G,Data!$A:$A,$A98,Data!$F:$F,"price_gas_power_usd_gj"))</f>
        <v/>
      </c>
      <c r="N98" s="28">
        <f>IF(COUNTIFS(Data!$A:$A,$A98,Data!$F:$F,"price_gas_industry_usd_gj")=0,"",SUMIFS(Data!$G:$G,Data!$A:$A,$A98,Data!$F:$F,"price_gas_industry_usd_gj"))</f>
        <v/>
      </c>
      <c r="O98" s="28">
        <f>IF(COUNTIFS(Data!$A:$A,$A98,Data!$F:$F,"power_market_structure")=0,"",SUMIFS(Data!$G:$G,Data!$A:$A,$A98,Data!$F:$F,"power_market_structure"))</f>
        <v/>
      </c>
      <c r="P98" s="28">
        <f>IF(COUNTIFS(Data!$A:$A,$A98,Data!$F:$F,"rise_renewable_energy_score")=0,"",SUMIFS(Data!$G:$G,Data!$A:$A,$A98,Data!$F:$F,"rise_renewable_energy_score"))</f>
        <v/>
      </c>
      <c r="Q98" s="16">
        <f>H98+I98+J98</f>
        <v/>
      </c>
      <c r="R98" s="28">
        <f>Q98/G98</f>
        <v/>
      </c>
      <c r="S98" s="28">
        <f>IF(D98&gt;0,H98/D98,0.85)</f>
        <v/>
      </c>
      <c r="T98" s="28">
        <f>IF(E98&gt;0,I98/E98,0.4)</f>
        <v/>
      </c>
      <c r="U98" s="28">
        <f>IF(D98+F98&gt;0,(H98+J98)/(D98+F98),0)</f>
        <v/>
      </c>
      <c r="V98" s="16">
        <f>K98*1000</f>
        <v/>
      </c>
      <c r="W98" s="15">
        <f>IF(O98=3,in_pt3,IF(O98=2,in_pt2,IF(O98=1,in_pt1,IF(C98="High income",in_pt_hi,in_pt_oth))))</f>
        <v/>
      </c>
      <c r="X98" s="28">
        <f>IF(Q98&gt;0,in_kappa*(in_rise_lo+(in_rise_hi-in_rise_lo)*IF(P98="",in_rise_miss,P98)/100)*(D98+F98)*MAX(U98-in_gas_rep*T98,0)/Q98,0)</f>
        <v/>
      </c>
      <c r="Y98" s="16">
        <f>IF(IF(M98="",N98,M98)="",MAX(in_sw_floor,in_sw_miss),MAX(in_sw_floor,(IF(M98="",N98,M98)*in_hr_gas-L98*in_hr_coal)/MAX(S98-T98,0.1)))</f>
        <v/>
      </c>
      <c r="Z98" s="28">
        <f>IF(C98="Low income",in_b40_li,IF(C98="Lower middle income",in_b40_lmi,IF(C98="Upper middle income",in_b40_umi,IF(C98="High income",in_b40_hi,0.03))))</f>
        <v/>
      </c>
      <c r="AA98" s="15">
        <f>(D98+F98)/G98</f>
        <v/>
      </c>
      <c r="AB98" s="28">
        <f>100*W98*R98/V98/in_phase</f>
        <v/>
      </c>
      <c r="AC98" s="29">
        <f>100*Z98*W98*R98/V98*(1-IF(W98&gt;0,MIN(in_rebate/(W98*in_res_sh*in_q40),1),1))</f>
        <v/>
      </c>
      <c r="AD98" s="28">
        <f>IF(AA98&gt;0,100*U98*(1-W98)/(in_whole_sh*V98),0)</f>
        <v/>
      </c>
      <c r="AE98" s="28">
        <f>IF(AA98&gt;0,100*MAX(U98-R98,0)/(in_whole_sh*V98),0)</f>
        <v/>
      </c>
      <c r="AF98" s="16">
        <f>IF(AB98&gt;0,in_f1/AB98,in_cap)</f>
        <v/>
      </c>
      <c r="AG98" s="16">
        <f>IF(AC98&gt;0,in_f2/AC98,in_cap)</f>
        <v/>
      </c>
      <c r="AH98" s="16">
        <f>IF(AD98&gt;0,in_f3/AD98,in_cap)</f>
        <v/>
      </c>
      <c r="AI98" s="16">
        <f>MIN(in_cap,AF98,AG98,AH98)</f>
        <v/>
      </c>
      <c r="AJ98" s="30">
        <f>100*(1-(1-X98*(1-EXP(-((AI98)+(0))/Y98)))*(1-MIN(ABS(in_elas)*W98*R98*(AI98)/V98,1)))</f>
        <v/>
      </c>
      <c r="AK98" s="17">
        <f>IF(AI98&gt;=in_cap-1E-9,"rate cap",TRIM(IF(ABS(AI98-AF98)&lt;1E-9,"F1 ","")&amp;IF(ABS(AI98-AG98)&lt;1E-9,"F2 ","")&amp;IF(ABS(AI98-AH98)&lt;1E-9,"F3","")))</f>
        <v/>
      </c>
      <c r="AL98" s="15">
        <f>100*(1-(1-X98*(1-EXP(-((MIN(in_cap,IF(AB98&gt;0,(in_f1+1)/AB98,in_cap),AG98,AH98))+(0))/Y98)))*(1-MIN(ABS(in_elas)*W98*R98*(MIN(in_cap,IF(AB98&gt;0,(in_f1+1)/AB98,in_cap),AG98,AH98))/V98,1)))-AJ98</f>
        <v/>
      </c>
      <c r="AM98" s="16">
        <f>MIN(in_cap,IF(AE98&gt;0,in_f3/AE98,in_cap))</f>
        <v/>
      </c>
      <c r="AN98" s="30">
        <f>100*(1-(1-X98*(1-EXP(-((0)+(AM98))/Y98)))*(1-MIN(ABS(in_elas)*W98*R98*(0)/V98,1)))</f>
        <v/>
      </c>
      <c r="AO98" s="17">
        <f>IF(AM98&gt;=in_cap-1E-9,"rate cap","F3")</f>
        <v/>
      </c>
      <c r="AP98" s="15">
        <f>100*(1-(1-X98*(1-EXP(-((50)+(0))/Y98)))*(1-MIN(ABS(in_elas)*W98*R98*(50)/V98,1)))</f>
        <v/>
      </c>
      <c r="AQ98" s="15">
        <f>100*(1-(1-X98*(1-EXP(-((0)+(50))/Y98)))*(1-MIN(ABS(in_elas)*W98*R98*(0)/V98,1)))</f>
        <v/>
      </c>
      <c r="AR98" s="15">
        <f>IF(AP98&gt;0,AQ98/AP98,"")</f>
        <v/>
      </c>
      <c r="AS98" s="16">
        <f>50*AB98</f>
        <v/>
      </c>
      <c r="AT98" s="30">
        <f>MAX(BM98:BW98)</f>
        <v/>
      </c>
      <c r="AU98" s="31">
        <f>AI98*(MATCH(AT98,BM98:BW98,0)-1)/10</f>
        <v/>
      </c>
      <c r="AV98" s="31">
        <f>INDEX(BB98:BL98,1,(MATCH(AT98,BM98:BW98,0)-1)+1)</f>
        <v/>
      </c>
      <c r="AW98" s="31">
        <f>AB98*AU98</f>
        <v/>
      </c>
      <c r="AX98" s="30">
        <f>AC98*AU98</f>
        <v/>
      </c>
      <c r="AY98" s="31">
        <f>AD98*AU98+AE98*AV98</f>
        <v/>
      </c>
      <c r="AZ98" s="32">
        <f>TRIM(IF(AND(AU98&gt;0,ABS(AU98-AF98)&lt;1E-6),"F1 ","")&amp;IF(AND(AU98&gt;0,ABS(AU98-AG98)&lt;1E-6),"F2 ","")&amp;IF(AY98&gt;=in_f3-1E-6,"F3 ","")&amp;IF(AV98&gt;=in_cap-1E-9,"rate cap",""))</f>
        <v/>
      </c>
      <c r="BA98" s="31">
        <f>Q98*AT98/100</f>
        <v/>
      </c>
      <c r="BB98" s="16">
        <f>MAX(0,MIN(in_cap,IF(AE98&gt;0,(in_f3-AD98*AI98*0/10)/AE98,in_cap)))</f>
        <v/>
      </c>
      <c r="BC98" s="16">
        <f>MAX(0,MIN(in_cap,IF(AE98&gt;0,(in_f3-AD98*AI98*1/10)/AE98,in_cap)))</f>
        <v/>
      </c>
      <c r="BD98" s="16">
        <f>MAX(0,MIN(in_cap,IF(AE98&gt;0,(in_f3-AD98*AI98*2/10)/AE98,in_cap)))</f>
        <v/>
      </c>
      <c r="BE98" s="16">
        <f>MAX(0,MIN(in_cap,IF(AE98&gt;0,(in_f3-AD98*AI98*3/10)/AE98,in_cap)))</f>
        <v/>
      </c>
      <c r="BF98" s="16">
        <f>MAX(0,MIN(in_cap,IF(AE98&gt;0,(in_f3-AD98*AI98*4/10)/AE98,in_cap)))</f>
        <v/>
      </c>
      <c r="BG98" s="16">
        <f>MAX(0,MIN(in_cap,IF(AE98&gt;0,(in_f3-AD98*AI98*5/10)/AE98,in_cap)))</f>
        <v/>
      </c>
      <c r="BH98" s="16">
        <f>MAX(0,MIN(in_cap,IF(AE98&gt;0,(in_f3-AD98*AI98*6/10)/AE98,in_cap)))</f>
        <v/>
      </c>
      <c r="BI98" s="16">
        <f>MAX(0,MIN(in_cap,IF(AE98&gt;0,(in_f3-AD98*AI98*7/10)/AE98,in_cap)))</f>
        <v/>
      </c>
      <c r="BJ98" s="16">
        <f>MAX(0,MIN(in_cap,IF(AE98&gt;0,(in_f3-AD98*AI98*8/10)/AE98,in_cap)))</f>
        <v/>
      </c>
      <c r="BK98" s="16">
        <f>MAX(0,MIN(in_cap,IF(AE98&gt;0,(in_f3-AD98*AI98*9/10)/AE98,in_cap)))</f>
        <v/>
      </c>
      <c r="BL98" s="16">
        <f>MAX(0,MIN(in_cap,IF(AE98&gt;0,(in_f3-AD98*AI98*10/10)/AE98,in_cap)))</f>
        <v/>
      </c>
      <c r="BM98" s="15">
        <f>100*(1-(1-X98*(1-EXP(-((AI98*0/10)+(BB98))/Y98)))*(1-MIN(ABS(in_elas)*W98*R98*(AI98*0/10)/V98,1)))</f>
        <v/>
      </c>
      <c r="BN98" s="15">
        <f>100*(1-(1-X98*(1-EXP(-((AI98*1/10)+(BC98))/Y98)))*(1-MIN(ABS(in_elas)*W98*R98*(AI98*1/10)/V98,1)))</f>
        <v/>
      </c>
      <c r="BO98" s="15">
        <f>100*(1-(1-X98*(1-EXP(-((AI98*2/10)+(BD98))/Y98)))*(1-MIN(ABS(in_elas)*W98*R98*(AI98*2/10)/V98,1)))</f>
        <v/>
      </c>
      <c r="BP98" s="15">
        <f>100*(1-(1-X98*(1-EXP(-((AI98*3/10)+(BE98))/Y98)))*(1-MIN(ABS(in_elas)*W98*R98*(AI98*3/10)/V98,1)))</f>
        <v/>
      </c>
      <c r="BQ98" s="15">
        <f>100*(1-(1-X98*(1-EXP(-((AI98*4/10)+(BF98))/Y98)))*(1-MIN(ABS(in_elas)*W98*R98*(AI98*4/10)/V98,1)))</f>
        <v/>
      </c>
      <c r="BR98" s="15">
        <f>100*(1-(1-X98*(1-EXP(-((AI98*5/10)+(BG98))/Y98)))*(1-MIN(ABS(in_elas)*W98*R98*(AI98*5/10)/V98,1)))</f>
        <v/>
      </c>
      <c r="BS98" s="15">
        <f>100*(1-(1-X98*(1-EXP(-((AI98*6/10)+(BH98))/Y98)))*(1-MIN(ABS(in_elas)*W98*R98*(AI98*6/10)/V98,1)))</f>
        <v/>
      </c>
      <c r="BT98" s="15">
        <f>100*(1-(1-X98*(1-EXP(-((AI98*7/10)+(BI98))/Y98)))*(1-MIN(ABS(in_elas)*W98*R98*(AI98*7/10)/V98,1)))</f>
        <v/>
      </c>
      <c r="BU98" s="15">
        <f>100*(1-(1-X98*(1-EXP(-((AI98*8/10)+(BJ98))/Y98)))*(1-MIN(ABS(in_elas)*W98*R98*(AI98*8/10)/V98,1)))</f>
        <v/>
      </c>
      <c r="BV98" s="15">
        <f>100*(1-(1-X98*(1-EXP(-((AI98*9/10)+(BK98))/Y98)))*(1-MIN(ABS(in_elas)*W98*R98*(AI98*9/10)/V98,1)))</f>
        <v/>
      </c>
      <c r="BW98" s="15">
        <f>100*(1-(1-X98*(1-EXP(-((AI98*10/10)+(BL98))/Y98)))*(1-MIN(ABS(in_elas)*W98*R98*(AI98*10/10)/V98,1)))</f>
        <v/>
      </c>
    </row>
    <row r="99">
      <c r="A99" s="17" t="inlineStr">
        <is>
          <t>MAR</t>
        </is>
      </c>
      <c r="B99" s="17">
        <f>INDEX(Data!$B:$B,MATCH($A99,Data!$A:$A,0))</f>
        <v/>
      </c>
      <c r="C99" s="17">
        <f>INDEX(Data!$D:$D,MATCH($A99,Data!$A:$A,0))</f>
        <v/>
      </c>
      <c r="D99" s="16">
        <f>SUMIFS(Data!$G:$G,Data!$A:$A,$A99,Data!$F:$F,"gen_coal_twh")</f>
        <v/>
      </c>
      <c r="E99" s="16">
        <f>SUMIFS(Data!$G:$G,Data!$A:$A,$A99,Data!$F:$F,"gen_gas_twh")</f>
        <v/>
      </c>
      <c r="F99" s="16">
        <f>SUMIFS(Data!$G:$G,Data!$A:$A,$A99,Data!$F:$F,"gen_oil_twh")</f>
        <v/>
      </c>
      <c r="G99" s="16">
        <f>SUMIFS(Data!$G:$G,Data!$A:$A,$A99,Data!$F:$F,"gen_total_twh")</f>
        <v/>
      </c>
      <c r="H99" s="16">
        <f>SUMIFS(Data!$G:$G,Data!$A:$A,$A99,Data!$F:$F,"em_coal_mt")</f>
        <v/>
      </c>
      <c r="I99" s="16">
        <f>SUMIFS(Data!$G:$G,Data!$A:$A,$A99,Data!$F:$F,"em_gas_mt")</f>
        <v/>
      </c>
      <c r="J99" s="16">
        <f>SUMIFS(Data!$G:$G,Data!$A:$A,$A99,Data!$F:$F,"em_oil_mt")</f>
        <v/>
      </c>
      <c r="K99" s="28">
        <f>IF(COUNTIFS(Data!$A:$A,$A99,Data!$F:$F,"price_electricity_residential_usd_kwh")=0,"",SUMIFS(Data!$G:$G,Data!$A:$A,$A99,Data!$F:$F,"price_electricity_residential_usd_kwh"))</f>
        <v/>
      </c>
      <c r="L99" s="28">
        <f>IF(COUNTIFS(Data!$A:$A,$A99,Data!$F:$F,"price_coal_power_usd_gj")=0,"",SUMIFS(Data!$G:$G,Data!$A:$A,$A99,Data!$F:$F,"price_coal_power_usd_gj"))</f>
        <v/>
      </c>
      <c r="M99" s="28">
        <f>IF(COUNTIFS(Data!$A:$A,$A99,Data!$F:$F,"price_gas_power_usd_gj")=0,"",SUMIFS(Data!$G:$G,Data!$A:$A,$A99,Data!$F:$F,"price_gas_power_usd_gj"))</f>
        <v/>
      </c>
      <c r="N99" s="28">
        <f>IF(COUNTIFS(Data!$A:$A,$A99,Data!$F:$F,"price_gas_industry_usd_gj")=0,"",SUMIFS(Data!$G:$G,Data!$A:$A,$A99,Data!$F:$F,"price_gas_industry_usd_gj"))</f>
        <v/>
      </c>
      <c r="O99" s="28">
        <f>IF(COUNTIFS(Data!$A:$A,$A99,Data!$F:$F,"power_market_structure")=0,"",SUMIFS(Data!$G:$G,Data!$A:$A,$A99,Data!$F:$F,"power_market_structure"))</f>
        <v/>
      </c>
      <c r="P99" s="28">
        <f>IF(COUNTIFS(Data!$A:$A,$A99,Data!$F:$F,"rise_renewable_energy_score")=0,"",SUMIFS(Data!$G:$G,Data!$A:$A,$A99,Data!$F:$F,"rise_renewable_energy_score"))</f>
        <v/>
      </c>
      <c r="Q99" s="16">
        <f>H99+I99+J99</f>
        <v/>
      </c>
      <c r="R99" s="28">
        <f>Q99/G99</f>
        <v/>
      </c>
      <c r="S99" s="28">
        <f>IF(D99&gt;0,H99/D99,0.85)</f>
        <v/>
      </c>
      <c r="T99" s="28">
        <f>IF(E99&gt;0,I99/E99,0.4)</f>
        <v/>
      </c>
      <c r="U99" s="28">
        <f>IF(D99+F99&gt;0,(H99+J99)/(D99+F99),0)</f>
        <v/>
      </c>
      <c r="V99" s="16">
        <f>K99*1000</f>
        <v/>
      </c>
      <c r="W99" s="15">
        <f>IF(O99=3,in_pt3,IF(O99=2,in_pt2,IF(O99=1,in_pt1,IF(C99="High income",in_pt_hi,in_pt_oth))))</f>
        <v/>
      </c>
      <c r="X99" s="28">
        <f>IF(Q99&gt;0,in_kappa*(in_rise_lo+(in_rise_hi-in_rise_lo)*IF(P99="",in_rise_miss,P99)/100)*(D99+F99)*MAX(U99-in_gas_rep*T99,0)/Q99,0)</f>
        <v/>
      </c>
      <c r="Y99" s="16">
        <f>IF(IF(M99="",N99,M99)="",MAX(in_sw_floor,in_sw_miss),MAX(in_sw_floor,(IF(M99="",N99,M99)*in_hr_gas-L99*in_hr_coal)/MAX(S99-T99,0.1)))</f>
        <v/>
      </c>
      <c r="Z99" s="28">
        <f>IF(C99="Low income",in_b40_li,IF(C99="Lower middle income",in_b40_lmi,IF(C99="Upper middle income",in_b40_umi,IF(C99="High income",in_b40_hi,0.03))))</f>
        <v/>
      </c>
      <c r="AA99" s="15">
        <f>(D99+F99)/G99</f>
        <v/>
      </c>
      <c r="AB99" s="28">
        <f>100*W99*R99/V99/in_phase</f>
        <v/>
      </c>
      <c r="AC99" s="29">
        <f>100*Z99*W99*R99/V99*(1-IF(W99&gt;0,MIN(in_rebate/(W99*in_res_sh*in_q40),1),1))</f>
        <v/>
      </c>
      <c r="AD99" s="28">
        <f>IF(AA99&gt;0,100*U99*(1-W99)/(in_whole_sh*V99),0)</f>
        <v/>
      </c>
      <c r="AE99" s="28">
        <f>IF(AA99&gt;0,100*MAX(U99-R99,0)/(in_whole_sh*V99),0)</f>
        <v/>
      </c>
      <c r="AF99" s="16">
        <f>IF(AB99&gt;0,in_f1/AB99,in_cap)</f>
        <v/>
      </c>
      <c r="AG99" s="16">
        <f>IF(AC99&gt;0,in_f2/AC99,in_cap)</f>
        <v/>
      </c>
      <c r="AH99" s="16">
        <f>IF(AD99&gt;0,in_f3/AD99,in_cap)</f>
        <v/>
      </c>
      <c r="AI99" s="16">
        <f>MIN(in_cap,AF99,AG99,AH99)</f>
        <v/>
      </c>
      <c r="AJ99" s="30">
        <f>100*(1-(1-X99*(1-EXP(-((AI99)+(0))/Y99)))*(1-MIN(ABS(in_elas)*W99*R99*(AI99)/V99,1)))</f>
        <v/>
      </c>
      <c r="AK99" s="17">
        <f>IF(AI99&gt;=in_cap-1E-9,"rate cap",TRIM(IF(ABS(AI99-AF99)&lt;1E-9,"F1 ","")&amp;IF(ABS(AI99-AG99)&lt;1E-9,"F2 ","")&amp;IF(ABS(AI99-AH99)&lt;1E-9,"F3","")))</f>
        <v/>
      </c>
      <c r="AL99" s="15">
        <f>100*(1-(1-X99*(1-EXP(-((MIN(in_cap,IF(AB99&gt;0,(in_f1+1)/AB99,in_cap),AG99,AH99))+(0))/Y99)))*(1-MIN(ABS(in_elas)*W99*R99*(MIN(in_cap,IF(AB99&gt;0,(in_f1+1)/AB99,in_cap),AG99,AH99))/V99,1)))-AJ99</f>
        <v/>
      </c>
      <c r="AM99" s="16">
        <f>MIN(in_cap,IF(AE99&gt;0,in_f3/AE99,in_cap))</f>
        <v/>
      </c>
      <c r="AN99" s="30">
        <f>100*(1-(1-X99*(1-EXP(-((0)+(AM99))/Y99)))*(1-MIN(ABS(in_elas)*W99*R99*(0)/V99,1)))</f>
        <v/>
      </c>
      <c r="AO99" s="17">
        <f>IF(AM99&gt;=in_cap-1E-9,"rate cap","F3")</f>
        <v/>
      </c>
      <c r="AP99" s="15">
        <f>100*(1-(1-X99*(1-EXP(-((50)+(0))/Y99)))*(1-MIN(ABS(in_elas)*W99*R99*(50)/V99,1)))</f>
        <v/>
      </c>
      <c r="AQ99" s="15">
        <f>100*(1-(1-X99*(1-EXP(-((0)+(50))/Y99)))*(1-MIN(ABS(in_elas)*W99*R99*(0)/V99,1)))</f>
        <v/>
      </c>
      <c r="AR99" s="15">
        <f>IF(AP99&gt;0,AQ99/AP99,"")</f>
        <v/>
      </c>
      <c r="AS99" s="16">
        <f>50*AB99</f>
        <v/>
      </c>
      <c r="AT99" s="30">
        <f>MAX(BM99:BW99)</f>
        <v/>
      </c>
      <c r="AU99" s="31">
        <f>AI99*(MATCH(AT99,BM99:BW99,0)-1)/10</f>
        <v/>
      </c>
      <c r="AV99" s="31">
        <f>INDEX(BB99:BL99,1,(MATCH(AT99,BM99:BW99,0)-1)+1)</f>
        <v/>
      </c>
      <c r="AW99" s="31">
        <f>AB99*AU99</f>
        <v/>
      </c>
      <c r="AX99" s="30">
        <f>AC99*AU99</f>
        <v/>
      </c>
      <c r="AY99" s="31">
        <f>AD99*AU99+AE99*AV99</f>
        <v/>
      </c>
      <c r="AZ99" s="32">
        <f>TRIM(IF(AND(AU99&gt;0,ABS(AU99-AF99)&lt;1E-6),"F1 ","")&amp;IF(AND(AU99&gt;0,ABS(AU99-AG99)&lt;1E-6),"F2 ","")&amp;IF(AY99&gt;=in_f3-1E-6,"F3 ","")&amp;IF(AV99&gt;=in_cap-1E-9,"rate cap",""))</f>
        <v/>
      </c>
      <c r="BA99" s="31">
        <f>Q99*AT99/100</f>
        <v/>
      </c>
      <c r="BB99" s="16">
        <f>MAX(0,MIN(in_cap,IF(AE99&gt;0,(in_f3-AD99*AI99*0/10)/AE99,in_cap)))</f>
        <v/>
      </c>
      <c r="BC99" s="16">
        <f>MAX(0,MIN(in_cap,IF(AE99&gt;0,(in_f3-AD99*AI99*1/10)/AE99,in_cap)))</f>
        <v/>
      </c>
      <c r="BD99" s="16">
        <f>MAX(0,MIN(in_cap,IF(AE99&gt;0,(in_f3-AD99*AI99*2/10)/AE99,in_cap)))</f>
        <v/>
      </c>
      <c r="BE99" s="16">
        <f>MAX(0,MIN(in_cap,IF(AE99&gt;0,(in_f3-AD99*AI99*3/10)/AE99,in_cap)))</f>
        <v/>
      </c>
      <c r="BF99" s="16">
        <f>MAX(0,MIN(in_cap,IF(AE99&gt;0,(in_f3-AD99*AI99*4/10)/AE99,in_cap)))</f>
        <v/>
      </c>
      <c r="BG99" s="16">
        <f>MAX(0,MIN(in_cap,IF(AE99&gt;0,(in_f3-AD99*AI99*5/10)/AE99,in_cap)))</f>
        <v/>
      </c>
      <c r="BH99" s="16">
        <f>MAX(0,MIN(in_cap,IF(AE99&gt;0,(in_f3-AD99*AI99*6/10)/AE99,in_cap)))</f>
        <v/>
      </c>
      <c r="BI99" s="16">
        <f>MAX(0,MIN(in_cap,IF(AE99&gt;0,(in_f3-AD99*AI99*7/10)/AE99,in_cap)))</f>
        <v/>
      </c>
      <c r="BJ99" s="16">
        <f>MAX(0,MIN(in_cap,IF(AE99&gt;0,(in_f3-AD99*AI99*8/10)/AE99,in_cap)))</f>
        <v/>
      </c>
      <c r="BK99" s="16">
        <f>MAX(0,MIN(in_cap,IF(AE99&gt;0,(in_f3-AD99*AI99*9/10)/AE99,in_cap)))</f>
        <v/>
      </c>
      <c r="BL99" s="16">
        <f>MAX(0,MIN(in_cap,IF(AE99&gt;0,(in_f3-AD99*AI99*10/10)/AE99,in_cap)))</f>
        <v/>
      </c>
      <c r="BM99" s="15">
        <f>100*(1-(1-X99*(1-EXP(-((AI99*0/10)+(BB99))/Y99)))*(1-MIN(ABS(in_elas)*W99*R99*(AI99*0/10)/V99,1)))</f>
        <v/>
      </c>
      <c r="BN99" s="15">
        <f>100*(1-(1-X99*(1-EXP(-((AI99*1/10)+(BC99))/Y99)))*(1-MIN(ABS(in_elas)*W99*R99*(AI99*1/10)/V99,1)))</f>
        <v/>
      </c>
      <c r="BO99" s="15">
        <f>100*(1-(1-X99*(1-EXP(-((AI99*2/10)+(BD99))/Y99)))*(1-MIN(ABS(in_elas)*W99*R99*(AI99*2/10)/V99,1)))</f>
        <v/>
      </c>
      <c r="BP99" s="15">
        <f>100*(1-(1-X99*(1-EXP(-((AI99*3/10)+(BE99))/Y99)))*(1-MIN(ABS(in_elas)*W99*R99*(AI99*3/10)/V99,1)))</f>
        <v/>
      </c>
      <c r="BQ99" s="15">
        <f>100*(1-(1-X99*(1-EXP(-((AI99*4/10)+(BF99))/Y99)))*(1-MIN(ABS(in_elas)*W99*R99*(AI99*4/10)/V99,1)))</f>
        <v/>
      </c>
      <c r="BR99" s="15">
        <f>100*(1-(1-X99*(1-EXP(-((AI99*5/10)+(BG99))/Y99)))*(1-MIN(ABS(in_elas)*W99*R99*(AI99*5/10)/V99,1)))</f>
        <v/>
      </c>
      <c r="BS99" s="15">
        <f>100*(1-(1-X99*(1-EXP(-((AI99*6/10)+(BH99))/Y99)))*(1-MIN(ABS(in_elas)*W99*R99*(AI99*6/10)/V99,1)))</f>
        <v/>
      </c>
      <c r="BT99" s="15">
        <f>100*(1-(1-X99*(1-EXP(-((AI99*7/10)+(BI99))/Y99)))*(1-MIN(ABS(in_elas)*W99*R99*(AI99*7/10)/V99,1)))</f>
        <v/>
      </c>
      <c r="BU99" s="15">
        <f>100*(1-(1-X99*(1-EXP(-((AI99*8/10)+(BJ99))/Y99)))*(1-MIN(ABS(in_elas)*W99*R99*(AI99*8/10)/V99,1)))</f>
        <v/>
      </c>
      <c r="BV99" s="15">
        <f>100*(1-(1-X99*(1-EXP(-((AI99*9/10)+(BK99))/Y99)))*(1-MIN(ABS(in_elas)*W99*R99*(AI99*9/10)/V99,1)))</f>
        <v/>
      </c>
      <c r="BW99" s="15">
        <f>100*(1-(1-X99*(1-EXP(-((AI99*10/10)+(BL99))/Y99)))*(1-MIN(ABS(in_elas)*W99*R99*(AI99*10/10)/V99,1)))</f>
        <v/>
      </c>
    </row>
    <row r="100">
      <c r="A100" s="17" t="inlineStr">
        <is>
          <t>MDA</t>
        </is>
      </c>
      <c r="B100" s="17">
        <f>INDEX(Data!$B:$B,MATCH($A100,Data!$A:$A,0))</f>
        <v/>
      </c>
      <c r="C100" s="17">
        <f>INDEX(Data!$D:$D,MATCH($A100,Data!$A:$A,0))</f>
        <v/>
      </c>
      <c r="D100" s="16">
        <f>SUMIFS(Data!$G:$G,Data!$A:$A,$A100,Data!$F:$F,"gen_coal_twh")</f>
        <v/>
      </c>
      <c r="E100" s="16">
        <f>SUMIFS(Data!$G:$G,Data!$A:$A,$A100,Data!$F:$F,"gen_gas_twh")</f>
        <v/>
      </c>
      <c r="F100" s="16">
        <f>SUMIFS(Data!$G:$G,Data!$A:$A,$A100,Data!$F:$F,"gen_oil_twh")</f>
        <v/>
      </c>
      <c r="G100" s="16">
        <f>SUMIFS(Data!$G:$G,Data!$A:$A,$A100,Data!$F:$F,"gen_total_twh")</f>
        <v/>
      </c>
      <c r="H100" s="16">
        <f>SUMIFS(Data!$G:$G,Data!$A:$A,$A100,Data!$F:$F,"em_coal_mt")</f>
        <v/>
      </c>
      <c r="I100" s="16">
        <f>SUMIFS(Data!$G:$G,Data!$A:$A,$A100,Data!$F:$F,"em_gas_mt")</f>
        <v/>
      </c>
      <c r="J100" s="16">
        <f>SUMIFS(Data!$G:$G,Data!$A:$A,$A100,Data!$F:$F,"em_oil_mt")</f>
        <v/>
      </c>
      <c r="K100" s="28">
        <f>IF(COUNTIFS(Data!$A:$A,$A100,Data!$F:$F,"price_electricity_residential_usd_kwh")=0,"",SUMIFS(Data!$G:$G,Data!$A:$A,$A100,Data!$F:$F,"price_electricity_residential_usd_kwh"))</f>
        <v/>
      </c>
      <c r="L100" s="28">
        <f>IF(COUNTIFS(Data!$A:$A,$A100,Data!$F:$F,"price_coal_power_usd_gj")=0,"",SUMIFS(Data!$G:$G,Data!$A:$A,$A100,Data!$F:$F,"price_coal_power_usd_gj"))</f>
        <v/>
      </c>
      <c r="M100" s="28">
        <f>IF(COUNTIFS(Data!$A:$A,$A100,Data!$F:$F,"price_gas_power_usd_gj")=0,"",SUMIFS(Data!$G:$G,Data!$A:$A,$A100,Data!$F:$F,"price_gas_power_usd_gj"))</f>
        <v/>
      </c>
      <c r="N100" s="28">
        <f>IF(COUNTIFS(Data!$A:$A,$A100,Data!$F:$F,"price_gas_industry_usd_gj")=0,"",SUMIFS(Data!$G:$G,Data!$A:$A,$A100,Data!$F:$F,"price_gas_industry_usd_gj"))</f>
        <v/>
      </c>
      <c r="O100" s="28">
        <f>IF(COUNTIFS(Data!$A:$A,$A100,Data!$F:$F,"power_market_structure")=0,"",SUMIFS(Data!$G:$G,Data!$A:$A,$A100,Data!$F:$F,"power_market_structure"))</f>
        <v/>
      </c>
      <c r="P100" s="28">
        <f>IF(COUNTIFS(Data!$A:$A,$A100,Data!$F:$F,"rise_renewable_energy_score")=0,"",SUMIFS(Data!$G:$G,Data!$A:$A,$A100,Data!$F:$F,"rise_renewable_energy_score"))</f>
        <v/>
      </c>
      <c r="Q100" s="16">
        <f>H100+I100+J100</f>
        <v/>
      </c>
      <c r="R100" s="28">
        <f>Q100/G100</f>
        <v/>
      </c>
      <c r="S100" s="28">
        <f>IF(D100&gt;0,H100/D100,0.85)</f>
        <v/>
      </c>
      <c r="T100" s="28">
        <f>IF(E100&gt;0,I100/E100,0.4)</f>
        <v/>
      </c>
      <c r="U100" s="28">
        <f>IF(D100+F100&gt;0,(H100+J100)/(D100+F100),0)</f>
        <v/>
      </c>
      <c r="V100" s="16">
        <f>K100*1000</f>
        <v/>
      </c>
      <c r="W100" s="15">
        <f>IF(O100=3,in_pt3,IF(O100=2,in_pt2,IF(O100=1,in_pt1,IF(C100="High income",in_pt_hi,in_pt_oth))))</f>
        <v/>
      </c>
      <c r="X100" s="28">
        <f>IF(Q100&gt;0,in_kappa*(in_rise_lo+(in_rise_hi-in_rise_lo)*IF(P100="",in_rise_miss,P100)/100)*(D100+F100)*MAX(U100-in_gas_rep*T100,0)/Q100,0)</f>
        <v/>
      </c>
      <c r="Y100" s="16">
        <f>IF(IF(M100="",N100,M100)="",MAX(in_sw_floor,in_sw_miss),MAX(in_sw_floor,(IF(M100="",N100,M100)*in_hr_gas-L100*in_hr_coal)/MAX(S100-T100,0.1)))</f>
        <v/>
      </c>
      <c r="Z100" s="28">
        <f>IF(C100="Low income",in_b40_li,IF(C100="Lower middle income",in_b40_lmi,IF(C100="Upper middle income",in_b40_umi,IF(C100="High income",in_b40_hi,0.03))))</f>
        <v/>
      </c>
      <c r="AA100" s="15">
        <f>(D100+F100)/G100</f>
        <v/>
      </c>
      <c r="AB100" s="28">
        <f>100*W100*R100/V100/in_phase</f>
        <v/>
      </c>
      <c r="AC100" s="29">
        <f>100*Z100*W100*R100/V100*(1-IF(W100&gt;0,MIN(in_rebate/(W100*in_res_sh*in_q40),1),1))</f>
        <v/>
      </c>
      <c r="AD100" s="28">
        <f>IF(AA100&gt;0,100*U100*(1-W100)/(in_whole_sh*V100),0)</f>
        <v/>
      </c>
      <c r="AE100" s="28">
        <f>IF(AA100&gt;0,100*MAX(U100-R100,0)/(in_whole_sh*V100),0)</f>
        <v/>
      </c>
      <c r="AF100" s="16">
        <f>IF(AB100&gt;0,in_f1/AB100,in_cap)</f>
        <v/>
      </c>
      <c r="AG100" s="16">
        <f>IF(AC100&gt;0,in_f2/AC100,in_cap)</f>
        <v/>
      </c>
      <c r="AH100" s="16">
        <f>IF(AD100&gt;0,in_f3/AD100,in_cap)</f>
        <v/>
      </c>
      <c r="AI100" s="16">
        <f>MIN(in_cap,AF100,AG100,AH100)</f>
        <v/>
      </c>
      <c r="AJ100" s="30">
        <f>100*(1-(1-X100*(1-EXP(-((AI100)+(0))/Y100)))*(1-MIN(ABS(in_elas)*W100*R100*(AI100)/V100,1)))</f>
        <v/>
      </c>
      <c r="AK100" s="17">
        <f>IF(AI100&gt;=in_cap-1E-9,"rate cap",TRIM(IF(ABS(AI100-AF100)&lt;1E-9,"F1 ","")&amp;IF(ABS(AI100-AG100)&lt;1E-9,"F2 ","")&amp;IF(ABS(AI100-AH100)&lt;1E-9,"F3","")))</f>
        <v/>
      </c>
      <c r="AL100" s="15">
        <f>100*(1-(1-X100*(1-EXP(-((MIN(in_cap,IF(AB100&gt;0,(in_f1+1)/AB100,in_cap),AG100,AH100))+(0))/Y100)))*(1-MIN(ABS(in_elas)*W100*R100*(MIN(in_cap,IF(AB100&gt;0,(in_f1+1)/AB100,in_cap),AG100,AH100))/V100,1)))-AJ100</f>
        <v/>
      </c>
      <c r="AM100" s="16">
        <f>MIN(in_cap,IF(AE100&gt;0,in_f3/AE100,in_cap))</f>
        <v/>
      </c>
      <c r="AN100" s="30">
        <f>100*(1-(1-X100*(1-EXP(-((0)+(AM100))/Y100)))*(1-MIN(ABS(in_elas)*W100*R100*(0)/V100,1)))</f>
        <v/>
      </c>
      <c r="AO100" s="17">
        <f>IF(AM100&gt;=in_cap-1E-9,"rate cap","F3")</f>
        <v/>
      </c>
      <c r="AP100" s="15">
        <f>100*(1-(1-X100*(1-EXP(-((50)+(0))/Y100)))*(1-MIN(ABS(in_elas)*W100*R100*(50)/V100,1)))</f>
        <v/>
      </c>
      <c r="AQ100" s="15">
        <f>100*(1-(1-X100*(1-EXP(-((0)+(50))/Y100)))*(1-MIN(ABS(in_elas)*W100*R100*(0)/V100,1)))</f>
        <v/>
      </c>
      <c r="AR100" s="15">
        <f>IF(AP100&gt;0,AQ100/AP100,"")</f>
        <v/>
      </c>
      <c r="AS100" s="16">
        <f>50*AB100</f>
        <v/>
      </c>
      <c r="AT100" s="30">
        <f>MAX(BM100:BW100)</f>
        <v/>
      </c>
      <c r="AU100" s="31">
        <f>AI100*(MATCH(AT100,BM100:BW100,0)-1)/10</f>
        <v/>
      </c>
      <c r="AV100" s="31">
        <f>INDEX(BB100:BL100,1,(MATCH(AT100,BM100:BW100,0)-1)+1)</f>
        <v/>
      </c>
      <c r="AW100" s="31">
        <f>AB100*AU100</f>
        <v/>
      </c>
      <c r="AX100" s="30">
        <f>AC100*AU100</f>
        <v/>
      </c>
      <c r="AY100" s="31">
        <f>AD100*AU100+AE100*AV100</f>
        <v/>
      </c>
      <c r="AZ100" s="32">
        <f>TRIM(IF(AND(AU100&gt;0,ABS(AU100-AF100)&lt;1E-6),"F1 ","")&amp;IF(AND(AU100&gt;0,ABS(AU100-AG100)&lt;1E-6),"F2 ","")&amp;IF(AY100&gt;=in_f3-1E-6,"F3 ","")&amp;IF(AV100&gt;=in_cap-1E-9,"rate cap",""))</f>
        <v/>
      </c>
      <c r="BA100" s="31">
        <f>Q100*AT100/100</f>
        <v/>
      </c>
      <c r="BB100" s="16">
        <f>MAX(0,MIN(in_cap,IF(AE100&gt;0,(in_f3-AD100*AI100*0/10)/AE100,in_cap)))</f>
        <v/>
      </c>
      <c r="BC100" s="16">
        <f>MAX(0,MIN(in_cap,IF(AE100&gt;0,(in_f3-AD100*AI100*1/10)/AE100,in_cap)))</f>
        <v/>
      </c>
      <c r="BD100" s="16">
        <f>MAX(0,MIN(in_cap,IF(AE100&gt;0,(in_f3-AD100*AI100*2/10)/AE100,in_cap)))</f>
        <v/>
      </c>
      <c r="BE100" s="16">
        <f>MAX(0,MIN(in_cap,IF(AE100&gt;0,(in_f3-AD100*AI100*3/10)/AE100,in_cap)))</f>
        <v/>
      </c>
      <c r="BF100" s="16">
        <f>MAX(0,MIN(in_cap,IF(AE100&gt;0,(in_f3-AD100*AI100*4/10)/AE100,in_cap)))</f>
        <v/>
      </c>
      <c r="BG100" s="16">
        <f>MAX(0,MIN(in_cap,IF(AE100&gt;0,(in_f3-AD100*AI100*5/10)/AE100,in_cap)))</f>
        <v/>
      </c>
      <c r="BH100" s="16">
        <f>MAX(0,MIN(in_cap,IF(AE100&gt;0,(in_f3-AD100*AI100*6/10)/AE100,in_cap)))</f>
        <v/>
      </c>
      <c r="BI100" s="16">
        <f>MAX(0,MIN(in_cap,IF(AE100&gt;0,(in_f3-AD100*AI100*7/10)/AE100,in_cap)))</f>
        <v/>
      </c>
      <c r="BJ100" s="16">
        <f>MAX(0,MIN(in_cap,IF(AE100&gt;0,(in_f3-AD100*AI100*8/10)/AE100,in_cap)))</f>
        <v/>
      </c>
      <c r="BK100" s="16">
        <f>MAX(0,MIN(in_cap,IF(AE100&gt;0,(in_f3-AD100*AI100*9/10)/AE100,in_cap)))</f>
        <v/>
      </c>
      <c r="BL100" s="16">
        <f>MAX(0,MIN(in_cap,IF(AE100&gt;0,(in_f3-AD100*AI100*10/10)/AE100,in_cap)))</f>
        <v/>
      </c>
      <c r="BM100" s="15">
        <f>100*(1-(1-X100*(1-EXP(-((AI100*0/10)+(BB100))/Y100)))*(1-MIN(ABS(in_elas)*W100*R100*(AI100*0/10)/V100,1)))</f>
        <v/>
      </c>
      <c r="BN100" s="15">
        <f>100*(1-(1-X100*(1-EXP(-((AI100*1/10)+(BC100))/Y100)))*(1-MIN(ABS(in_elas)*W100*R100*(AI100*1/10)/V100,1)))</f>
        <v/>
      </c>
      <c r="BO100" s="15">
        <f>100*(1-(1-X100*(1-EXP(-((AI100*2/10)+(BD100))/Y100)))*(1-MIN(ABS(in_elas)*W100*R100*(AI100*2/10)/V100,1)))</f>
        <v/>
      </c>
      <c r="BP100" s="15">
        <f>100*(1-(1-X100*(1-EXP(-((AI100*3/10)+(BE100))/Y100)))*(1-MIN(ABS(in_elas)*W100*R100*(AI100*3/10)/V100,1)))</f>
        <v/>
      </c>
      <c r="BQ100" s="15">
        <f>100*(1-(1-X100*(1-EXP(-((AI100*4/10)+(BF100))/Y100)))*(1-MIN(ABS(in_elas)*W100*R100*(AI100*4/10)/V100,1)))</f>
        <v/>
      </c>
      <c r="BR100" s="15">
        <f>100*(1-(1-X100*(1-EXP(-((AI100*5/10)+(BG100))/Y100)))*(1-MIN(ABS(in_elas)*W100*R100*(AI100*5/10)/V100,1)))</f>
        <v/>
      </c>
      <c r="BS100" s="15">
        <f>100*(1-(1-X100*(1-EXP(-((AI100*6/10)+(BH100))/Y100)))*(1-MIN(ABS(in_elas)*W100*R100*(AI100*6/10)/V100,1)))</f>
        <v/>
      </c>
      <c r="BT100" s="15">
        <f>100*(1-(1-X100*(1-EXP(-((AI100*7/10)+(BI100))/Y100)))*(1-MIN(ABS(in_elas)*W100*R100*(AI100*7/10)/V100,1)))</f>
        <v/>
      </c>
      <c r="BU100" s="15">
        <f>100*(1-(1-X100*(1-EXP(-((AI100*8/10)+(BJ100))/Y100)))*(1-MIN(ABS(in_elas)*W100*R100*(AI100*8/10)/V100,1)))</f>
        <v/>
      </c>
      <c r="BV100" s="15">
        <f>100*(1-(1-X100*(1-EXP(-((AI100*9/10)+(BK100))/Y100)))*(1-MIN(ABS(in_elas)*W100*R100*(AI100*9/10)/V100,1)))</f>
        <v/>
      </c>
      <c r="BW100" s="15">
        <f>100*(1-(1-X100*(1-EXP(-((AI100*10/10)+(BL100))/Y100)))*(1-MIN(ABS(in_elas)*W100*R100*(AI100*10/10)/V100,1)))</f>
        <v/>
      </c>
    </row>
    <row r="101">
      <c r="A101" s="17" t="inlineStr">
        <is>
          <t>MDG</t>
        </is>
      </c>
      <c r="B101" s="17">
        <f>INDEX(Data!$B:$B,MATCH($A101,Data!$A:$A,0))</f>
        <v/>
      </c>
      <c r="C101" s="17">
        <f>INDEX(Data!$D:$D,MATCH($A101,Data!$A:$A,0))</f>
        <v/>
      </c>
      <c r="D101" s="16">
        <f>SUMIFS(Data!$G:$G,Data!$A:$A,$A101,Data!$F:$F,"gen_coal_twh")</f>
        <v/>
      </c>
      <c r="E101" s="16">
        <f>SUMIFS(Data!$G:$G,Data!$A:$A,$A101,Data!$F:$F,"gen_gas_twh")</f>
        <v/>
      </c>
      <c r="F101" s="16">
        <f>SUMIFS(Data!$G:$G,Data!$A:$A,$A101,Data!$F:$F,"gen_oil_twh")</f>
        <v/>
      </c>
      <c r="G101" s="16">
        <f>SUMIFS(Data!$G:$G,Data!$A:$A,$A101,Data!$F:$F,"gen_total_twh")</f>
        <v/>
      </c>
      <c r="H101" s="16">
        <f>SUMIFS(Data!$G:$G,Data!$A:$A,$A101,Data!$F:$F,"em_coal_mt")</f>
        <v/>
      </c>
      <c r="I101" s="16">
        <f>SUMIFS(Data!$G:$G,Data!$A:$A,$A101,Data!$F:$F,"em_gas_mt")</f>
        <v/>
      </c>
      <c r="J101" s="16">
        <f>SUMIFS(Data!$G:$G,Data!$A:$A,$A101,Data!$F:$F,"em_oil_mt")</f>
        <v/>
      </c>
      <c r="K101" s="28">
        <f>IF(COUNTIFS(Data!$A:$A,$A101,Data!$F:$F,"price_electricity_residential_usd_kwh")=0,"",SUMIFS(Data!$G:$G,Data!$A:$A,$A101,Data!$F:$F,"price_electricity_residential_usd_kwh"))</f>
        <v/>
      </c>
      <c r="L101" s="28">
        <f>IF(COUNTIFS(Data!$A:$A,$A101,Data!$F:$F,"price_coal_power_usd_gj")=0,"",SUMIFS(Data!$G:$G,Data!$A:$A,$A101,Data!$F:$F,"price_coal_power_usd_gj"))</f>
        <v/>
      </c>
      <c r="M101" s="28">
        <f>IF(COUNTIFS(Data!$A:$A,$A101,Data!$F:$F,"price_gas_power_usd_gj")=0,"",SUMIFS(Data!$G:$G,Data!$A:$A,$A101,Data!$F:$F,"price_gas_power_usd_gj"))</f>
        <v/>
      </c>
      <c r="N101" s="28">
        <f>IF(COUNTIFS(Data!$A:$A,$A101,Data!$F:$F,"price_gas_industry_usd_gj")=0,"",SUMIFS(Data!$G:$G,Data!$A:$A,$A101,Data!$F:$F,"price_gas_industry_usd_gj"))</f>
        <v/>
      </c>
      <c r="O101" s="28">
        <f>IF(COUNTIFS(Data!$A:$A,$A101,Data!$F:$F,"power_market_structure")=0,"",SUMIFS(Data!$G:$G,Data!$A:$A,$A101,Data!$F:$F,"power_market_structure"))</f>
        <v/>
      </c>
      <c r="P101" s="28">
        <f>IF(COUNTIFS(Data!$A:$A,$A101,Data!$F:$F,"rise_renewable_energy_score")=0,"",SUMIFS(Data!$G:$G,Data!$A:$A,$A101,Data!$F:$F,"rise_renewable_energy_score"))</f>
        <v/>
      </c>
      <c r="Q101" s="16">
        <f>H101+I101+J101</f>
        <v/>
      </c>
      <c r="R101" s="28">
        <f>Q101/G101</f>
        <v/>
      </c>
      <c r="S101" s="28">
        <f>IF(D101&gt;0,H101/D101,0.85)</f>
        <v/>
      </c>
      <c r="T101" s="28">
        <f>IF(E101&gt;0,I101/E101,0.4)</f>
        <v/>
      </c>
      <c r="U101" s="28">
        <f>IF(D101+F101&gt;0,(H101+J101)/(D101+F101),0)</f>
        <v/>
      </c>
      <c r="V101" s="16">
        <f>K101*1000</f>
        <v/>
      </c>
      <c r="W101" s="15">
        <f>IF(O101=3,in_pt3,IF(O101=2,in_pt2,IF(O101=1,in_pt1,IF(C101="High income",in_pt_hi,in_pt_oth))))</f>
        <v/>
      </c>
      <c r="X101" s="28">
        <f>IF(Q101&gt;0,in_kappa*(in_rise_lo+(in_rise_hi-in_rise_lo)*IF(P101="",in_rise_miss,P101)/100)*(D101+F101)*MAX(U101-in_gas_rep*T101,0)/Q101,0)</f>
        <v/>
      </c>
      <c r="Y101" s="16">
        <f>IF(IF(M101="",N101,M101)="",MAX(in_sw_floor,in_sw_miss),MAX(in_sw_floor,(IF(M101="",N101,M101)*in_hr_gas-L101*in_hr_coal)/MAX(S101-T101,0.1)))</f>
        <v/>
      </c>
      <c r="Z101" s="28">
        <f>IF(C101="Low income",in_b40_li,IF(C101="Lower middle income",in_b40_lmi,IF(C101="Upper middle income",in_b40_umi,IF(C101="High income",in_b40_hi,0.03))))</f>
        <v/>
      </c>
      <c r="AA101" s="15">
        <f>(D101+F101)/G101</f>
        <v/>
      </c>
      <c r="AB101" s="28">
        <f>100*W101*R101/V101/in_phase</f>
        <v/>
      </c>
      <c r="AC101" s="29">
        <f>100*Z101*W101*R101/V101*(1-IF(W101&gt;0,MIN(in_rebate/(W101*in_res_sh*in_q40),1),1))</f>
        <v/>
      </c>
      <c r="AD101" s="28">
        <f>IF(AA101&gt;0,100*U101*(1-W101)/(in_whole_sh*V101),0)</f>
        <v/>
      </c>
      <c r="AE101" s="28">
        <f>IF(AA101&gt;0,100*MAX(U101-R101,0)/(in_whole_sh*V101),0)</f>
        <v/>
      </c>
      <c r="AF101" s="16">
        <f>IF(AB101&gt;0,in_f1/AB101,in_cap)</f>
        <v/>
      </c>
      <c r="AG101" s="16">
        <f>IF(AC101&gt;0,in_f2/AC101,in_cap)</f>
        <v/>
      </c>
      <c r="AH101" s="16">
        <f>IF(AD101&gt;0,in_f3/AD101,in_cap)</f>
        <v/>
      </c>
      <c r="AI101" s="16">
        <f>MIN(in_cap,AF101,AG101,AH101)</f>
        <v/>
      </c>
      <c r="AJ101" s="30">
        <f>100*(1-(1-X101*(1-EXP(-((AI101)+(0))/Y101)))*(1-MIN(ABS(in_elas)*W101*R101*(AI101)/V101,1)))</f>
        <v/>
      </c>
      <c r="AK101" s="17">
        <f>IF(AI101&gt;=in_cap-1E-9,"rate cap",TRIM(IF(ABS(AI101-AF101)&lt;1E-9,"F1 ","")&amp;IF(ABS(AI101-AG101)&lt;1E-9,"F2 ","")&amp;IF(ABS(AI101-AH101)&lt;1E-9,"F3","")))</f>
        <v/>
      </c>
      <c r="AL101" s="15">
        <f>100*(1-(1-X101*(1-EXP(-((MIN(in_cap,IF(AB101&gt;0,(in_f1+1)/AB101,in_cap),AG101,AH101))+(0))/Y101)))*(1-MIN(ABS(in_elas)*W101*R101*(MIN(in_cap,IF(AB101&gt;0,(in_f1+1)/AB101,in_cap),AG101,AH101))/V101,1)))-AJ101</f>
        <v/>
      </c>
      <c r="AM101" s="16">
        <f>MIN(in_cap,IF(AE101&gt;0,in_f3/AE101,in_cap))</f>
        <v/>
      </c>
      <c r="AN101" s="30">
        <f>100*(1-(1-X101*(1-EXP(-((0)+(AM101))/Y101)))*(1-MIN(ABS(in_elas)*W101*R101*(0)/V101,1)))</f>
        <v/>
      </c>
      <c r="AO101" s="17">
        <f>IF(AM101&gt;=in_cap-1E-9,"rate cap","F3")</f>
        <v/>
      </c>
      <c r="AP101" s="15">
        <f>100*(1-(1-X101*(1-EXP(-((50)+(0))/Y101)))*(1-MIN(ABS(in_elas)*W101*R101*(50)/V101,1)))</f>
        <v/>
      </c>
      <c r="AQ101" s="15">
        <f>100*(1-(1-X101*(1-EXP(-((0)+(50))/Y101)))*(1-MIN(ABS(in_elas)*W101*R101*(0)/V101,1)))</f>
        <v/>
      </c>
      <c r="AR101" s="15">
        <f>IF(AP101&gt;0,AQ101/AP101,"")</f>
        <v/>
      </c>
      <c r="AS101" s="16">
        <f>50*AB101</f>
        <v/>
      </c>
      <c r="AT101" s="30">
        <f>MAX(BM101:BW101)</f>
        <v/>
      </c>
      <c r="AU101" s="31">
        <f>AI101*(MATCH(AT101,BM101:BW101,0)-1)/10</f>
        <v/>
      </c>
      <c r="AV101" s="31">
        <f>INDEX(BB101:BL101,1,(MATCH(AT101,BM101:BW101,0)-1)+1)</f>
        <v/>
      </c>
      <c r="AW101" s="31">
        <f>AB101*AU101</f>
        <v/>
      </c>
      <c r="AX101" s="30">
        <f>AC101*AU101</f>
        <v/>
      </c>
      <c r="AY101" s="31">
        <f>AD101*AU101+AE101*AV101</f>
        <v/>
      </c>
      <c r="AZ101" s="32">
        <f>TRIM(IF(AND(AU101&gt;0,ABS(AU101-AF101)&lt;1E-6),"F1 ","")&amp;IF(AND(AU101&gt;0,ABS(AU101-AG101)&lt;1E-6),"F2 ","")&amp;IF(AY101&gt;=in_f3-1E-6,"F3 ","")&amp;IF(AV101&gt;=in_cap-1E-9,"rate cap",""))</f>
        <v/>
      </c>
      <c r="BA101" s="31">
        <f>Q101*AT101/100</f>
        <v/>
      </c>
      <c r="BB101" s="16">
        <f>MAX(0,MIN(in_cap,IF(AE101&gt;0,(in_f3-AD101*AI101*0/10)/AE101,in_cap)))</f>
        <v/>
      </c>
      <c r="BC101" s="16">
        <f>MAX(0,MIN(in_cap,IF(AE101&gt;0,(in_f3-AD101*AI101*1/10)/AE101,in_cap)))</f>
        <v/>
      </c>
      <c r="BD101" s="16">
        <f>MAX(0,MIN(in_cap,IF(AE101&gt;0,(in_f3-AD101*AI101*2/10)/AE101,in_cap)))</f>
        <v/>
      </c>
      <c r="BE101" s="16">
        <f>MAX(0,MIN(in_cap,IF(AE101&gt;0,(in_f3-AD101*AI101*3/10)/AE101,in_cap)))</f>
        <v/>
      </c>
      <c r="BF101" s="16">
        <f>MAX(0,MIN(in_cap,IF(AE101&gt;0,(in_f3-AD101*AI101*4/10)/AE101,in_cap)))</f>
        <v/>
      </c>
      <c r="BG101" s="16">
        <f>MAX(0,MIN(in_cap,IF(AE101&gt;0,(in_f3-AD101*AI101*5/10)/AE101,in_cap)))</f>
        <v/>
      </c>
      <c r="BH101" s="16">
        <f>MAX(0,MIN(in_cap,IF(AE101&gt;0,(in_f3-AD101*AI101*6/10)/AE101,in_cap)))</f>
        <v/>
      </c>
      <c r="BI101" s="16">
        <f>MAX(0,MIN(in_cap,IF(AE101&gt;0,(in_f3-AD101*AI101*7/10)/AE101,in_cap)))</f>
        <v/>
      </c>
      <c r="BJ101" s="16">
        <f>MAX(0,MIN(in_cap,IF(AE101&gt;0,(in_f3-AD101*AI101*8/10)/AE101,in_cap)))</f>
        <v/>
      </c>
      <c r="BK101" s="16">
        <f>MAX(0,MIN(in_cap,IF(AE101&gt;0,(in_f3-AD101*AI101*9/10)/AE101,in_cap)))</f>
        <v/>
      </c>
      <c r="BL101" s="16">
        <f>MAX(0,MIN(in_cap,IF(AE101&gt;0,(in_f3-AD101*AI101*10/10)/AE101,in_cap)))</f>
        <v/>
      </c>
      <c r="BM101" s="15">
        <f>100*(1-(1-X101*(1-EXP(-((AI101*0/10)+(BB101))/Y101)))*(1-MIN(ABS(in_elas)*W101*R101*(AI101*0/10)/V101,1)))</f>
        <v/>
      </c>
      <c r="BN101" s="15">
        <f>100*(1-(1-X101*(1-EXP(-((AI101*1/10)+(BC101))/Y101)))*(1-MIN(ABS(in_elas)*W101*R101*(AI101*1/10)/V101,1)))</f>
        <v/>
      </c>
      <c r="BO101" s="15">
        <f>100*(1-(1-X101*(1-EXP(-((AI101*2/10)+(BD101))/Y101)))*(1-MIN(ABS(in_elas)*W101*R101*(AI101*2/10)/V101,1)))</f>
        <v/>
      </c>
      <c r="BP101" s="15">
        <f>100*(1-(1-X101*(1-EXP(-((AI101*3/10)+(BE101))/Y101)))*(1-MIN(ABS(in_elas)*W101*R101*(AI101*3/10)/V101,1)))</f>
        <v/>
      </c>
      <c r="BQ101" s="15">
        <f>100*(1-(1-X101*(1-EXP(-((AI101*4/10)+(BF101))/Y101)))*(1-MIN(ABS(in_elas)*W101*R101*(AI101*4/10)/V101,1)))</f>
        <v/>
      </c>
      <c r="BR101" s="15">
        <f>100*(1-(1-X101*(1-EXP(-((AI101*5/10)+(BG101))/Y101)))*(1-MIN(ABS(in_elas)*W101*R101*(AI101*5/10)/V101,1)))</f>
        <v/>
      </c>
      <c r="BS101" s="15">
        <f>100*(1-(1-X101*(1-EXP(-((AI101*6/10)+(BH101))/Y101)))*(1-MIN(ABS(in_elas)*W101*R101*(AI101*6/10)/V101,1)))</f>
        <v/>
      </c>
      <c r="BT101" s="15">
        <f>100*(1-(1-X101*(1-EXP(-((AI101*7/10)+(BI101))/Y101)))*(1-MIN(ABS(in_elas)*W101*R101*(AI101*7/10)/V101,1)))</f>
        <v/>
      </c>
      <c r="BU101" s="15">
        <f>100*(1-(1-X101*(1-EXP(-((AI101*8/10)+(BJ101))/Y101)))*(1-MIN(ABS(in_elas)*W101*R101*(AI101*8/10)/V101,1)))</f>
        <v/>
      </c>
      <c r="BV101" s="15">
        <f>100*(1-(1-X101*(1-EXP(-((AI101*9/10)+(BK101))/Y101)))*(1-MIN(ABS(in_elas)*W101*R101*(AI101*9/10)/V101,1)))</f>
        <v/>
      </c>
      <c r="BW101" s="15">
        <f>100*(1-(1-X101*(1-EXP(-((AI101*10/10)+(BL101))/Y101)))*(1-MIN(ABS(in_elas)*W101*R101*(AI101*10/10)/V101,1)))</f>
        <v/>
      </c>
    </row>
    <row r="102">
      <c r="A102" s="17" t="inlineStr">
        <is>
          <t>MDV</t>
        </is>
      </c>
      <c r="B102" s="17">
        <f>INDEX(Data!$B:$B,MATCH($A102,Data!$A:$A,0))</f>
        <v/>
      </c>
      <c r="C102" s="17">
        <f>INDEX(Data!$D:$D,MATCH($A102,Data!$A:$A,0))</f>
        <v/>
      </c>
      <c r="D102" s="16">
        <f>SUMIFS(Data!$G:$G,Data!$A:$A,$A102,Data!$F:$F,"gen_coal_twh")</f>
        <v/>
      </c>
      <c r="E102" s="16">
        <f>SUMIFS(Data!$G:$G,Data!$A:$A,$A102,Data!$F:$F,"gen_gas_twh")</f>
        <v/>
      </c>
      <c r="F102" s="16">
        <f>SUMIFS(Data!$G:$G,Data!$A:$A,$A102,Data!$F:$F,"gen_oil_twh")</f>
        <v/>
      </c>
      <c r="G102" s="16">
        <f>SUMIFS(Data!$G:$G,Data!$A:$A,$A102,Data!$F:$F,"gen_total_twh")</f>
        <v/>
      </c>
      <c r="H102" s="16">
        <f>SUMIFS(Data!$G:$G,Data!$A:$A,$A102,Data!$F:$F,"em_coal_mt")</f>
        <v/>
      </c>
      <c r="I102" s="16">
        <f>SUMIFS(Data!$G:$G,Data!$A:$A,$A102,Data!$F:$F,"em_gas_mt")</f>
        <v/>
      </c>
      <c r="J102" s="16">
        <f>SUMIFS(Data!$G:$G,Data!$A:$A,$A102,Data!$F:$F,"em_oil_mt")</f>
        <v/>
      </c>
      <c r="K102" s="28">
        <f>IF(COUNTIFS(Data!$A:$A,$A102,Data!$F:$F,"price_electricity_residential_usd_kwh")=0,"",SUMIFS(Data!$G:$G,Data!$A:$A,$A102,Data!$F:$F,"price_electricity_residential_usd_kwh"))</f>
        <v/>
      </c>
      <c r="L102" s="28">
        <f>IF(COUNTIFS(Data!$A:$A,$A102,Data!$F:$F,"price_coal_power_usd_gj")=0,"",SUMIFS(Data!$G:$G,Data!$A:$A,$A102,Data!$F:$F,"price_coal_power_usd_gj"))</f>
        <v/>
      </c>
      <c r="M102" s="28">
        <f>IF(COUNTIFS(Data!$A:$A,$A102,Data!$F:$F,"price_gas_power_usd_gj")=0,"",SUMIFS(Data!$G:$G,Data!$A:$A,$A102,Data!$F:$F,"price_gas_power_usd_gj"))</f>
        <v/>
      </c>
      <c r="N102" s="28">
        <f>IF(COUNTIFS(Data!$A:$A,$A102,Data!$F:$F,"price_gas_industry_usd_gj")=0,"",SUMIFS(Data!$G:$G,Data!$A:$A,$A102,Data!$F:$F,"price_gas_industry_usd_gj"))</f>
        <v/>
      </c>
      <c r="O102" s="28">
        <f>IF(COUNTIFS(Data!$A:$A,$A102,Data!$F:$F,"power_market_structure")=0,"",SUMIFS(Data!$G:$G,Data!$A:$A,$A102,Data!$F:$F,"power_market_structure"))</f>
        <v/>
      </c>
      <c r="P102" s="28">
        <f>IF(COUNTIFS(Data!$A:$A,$A102,Data!$F:$F,"rise_renewable_energy_score")=0,"",SUMIFS(Data!$G:$G,Data!$A:$A,$A102,Data!$F:$F,"rise_renewable_energy_score"))</f>
        <v/>
      </c>
      <c r="Q102" s="16">
        <f>H102+I102+J102</f>
        <v/>
      </c>
      <c r="R102" s="28">
        <f>Q102/G102</f>
        <v/>
      </c>
      <c r="S102" s="28">
        <f>IF(D102&gt;0,H102/D102,0.85)</f>
        <v/>
      </c>
      <c r="T102" s="28">
        <f>IF(E102&gt;0,I102/E102,0.4)</f>
        <v/>
      </c>
      <c r="U102" s="28">
        <f>IF(D102+F102&gt;0,(H102+J102)/(D102+F102),0)</f>
        <v/>
      </c>
      <c r="V102" s="16">
        <f>K102*1000</f>
        <v/>
      </c>
      <c r="W102" s="15">
        <f>IF(O102=3,in_pt3,IF(O102=2,in_pt2,IF(O102=1,in_pt1,IF(C102="High income",in_pt_hi,in_pt_oth))))</f>
        <v/>
      </c>
      <c r="X102" s="28">
        <f>IF(Q102&gt;0,in_kappa*(in_rise_lo+(in_rise_hi-in_rise_lo)*IF(P102="",in_rise_miss,P102)/100)*(D102+F102)*MAX(U102-in_gas_rep*T102,0)/Q102,0)</f>
        <v/>
      </c>
      <c r="Y102" s="16">
        <f>IF(IF(M102="",N102,M102)="",MAX(in_sw_floor,in_sw_miss),MAX(in_sw_floor,(IF(M102="",N102,M102)*in_hr_gas-L102*in_hr_coal)/MAX(S102-T102,0.1)))</f>
        <v/>
      </c>
      <c r="Z102" s="28">
        <f>IF(C102="Low income",in_b40_li,IF(C102="Lower middle income",in_b40_lmi,IF(C102="Upper middle income",in_b40_umi,IF(C102="High income",in_b40_hi,0.03))))</f>
        <v/>
      </c>
      <c r="AA102" s="15">
        <f>(D102+F102)/G102</f>
        <v/>
      </c>
      <c r="AB102" s="28">
        <f>100*W102*R102/V102/in_phase</f>
        <v/>
      </c>
      <c r="AC102" s="29">
        <f>100*Z102*W102*R102/V102*(1-IF(W102&gt;0,MIN(in_rebate/(W102*in_res_sh*in_q40),1),1))</f>
        <v/>
      </c>
      <c r="AD102" s="28">
        <f>IF(AA102&gt;0,100*U102*(1-W102)/(in_whole_sh*V102),0)</f>
        <v/>
      </c>
      <c r="AE102" s="28">
        <f>IF(AA102&gt;0,100*MAX(U102-R102,0)/(in_whole_sh*V102),0)</f>
        <v/>
      </c>
      <c r="AF102" s="16">
        <f>IF(AB102&gt;0,in_f1/AB102,in_cap)</f>
        <v/>
      </c>
      <c r="AG102" s="16">
        <f>IF(AC102&gt;0,in_f2/AC102,in_cap)</f>
        <v/>
      </c>
      <c r="AH102" s="16">
        <f>IF(AD102&gt;0,in_f3/AD102,in_cap)</f>
        <v/>
      </c>
      <c r="AI102" s="16">
        <f>MIN(in_cap,AF102,AG102,AH102)</f>
        <v/>
      </c>
      <c r="AJ102" s="30">
        <f>100*(1-(1-X102*(1-EXP(-((AI102)+(0))/Y102)))*(1-MIN(ABS(in_elas)*W102*R102*(AI102)/V102,1)))</f>
        <v/>
      </c>
      <c r="AK102" s="17">
        <f>IF(AI102&gt;=in_cap-1E-9,"rate cap",TRIM(IF(ABS(AI102-AF102)&lt;1E-9,"F1 ","")&amp;IF(ABS(AI102-AG102)&lt;1E-9,"F2 ","")&amp;IF(ABS(AI102-AH102)&lt;1E-9,"F3","")))</f>
        <v/>
      </c>
      <c r="AL102" s="15">
        <f>100*(1-(1-X102*(1-EXP(-((MIN(in_cap,IF(AB102&gt;0,(in_f1+1)/AB102,in_cap),AG102,AH102))+(0))/Y102)))*(1-MIN(ABS(in_elas)*W102*R102*(MIN(in_cap,IF(AB102&gt;0,(in_f1+1)/AB102,in_cap),AG102,AH102))/V102,1)))-AJ102</f>
        <v/>
      </c>
      <c r="AM102" s="16">
        <f>MIN(in_cap,IF(AE102&gt;0,in_f3/AE102,in_cap))</f>
        <v/>
      </c>
      <c r="AN102" s="30">
        <f>100*(1-(1-X102*(1-EXP(-((0)+(AM102))/Y102)))*(1-MIN(ABS(in_elas)*W102*R102*(0)/V102,1)))</f>
        <v/>
      </c>
      <c r="AO102" s="17">
        <f>IF(AM102&gt;=in_cap-1E-9,"rate cap","F3")</f>
        <v/>
      </c>
      <c r="AP102" s="15">
        <f>100*(1-(1-X102*(1-EXP(-((50)+(0))/Y102)))*(1-MIN(ABS(in_elas)*W102*R102*(50)/V102,1)))</f>
        <v/>
      </c>
      <c r="AQ102" s="15">
        <f>100*(1-(1-X102*(1-EXP(-((0)+(50))/Y102)))*(1-MIN(ABS(in_elas)*W102*R102*(0)/V102,1)))</f>
        <v/>
      </c>
      <c r="AR102" s="15">
        <f>IF(AP102&gt;0,AQ102/AP102,"")</f>
        <v/>
      </c>
      <c r="AS102" s="16">
        <f>50*AB102</f>
        <v/>
      </c>
      <c r="AT102" s="30">
        <f>MAX(BM102:BW102)</f>
        <v/>
      </c>
      <c r="AU102" s="31">
        <f>AI102*(MATCH(AT102,BM102:BW102,0)-1)/10</f>
        <v/>
      </c>
      <c r="AV102" s="31">
        <f>INDEX(BB102:BL102,1,(MATCH(AT102,BM102:BW102,0)-1)+1)</f>
        <v/>
      </c>
      <c r="AW102" s="31">
        <f>AB102*AU102</f>
        <v/>
      </c>
      <c r="AX102" s="30">
        <f>AC102*AU102</f>
        <v/>
      </c>
      <c r="AY102" s="31">
        <f>AD102*AU102+AE102*AV102</f>
        <v/>
      </c>
      <c r="AZ102" s="32">
        <f>TRIM(IF(AND(AU102&gt;0,ABS(AU102-AF102)&lt;1E-6),"F1 ","")&amp;IF(AND(AU102&gt;0,ABS(AU102-AG102)&lt;1E-6),"F2 ","")&amp;IF(AY102&gt;=in_f3-1E-6,"F3 ","")&amp;IF(AV102&gt;=in_cap-1E-9,"rate cap",""))</f>
        <v/>
      </c>
      <c r="BA102" s="31">
        <f>Q102*AT102/100</f>
        <v/>
      </c>
      <c r="BB102" s="16">
        <f>MAX(0,MIN(in_cap,IF(AE102&gt;0,(in_f3-AD102*AI102*0/10)/AE102,in_cap)))</f>
        <v/>
      </c>
      <c r="BC102" s="16">
        <f>MAX(0,MIN(in_cap,IF(AE102&gt;0,(in_f3-AD102*AI102*1/10)/AE102,in_cap)))</f>
        <v/>
      </c>
      <c r="BD102" s="16">
        <f>MAX(0,MIN(in_cap,IF(AE102&gt;0,(in_f3-AD102*AI102*2/10)/AE102,in_cap)))</f>
        <v/>
      </c>
      <c r="BE102" s="16">
        <f>MAX(0,MIN(in_cap,IF(AE102&gt;0,(in_f3-AD102*AI102*3/10)/AE102,in_cap)))</f>
        <v/>
      </c>
      <c r="BF102" s="16">
        <f>MAX(0,MIN(in_cap,IF(AE102&gt;0,(in_f3-AD102*AI102*4/10)/AE102,in_cap)))</f>
        <v/>
      </c>
      <c r="BG102" s="16">
        <f>MAX(0,MIN(in_cap,IF(AE102&gt;0,(in_f3-AD102*AI102*5/10)/AE102,in_cap)))</f>
        <v/>
      </c>
      <c r="BH102" s="16">
        <f>MAX(0,MIN(in_cap,IF(AE102&gt;0,(in_f3-AD102*AI102*6/10)/AE102,in_cap)))</f>
        <v/>
      </c>
      <c r="BI102" s="16">
        <f>MAX(0,MIN(in_cap,IF(AE102&gt;0,(in_f3-AD102*AI102*7/10)/AE102,in_cap)))</f>
        <v/>
      </c>
      <c r="BJ102" s="16">
        <f>MAX(0,MIN(in_cap,IF(AE102&gt;0,(in_f3-AD102*AI102*8/10)/AE102,in_cap)))</f>
        <v/>
      </c>
      <c r="BK102" s="16">
        <f>MAX(0,MIN(in_cap,IF(AE102&gt;0,(in_f3-AD102*AI102*9/10)/AE102,in_cap)))</f>
        <v/>
      </c>
      <c r="BL102" s="16">
        <f>MAX(0,MIN(in_cap,IF(AE102&gt;0,(in_f3-AD102*AI102*10/10)/AE102,in_cap)))</f>
        <v/>
      </c>
      <c r="BM102" s="15">
        <f>100*(1-(1-X102*(1-EXP(-((AI102*0/10)+(BB102))/Y102)))*(1-MIN(ABS(in_elas)*W102*R102*(AI102*0/10)/V102,1)))</f>
        <v/>
      </c>
      <c r="BN102" s="15">
        <f>100*(1-(1-X102*(1-EXP(-((AI102*1/10)+(BC102))/Y102)))*(1-MIN(ABS(in_elas)*W102*R102*(AI102*1/10)/V102,1)))</f>
        <v/>
      </c>
      <c r="BO102" s="15">
        <f>100*(1-(1-X102*(1-EXP(-((AI102*2/10)+(BD102))/Y102)))*(1-MIN(ABS(in_elas)*W102*R102*(AI102*2/10)/V102,1)))</f>
        <v/>
      </c>
      <c r="BP102" s="15">
        <f>100*(1-(1-X102*(1-EXP(-((AI102*3/10)+(BE102))/Y102)))*(1-MIN(ABS(in_elas)*W102*R102*(AI102*3/10)/V102,1)))</f>
        <v/>
      </c>
      <c r="BQ102" s="15">
        <f>100*(1-(1-X102*(1-EXP(-((AI102*4/10)+(BF102))/Y102)))*(1-MIN(ABS(in_elas)*W102*R102*(AI102*4/10)/V102,1)))</f>
        <v/>
      </c>
      <c r="BR102" s="15">
        <f>100*(1-(1-X102*(1-EXP(-((AI102*5/10)+(BG102))/Y102)))*(1-MIN(ABS(in_elas)*W102*R102*(AI102*5/10)/V102,1)))</f>
        <v/>
      </c>
      <c r="BS102" s="15">
        <f>100*(1-(1-X102*(1-EXP(-((AI102*6/10)+(BH102))/Y102)))*(1-MIN(ABS(in_elas)*W102*R102*(AI102*6/10)/V102,1)))</f>
        <v/>
      </c>
      <c r="BT102" s="15">
        <f>100*(1-(1-X102*(1-EXP(-((AI102*7/10)+(BI102))/Y102)))*(1-MIN(ABS(in_elas)*W102*R102*(AI102*7/10)/V102,1)))</f>
        <v/>
      </c>
      <c r="BU102" s="15">
        <f>100*(1-(1-X102*(1-EXP(-((AI102*8/10)+(BJ102))/Y102)))*(1-MIN(ABS(in_elas)*W102*R102*(AI102*8/10)/V102,1)))</f>
        <v/>
      </c>
      <c r="BV102" s="15">
        <f>100*(1-(1-X102*(1-EXP(-((AI102*9/10)+(BK102))/Y102)))*(1-MIN(ABS(in_elas)*W102*R102*(AI102*9/10)/V102,1)))</f>
        <v/>
      </c>
      <c r="BW102" s="15">
        <f>100*(1-(1-X102*(1-EXP(-((AI102*10/10)+(BL102))/Y102)))*(1-MIN(ABS(in_elas)*W102*R102*(AI102*10/10)/V102,1)))</f>
        <v/>
      </c>
    </row>
    <row r="103">
      <c r="A103" s="17" t="inlineStr">
        <is>
          <t>MEX</t>
        </is>
      </c>
      <c r="B103" s="17">
        <f>INDEX(Data!$B:$B,MATCH($A103,Data!$A:$A,0))</f>
        <v/>
      </c>
      <c r="C103" s="17">
        <f>INDEX(Data!$D:$D,MATCH($A103,Data!$A:$A,0))</f>
        <v/>
      </c>
      <c r="D103" s="16">
        <f>SUMIFS(Data!$G:$G,Data!$A:$A,$A103,Data!$F:$F,"gen_coal_twh")</f>
        <v/>
      </c>
      <c r="E103" s="16">
        <f>SUMIFS(Data!$G:$G,Data!$A:$A,$A103,Data!$F:$F,"gen_gas_twh")</f>
        <v/>
      </c>
      <c r="F103" s="16">
        <f>SUMIFS(Data!$G:$G,Data!$A:$A,$A103,Data!$F:$F,"gen_oil_twh")</f>
        <v/>
      </c>
      <c r="G103" s="16">
        <f>SUMIFS(Data!$G:$G,Data!$A:$A,$A103,Data!$F:$F,"gen_total_twh")</f>
        <v/>
      </c>
      <c r="H103" s="16">
        <f>SUMIFS(Data!$G:$G,Data!$A:$A,$A103,Data!$F:$F,"em_coal_mt")</f>
        <v/>
      </c>
      <c r="I103" s="16">
        <f>SUMIFS(Data!$G:$G,Data!$A:$A,$A103,Data!$F:$F,"em_gas_mt")</f>
        <v/>
      </c>
      <c r="J103" s="16">
        <f>SUMIFS(Data!$G:$G,Data!$A:$A,$A103,Data!$F:$F,"em_oil_mt")</f>
        <v/>
      </c>
      <c r="K103" s="28">
        <f>IF(COUNTIFS(Data!$A:$A,$A103,Data!$F:$F,"price_electricity_residential_usd_kwh")=0,"",SUMIFS(Data!$G:$G,Data!$A:$A,$A103,Data!$F:$F,"price_electricity_residential_usd_kwh"))</f>
        <v/>
      </c>
      <c r="L103" s="28">
        <f>IF(COUNTIFS(Data!$A:$A,$A103,Data!$F:$F,"price_coal_power_usd_gj")=0,"",SUMIFS(Data!$G:$G,Data!$A:$A,$A103,Data!$F:$F,"price_coal_power_usd_gj"))</f>
        <v/>
      </c>
      <c r="M103" s="28">
        <f>IF(COUNTIFS(Data!$A:$A,$A103,Data!$F:$F,"price_gas_power_usd_gj")=0,"",SUMIFS(Data!$G:$G,Data!$A:$A,$A103,Data!$F:$F,"price_gas_power_usd_gj"))</f>
        <v/>
      </c>
      <c r="N103" s="28">
        <f>IF(COUNTIFS(Data!$A:$A,$A103,Data!$F:$F,"price_gas_industry_usd_gj")=0,"",SUMIFS(Data!$G:$G,Data!$A:$A,$A103,Data!$F:$F,"price_gas_industry_usd_gj"))</f>
        <v/>
      </c>
      <c r="O103" s="28">
        <f>IF(COUNTIFS(Data!$A:$A,$A103,Data!$F:$F,"power_market_structure")=0,"",SUMIFS(Data!$G:$G,Data!$A:$A,$A103,Data!$F:$F,"power_market_structure"))</f>
        <v/>
      </c>
      <c r="P103" s="28">
        <f>IF(COUNTIFS(Data!$A:$A,$A103,Data!$F:$F,"rise_renewable_energy_score")=0,"",SUMIFS(Data!$G:$G,Data!$A:$A,$A103,Data!$F:$F,"rise_renewable_energy_score"))</f>
        <v/>
      </c>
      <c r="Q103" s="16">
        <f>H103+I103+J103</f>
        <v/>
      </c>
      <c r="R103" s="28">
        <f>Q103/G103</f>
        <v/>
      </c>
      <c r="S103" s="28">
        <f>IF(D103&gt;0,H103/D103,0.85)</f>
        <v/>
      </c>
      <c r="T103" s="28">
        <f>IF(E103&gt;0,I103/E103,0.4)</f>
        <v/>
      </c>
      <c r="U103" s="28">
        <f>IF(D103+F103&gt;0,(H103+J103)/(D103+F103),0)</f>
        <v/>
      </c>
      <c r="V103" s="16">
        <f>K103*1000</f>
        <v/>
      </c>
      <c r="W103" s="15">
        <f>IF(O103=3,in_pt3,IF(O103=2,in_pt2,IF(O103=1,in_pt1,IF(C103="High income",in_pt_hi,in_pt_oth))))</f>
        <v/>
      </c>
      <c r="X103" s="28">
        <f>IF(Q103&gt;0,in_kappa*(in_rise_lo+(in_rise_hi-in_rise_lo)*IF(P103="",in_rise_miss,P103)/100)*(D103+F103)*MAX(U103-in_gas_rep*T103,0)/Q103,0)</f>
        <v/>
      </c>
      <c r="Y103" s="16">
        <f>IF(IF(M103="",N103,M103)="",MAX(in_sw_floor,in_sw_miss),MAX(in_sw_floor,(IF(M103="",N103,M103)*in_hr_gas-L103*in_hr_coal)/MAX(S103-T103,0.1)))</f>
        <v/>
      </c>
      <c r="Z103" s="28">
        <f>IF(C103="Low income",in_b40_li,IF(C103="Lower middle income",in_b40_lmi,IF(C103="Upper middle income",in_b40_umi,IF(C103="High income",in_b40_hi,0.03))))</f>
        <v/>
      </c>
      <c r="AA103" s="15">
        <f>(D103+F103)/G103</f>
        <v/>
      </c>
      <c r="AB103" s="28">
        <f>100*W103*R103/V103/in_phase</f>
        <v/>
      </c>
      <c r="AC103" s="29">
        <f>100*Z103*W103*R103/V103*(1-IF(W103&gt;0,MIN(in_rebate/(W103*in_res_sh*in_q40),1),1))</f>
        <v/>
      </c>
      <c r="AD103" s="28">
        <f>IF(AA103&gt;0,100*U103*(1-W103)/(in_whole_sh*V103),0)</f>
        <v/>
      </c>
      <c r="AE103" s="28">
        <f>IF(AA103&gt;0,100*MAX(U103-R103,0)/(in_whole_sh*V103),0)</f>
        <v/>
      </c>
      <c r="AF103" s="16">
        <f>IF(AB103&gt;0,in_f1/AB103,in_cap)</f>
        <v/>
      </c>
      <c r="AG103" s="16">
        <f>IF(AC103&gt;0,in_f2/AC103,in_cap)</f>
        <v/>
      </c>
      <c r="AH103" s="16">
        <f>IF(AD103&gt;0,in_f3/AD103,in_cap)</f>
        <v/>
      </c>
      <c r="AI103" s="16">
        <f>MIN(in_cap,AF103,AG103,AH103)</f>
        <v/>
      </c>
      <c r="AJ103" s="30">
        <f>100*(1-(1-X103*(1-EXP(-((AI103)+(0))/Y103)))*(1-MIN(ABS(in_elas)*W103*R103*(AI103)/V103,1)))</f>
        <v/>
      </c>
      <c r="AK103" s="17">
        <f>IF(AI103&gt;=in_cap-1E-9,"rate cap",TRIM(IF(ABS(AI103-AF103)&lt;1E-9,"F1 ","")&amp;IF(ABS(AI103-AG103)&lt;1E-9,"F2 ","")&amp;IF(ABS(AI103-AH103)&lt;1E-9,"F3","")))</f>
        <v/>
      </c>
      <c r="AL103" s="15">
        <f>100*(1-(1-X103*(1-EXP(-((MIN(in_cap,IF(AB103&gt;0,(in_f1+1)/AB103,in_cap),AG103,AH103))+(0))/Y103)))*(1-MIN(ABS(in_elas)*W103*R103*(MIN(in_cap,IF(AB103&gt;0,(in_f1+1)/AB103,in_cap),AG103,AH103))/V103,1)))-AJ103</f>
        <v/>
      </c>
      <c r="AM103" s="16">
        <f>MIN(in_cap,IF(AE103&gt;0,in_f3/AE103,in_cap))</f>
        <v/>
      </c>
      <c r="AN103" s="30">
        <f>100*(1-(1-X103*(1-EXP(-((0)+(AM103))/Y103)))*(1-MIN(ABS(in_elas)*W103*R103*(0)/V103,1)))</f>
        <v/>
      </c>
      <c r="AO103" s="17">
        <f>IF(AM103&gt;=in_cap-1E-9,"rate cap","F3")</f>
        <v/>
      </c>
      <c r="AP103" s="15">
        <f>100*(1-(1-X103*(1-EXP(-((50)+(0))/Y103)))*(1-MIN(ABS(in_elas)*W103*R103*(50)/V103,1)))</f>
        <v/>
      </c>
      <c r="AQ103" s="15">
        <f>100*(1-(1-X103*(1-EXP(-((0)+(50))/Y103)))*(1-MIN(ABS(in_elas)*W103*R103*(0)/V103,1)))</f>
        <v/>
      </c>
      <c r="AR103" s="15">
        <f>IF(AP103&gt;0,AQ103/AP103,"")</f>
        <v/>
      </c>
      <c r="AS103" s="16">
        <f>50*AB103</f>
        <v/>
      </c>
      <c r="AT103" s="30">
        <f>MAX(BM103:BW103)</f>
        <v/>
      </c>
      <c r="AU103" s="31">
        <f>AI103*(MATCH(AT103,BM103:BW103,0)-1)/10</f>
        <v/>
      </c>
      <c r="AV103" s="31">
        <f>INDEX(BB103:BL103,1,(MATCH(AT103,BM103:BW103,0)-1)+1)</f>
        <v/>
      </c>
      <c r="AW103" s="31">
        <f>AB103*AU103</f>
        <v/>
      </c>
      <c r="AX103" s="30">
        <f>AC103*AU103</f>
        <v/>
      </c>
      <c r="AY103" s="31">
        <f>AD103*AU103+AE103*AV103</f>
        <v/>
      </c>
      <c r="AZ103" s="32">
        <f>TRIM(IF(AND(AU103&gt;0,ABS(AU103-AF103)&lt;1E-6),"F1 ","")&amp;IF(AND(AU103&gt;0,ABS(AU103-AG103)&lt;1E-6),"F2 ","")&amp;IF(AY103&gt;=in_f3-1E-6,"F3 ","")&amp;IF(AV103&gt;=in_cap-1E-9,"rate cap",""))</f>
        <v/>
      </c>
      <c r="BA103" s="31">
        <f>Q103*AT103/100</f>
        <v/>
      </c>
      <c r="BB103" s="16">
        <f>MAX(0,MIN(in_cap,IF(AE103&gt;0,(in_f3-AD103*AI103*0/10)/AE103,in_cap)))</f>
        <v/>
      </c>
      <c r="BC103" s="16">
        <f>MAX(0,MIN(in_cap,IF(AE103&gt;0,(in_f3-AD103*AI103*1/10)/AE103,in_cap)))</f>
        <v/>
      </c>
      <c r="BD103" s="16">
        <f>MAX(0,MIN(in_cap,IF(AE103&gt;0,(in_f3-AD103*AI103*2/10)/AE103,in_cap)))</f>
        <v/>
      </c>
      <c r="BE103" s="16">
        <f>MAX(0,MIN(in_cap,IF(AE103&gt;0,(in_f3-AD103*AI103*3/10)/AE103,in_cap)))</f>
        <v/>
      </c>
      <c r="BF103" s="16">
        <f>MAX(0,MIN(in_cap,IF(AE103&gt;0,(in_f3-AD103*AI103*4/10)/AE103,in_cap)))</f>
        <v/>
      </c>
      <c r="BG103" s="16">
        <f>MAX(0,MIN(in_cap,IF(AE103&gt;0,(in_f3-AD103*AI103*5/10)/AE103,in_cap)))</f>
        <v/>
      </c>
      <c r="BH103" s="16">
        <f>MAX(0,MIN(in_cap,IF(AE103&gt;0,(in_f3-AD103*AI103*6/10)/AE103,in_cap)))</f>
        <v/>
      </c>
      <c r="BI103" s="16">
        <f>MAX(0,MIN(in_cap,IF(AE103&gt;0,(in_f3-AD103*AI103*7/10)/AE103,in_cap)))</f>
        <v/>
      </c>
      <c r="BJ103" s="16">
        <f>MAX(0,MIN(in_cap,IF(AE103&gt;0,(in_f3-AD103*AI103*8/10)/AE103,in_cap)))</f>
        <v/>
      </c>
      <c r="BK103" s="16">
        <f>MAX(0,MIN(in_cap,IF(AE103&gt;0,(in_f3-AD103*AI103*9/10)/AE103,in_cap)))</f>
        <v/>
      </c>
      <c r="BL103" s="16">
        <f>MAX(0,MIN(in_cap,IF(AE103&gt;0,(in_f3-AD103*AI103*10/10)/AE103,in_cap)))</f>
        <v/>
      </c>
      <c r="BM103" s="15">
        <f>100*(1-(1-X103*(1-EXP(-((AI103*0/10)+(BB103))/Y103)))*(1-MIN(ABS(in_elas)*W103*R103*(AI103*0/10)/V103,1)))</f>
        <v/>
      </c>
      <c r="BN103" s="15">
        <f>100*(1-(1-X103*(1-EXP(-((AI103*1/10)+(BC103))/Y103)))*(1-MIN(ABS(in_elas)*W103*R103*(AI103*1/10)/V103,1)))</f>
        <v/>
      </c>
      <c r="BO103" s="15">
        <f>100*(1-(1-X103*(1-EXP(-((AI103*2/10)+(BD103))/Y103)))*(1-MIN(ABS(in_elas)*W103*R103*(AI103*2/10)/V103,1)))</f>
        <v/>
      </c>
      <c r="BP103" s="15">
        <f>100*(1-(1-X103*(1-EXP(-((AI103*3/10)+(BE103))/Y103)))*(1-MIN(ABS(in_elas)*W103*R103*(AI103*3/10)/V103,1)))</f>
        <v/>
      </c>
      <c r="BQ103" s="15">
        <f>100*(1-(1-X103*(1-EXP(-((AI103*4/10)+(BF103))/Y103)))*(1-MIN(ABS(in_elas)*W103*R103*(AI103*4/10)/V103,1)))</f>
        <v/>
      </c>
      <c r="BR103" s="15">
        <f>100*(1-(1-X103*(1-EXP(-((AI103*5/10)+(BG103))/Y103)))*(1-MIN(ABS(in_elas)*W103*R103*(AI103*5/10)/V103,1)))</f>
        <v/>
      </c>
      <c r="BS103" s="15">
        <f>100*(1-(1-X103*(1-EXP(-((AI103*6/10)+(BH103))/Y103)))*(1-MIN(ABS(in_elas)*W103*R103*(AI103*6/10)/V103,1)))</f>
        <v/>
      </c>
      <c r="BT103" s="15">
        <f>100*(1-(1-X103*(1-EXP(-((AI103*7/10)+(BI103))/Y103)))*(1-MIN(ABS(in_elas)*W103*R103*(AI103*7/10)/V103,1)))</f>
        <v/>
      </c>
      <c r="BU103" s="15">
        <f>100*(1-(1-X103*(1-EXP(-((AI103*8/10)+(BJ103))/Y103)))*(1-MIN(ABS(in_elas)*W103*R103*(AI103*8/10)/V103,1)))</f>
        <v/>
      </c>
      <c r="BV103" s="15">
        <f>100*(1-(1-X103*(1-EXP(-((AI103*9/10)+(BK103))/Y103)))*(1-MIN(ABS(in_elas)*W103*R103*(AI103*9/10)/V103,1)))</f>
        <v/>
      </c>
      <c r="BW103" s="15">
        <f>100*(1-(1-X103*(1-EXP(-((AI103*10/10)+(BL103))/Y103)))*(1-MIN(ABS(in_elas)*W103*R103*(AI103*10/10)/V103,1)))</f>
        <v/>
      </c>
    </row>
    <row r="104">
      <c r="A104" s="17" t="inlineStr">
        <is>
          <t>MKD</t>
        </is>
      </c>
      <c r="B104" s="17">
        <f>INDEX(Data!$B:$B,MATCH($A104,Data!$A:$A,0))</f>
        <v/>
      </c>
      <c r="C104" s="17">
        <f>INDEX(Data!$D:$D,MATCH($A104,Data!$A:$A,0))</f>
        <v/>
      </c>
      <c r="D104" s="16">
        <f>SUMIFS(Data!$G:$G,Data!$A:$A,$A104,Data!$F:$F,"gen_coal_twh")</f>
        <v/>
      </c>
      <c r="E104" s="16">
        <f>SUMIFS(Data!$G:$G,Data!$A:$A,$A104,Data!$F:$F,"gen_gas_twh")</f>
        <v/>
      </c>
      <c r="F104" s="16">
        <f>SUMIFS(Data!$G:$G,Data!$A:$A,$A104,Data!$F:$F,"gen_oil_twh")</f>
        <v/>
      </c>
      <c r="G104" s="16">
        <f>SUMIFS(Data!$G:$G,Data!$A:$A,$A104,Data!$F:$F,"gen_total_twh")</f>
        <v/>
      </c>
      <c r="H104" s="16">
        <f>SUMIFS(Data!$G:$G,Data!$A:$A,$A104,Data!$F:$F,"em_coal_mt")</f>
        <v/>
      </c>
      <c r="I104" s="16">
        <f>SUMIFS(Data!$G:$G,Data!$A:$A,$A104,Data!$F:$F,"em_gas_mt")</f>
        <v/>
      </c>
      <c r="J104" s="16">
        <f>SUMIFS(Data!$G:$G,Data!$A:$A,$A104,Data!$F:$F,"em_oil_mt")</f>
        <v/>
      </c>
      <c r="K104" s="28">
        <f>IF(COUNTIFS(Data!$A:$A,$A104,Data!$F:$F,"price_electricity_residential_usd_kwh")=0,"",SUMIFS(Data!$G:$G,Data!$A:$A,$A104,Data!$F:$F,"price_electricity_residential_usd_kwh"))</f>
        <v/>
      </c>
      <c r="L104" s="28">
        <f>IF(COUNTIFS(Data!$A:$A,$A104,Data!$F:$F,"price_coal_power_usd_gj")=0,"",SUMIFS(Data!$G:$G,Data!$A:$A,$A104,Data!$F:$F,"price_coal_power_usd_gj"))</f>
        <v/>
      </c>
      <c r="M104" s="28">
        <f>IF(COUNTIFS(Data!$A:$A,$A104,Data!$F:$F,"price_gas_power_usd_gj")=0,"",SUMIFS(Data!$G:$G,Data!$A:$A,$A104,Data!$F:$F,"price_gas_power_usd_gj"))</f>
        <v/>
      </c>
      <c r="N104" s="28">
        <f>IF(COUNTIFS(Data!$A:$A,$A104,Data!$F:$F,"price_gas_industry_usd_gj")=0,"",SUMIFS(Data!$G:$G,Data!$A:$A,$A104,Data!$F:$F,"price_gas_industry_usd_gj"))</f>
        <v/>
      </c>
      <c r="O104" s="28">
        <f>IF(COUNTIFS(Data!$A:$A,$A104,Data!$F:$F,"power_market_structure")=0,"",SUMIFS(Data!$G:$G,Data!$A:$A,$A104,Data!$F:$F,"power_market_structure"))</f>
        <v/>
      </c>
      <c r="P104" s="28">
        <f>IF(COUNTIFS(Data!$A:$A,$A104,Data!$F:$F,"rise_renewable_energy_score")=0,"",SUMIFS(Data!$G:$G,Data!$A:$A,$A104,Data!$F:$F,"rise_renewable_energy_score"))</f>
        <v/>
      </c>
      <c r="Q104" s="16">
        <f>H104+I104+J104</f>
        <v/>
      </c>
      <c r="R104" s="28">
        <f>Q104/G104</f>
        <v/>
      </c>
      <c r="S104" s="28">
        <f>IF(D104&gt;0,H104/D104,0.85)</f>
        <v/>
      </c>
      <c r="T104" s="28">
        <f>IF(E104&gt;0,I104/E104,0.4)</f>
        <v/>
      </c>
      <c r="U104" s="28">
        <f>IF(D104+F104&gt;0,(H104+J104)/(D104+F104),0)</f>
        <v/>
      </c>
      <c r="V104" s="16">
        <f>K104*1000</f>
        <v/>
      </c>
      <c r="W104" s="15">
        <f>IF(O104=3,in_pt3,IF(O104=2,in_pt2,IF(O104=1,in_pt1,IF(C104="High income",in_pt_hi,in_pt_oth))))</f>
        <v/>
      </c>
      <c r="X104" s="28">
        <f>IF(Q104&gt;0,in_kappa*(in_rise_lo+(in_rise_hi-in_rise_lo)*IF(P104="",in_rise_miss,P104)/100)*(D104+F104)*MAX(U104-in_gas_rep*T104,0)/Q104,0)</f>
        <v/>
      </c>
      <c r="Y104" s="16">
        <f>IF(IF(M104="",N104,M104)="",MAX(in_sw_floor,in_sw_miss),MAX(in_sw_floor,(IF(M104="",N104,M104)*in_hr_gas-L104*in_hr_coal)/MAX(S104-T104,0.1)))</f>
        <v/>
      </c>
      <c r="Z104" s="28">
        <f>IF(C104="Low income",in_b40_li,IF(C104="Lower middle income",in_b40_lmi,IF(C104="Upper middle income",in_b40_umi,IF(C104="High income",in_b40_hi,0.03))))</f>
        <v/>
      </c>
      <c r="AA104" s="15">
        <f>(D104+F104)/G104</f>
        <v/>
      </c>
      <c r="AB104" s="28">
        <f>100*W104*R104/V104/in_phase</f>
        <v/>
      </c>
      <c r="AC104" s="29">
        <f>100*Z104*W104*R104/V104*(1-IF(W104&gt;0,MIN(in_rebate/(W104*in_res_sh*in_q40),1),1))</f>
        <v/>
      </c>
      <c r="AD104" s="28">
        <f>IF(AA104&gt;0,100*U104*(1-W104)/(in_whole_sh*V104),0)</f>
        <v/>
      </c>
      <c r="AE104" s="28">
        <f>IF(AA104&gt;0,100*MAX(U104-R104,0)/(in_whole_sh*V104),0)</f>
        <v/>
      </c>
      <c r="AF104" s="16">
        <f>IF(AB104&gt;0,in_f1/AB104,in_cap)</f>
        <v/>
      </c>
      <c r="AG104" s="16">
        <f>IF(AC104&gt;0,in_f2/AC104,in_cap)</f>
        <v/>
      </c>
      <c r="AH104" s="16">
        <f>IF(AD104&gt;0,in_f3/AD104,in_cap)</f>
        <v/>
      </c>
      <c r="AI104" s="16">
        <f>MIN(in_cap,AF104,AG104,AH104)</f>
        <v/>
      </c>
      <c r="AJ104" s="30">
        <f>100*(1-(1-X104*(1-EXP(-((AI104)+(0))/Y104)))*(1-MIN(ABS(in_elas)*W104*R104*(AI104)/V104,1)))</f>
        <v/>
      </c>
      <c r="AK104" s="17">
        <f>IF(AI104&gt;=in_cap-1E-9,"rate cap",TRIM(IF(ABS(AI104-AF104)&lt;1E-9,"F1 ","")&amp;IF(ABS(AI104-AG104)&lt;1E-9,"F2 ","")&amp;IF(ABS(AI104-AH104)&lt;1E-9,"F3","")))</f>
        <v/>
      </c>
      <c r="AL104" s="15">
        <f>100*(1-(1-X104*(1-EXP(-((MIN(in_cap,IF(AB104&gt;0,(in_f1+1)/AB104,in_cap),AG104,AH104))+(0))/Y104)))*(1-MIN(ABS(in_elas)*W104*R104*(MIN(in_cap,IF(AB104&gt;0,(in_f1+1)/AB104,in_cap),AG104,AH104))/V104,1)))-AJ104</f>
        <v/>
      </c>
      <c r="AM104" s="16">
        <f>MIN(in_cap,IF(AE104&gt;0,in_f3/AE104,in_cap))</f>
        <v/>
      </c>
      <c r="AN104" s="30">
        <f>100*(1-(1-X104*(1-EXP(-((0)+(AM104))/Y104)))*(1-MIN(ABS(in_elas)*W104*R104*(0)/V104,1)))</f>
        <v/>
      </c>
      <c r="AO104" s="17">
        <f>IF(AM104&gt;=in_cap-1E-9,"rate cap","F3")</f>
        <v/>
      </c>
      <c r="AP104" s="15">
        <f>100*(1-(1-X104*(1-EXP(-((50)+(0))/Y104)))*(1-MIN(ABS(in_elas)*W104*R104*(50)/V104,1)))</f>
        <v/>
      </c>
      <c r="AQ104" s="15">
        <f>100*(1-(1-X104*(1-EXP(-((0)+(50))/Y104)))*(1-MIN(ABS(in_elas)*W104*R104*(0)/V104,1)))</f>
        <v/>
      </c>
      <c r="AR104" s="15">
        <f>IF(AP104&gt;0,AQ104/AP104,"")</f>
        <v/>
      </c>
      <c r="AS104" s="16">
        <f>50*AB104</f>
        <v/>
      </c>
      <c r="AT104" s="30">
        <f>MAX(BM104:BW104)</f>
        <v/>
      </c>
      <c r="AU104" s="31">
        <f>AI104*(MATCH(AT104,BM104:BW104,0)-1)/10</f>
        <v/>
      </c>
      <c r="AV104" s="31">
        <f>INDEX(BB104:BL104,1,(MATCH(AT104,BM104:BW104,0)-1)+1)</f>
        <v/>
      </c>
      <c r="AW104" s="31">
        <f>AB104*AU104</f>
        <v/>
      </c>
      <c r="AX104" s="30">
        <f>AC104*AU104</f>
        <v/>
      </c>
      <c r="AY104" s="31">
        <f>AD104*AU104+AE104*AV104</f>
        <v/>
      </c>
      <c r="AZ104" s="32">
        <f>TRIM(IF(AND(AU104&gt;0,ABS(AU104-AF104)&lt;1E-6),"F1 ","")&amp;IF(AND(AU104&gt;0,ABS(AU104-AG104)&lt;1E-6),"F2 ","")&amp;IF(AY104&gt;=in_f3-1E-6,"F3 ","")&amp;IF(AV104&gt;=in_cap-1E-9,"rate cap",""))</f>
        <v/>
      </c>
      <c r="BA104" s="31">
        <f>Q104*AT104/100</f>
        <v/>
      </c>
      <c r="BB104" s="16">
        <f>MAX(0,MIN(in_cap,IF(AE104&gt;0,(in_f3-AD104*AI104*0/10)/AE104,in_cap)))</f>
        <v/>
      </c>
      <c r="BC104" s="16">
        <f>MAX(0,MIN(in_cap,IF(AE104&gt;0,(in_f3-AD104*AI104*1/10)/AE104,in_cap)))</f>
        <v/>
      </c>
      <c r="BD104" s="16">
        <f>MAX(0,MIN(in_cap,IF(AE104&gt;0,(in_f3-AD104*AI104*2/10)/AE104,in_cap)))</f>
        <v/>
      </c>
      <c r="BE104" s="16">
        <f>MAX(0,MIN(in_cap,IF(AE104&gt;0,(in_f3-AD104*AI104*3/10)/AE104,in_cap)))</f>
        <v/>
      </c>
      <c r="BF104" s="16">
        <f>MAX(0,MIN(in_cap,IF(AE104&gt;0,(in_f3-AD104*AI104*4/10)/AE104,in_cap)))</f>
        <v/>
      </c>
      <c r="BG104" s="16">
        <f>MAX(0,MIN(in_cap,IF(AE104&gt;0,(in_f3-AD104*AI104*5/10)/AE104,in_cap)))</f>
        <v/>
      </c>
      <c r="BH104" s="16">
        <f>MAX(0,MIN(in_cap,IF(AE104&gt;0,(in_f3-AD104*AI104*6/10)/AE104,in_cap)))</f>
        <v/>
      </c>
      <c r="BI104" s="16">
        <f>MAX(0,MIN(in_cap,IF(AE104&gt;0,(in_f3-AD104*AI104*7/10)/AE104,in_cap)))</f>
        <v/>
      </c>
      <c r="BJ104" s="16">
        <f>MAX(0,MIN(in_cap,IF(AE104&gt;0,(in_f3-AD104*AI104*8/10)/AE104,in_cap)))</f>
        <v/>
      </c>
      <c r="BK104" s="16">
        <f>MAX(0,MIN(in_cap,IF(AE104&gt;0,(in_f3-AD104*AI104*9/10)/AE104,in_cap)))</f>
        <v/>
      </c>
      <c r="BL104" s="16">
        <f>MAX(0,MIN(in_cap,IF(AE104&gt;0,(in_f3-AD104*AI104*10/10)/AE104,in_cap)))</f>
        <v/>
      </c>
      <c r="BM104" s="15">
        <f>100*(1-(1-X104*(1-EXP(-((AI104*0/10)+(BB104))/Y104)))*(1-MIN(ABS(in_elas)*W104*R104*(AI104*0/10)/V104,1)))</f>
        <v/>
      </c>
      <c r="BN104" s="15">
        <f>100*(1-(1-X104*(1-EXP(-((AI104*1/10)+(BC104))/Y104)))*(1-MIN(ABS(in_elas)*W104*R104*(AI104*1/10)/V104,1)))</f>
        <v/>
      </c>
      <c r="BO104" s="15">
        <f>100*(1-(1-X104*(1-EXP(-((AI104*2/10)+(BD104))/Y104)))*(1-MIN(ABS(in_elas)*W104*R104*(AI104*2/10)/V104,1)))</f>
        <v/>
      </c>
      <c r="BP104" s="15">
        <f>100*(1-(1-X104*(1-EXP(-((AI104*3/10)+(BE104))/Y104)))*(1-MIN(ABS(in_elas)*W104*R104*(AI104*3/10)/V104,1)))</f>
        <v/>
      </c>
      <c r="BQ104" s="15">
        <f>100*(1-(1-X104*(1-EXP(-((AI104*4/10)+(BF104))/Y104)))*(1-MIN(ABS(in_elas)*W104*R104*(AI104*4/10)/V104,1)))</f>
        <v/>
      </c>
      <c r="BR104" s="15">
        <f>100*(1-(1-X104*(1-EXP(-((AI104*5/10)+(BG104))/Y104)))*(1-MIN(ABS(in_elas)*W104*R104*(AI104*5/10)/V104,1)))</f>
        <v/>
      </c>
      <c r="BS104" s="15">
        <f>100*(1-(1-X104*(1-EXP(-((AI104*6/10)+(BH104))/Y104)))*(1-MIN(ABS(in_elas)*W104*R104*(AI104*6/10)/V104,1)))</f>
        <v/>
      </c>
      <c r="BT104" s="15">
        <f>100*(1-(1-X104*(1-EXP(-((AI104*7/10)+(BI104))/Y104)))*(1-MIN(ABS(in_elas)*W104*R104*(AI104*7/10)/V104,1)))</f>
        <v/>
      </c>
      <c r="BU104" s="15">
        <f>100*(1-(1-X104*(1-EXP(-((AI104*8/10)+(BJ104))/Y104)))*(1-MIN(ABS(in_elas)*W104*R104*(AI104*8/10)/V104,1)))</f>
        <v/>
      </c>
      <c r="BV104" s="15">
        <f>100*(1-(1-X104*(1-EXP(-((AI104*9/10)+(BK104))/Y104)))*(1-MIN(ABS(in_elas)*W104*R104*(AI104*9/10)/V104,1)))</f>
        <v/>
      </c>
      <c r="BW104" s="15">
        <f>100*(1-(1-X104*(1-EXP(-((AI104*10/10)+(BL104))/Y104)))*(1-MIN(ABS(in_elas)*W104*R104*(AI104*10/10)/V104,1)))</f>
        <v/>
      </c>
    </row>
    <row r="105">
      <c r="A105" s="17" t="inlineStr">
        <is>
          <t>MLI</t>
        </is>
      </c>
      <c r="B105" s="17">
        <f>INDEX(Data!$B:$B,MATCH($A105,Data!$A:$A,0))</f>
        <v/>
      </c>
      <c r="C105" s="17">
        <f>INDEX(Data!$D:$D,MATCH($A105,Data!$A:$A,0))</f>
        <v/>
      </c>
      <c r="D105" s="16">
        <f>SUMIFS(Data!$G:$G,Data!$A:$A,$A105,Data!$F:$F,"gen_coal_twh")</f>
        <v/>
      </c>
      <c r="E105" s="16">
        <f>SUMIFS(Data!$G:$G,Data!$A:$A,$A105,Data!$F:$F,"gen_gas_twh")</f>
        <v/>
      </c>
      <c r="F105" s="16">
        <f>SUMIFS(Data!$G:$G,Data!$A:$A,$A105,Data!$F:$F,"gen_oil_twh")</f>
        <v/>
      </c>
      <c r="G105" s="16">
        <f>SUMIFS(Data!$G:$G,Data!$A:$A,$A105,Data!$F:$F,"gen_total_twh")</f>
        <v/>
      </c>
      <c r="H105" s="16">
        <f>SUMIFS(Data!$G:$G,Data!$A:$A,$A105,Data!$F:$F,"em_coal_mt")</f>
        <v/>
      </c>
      <c r="I105" s="16">
        <f>SUMIFS(Data!$G:$G,Data!$A:$A,$A105,Data!$F:$F,"em_gas_mt")</f>
        <v/>
      </c>
      <c r="J105" s="16">
        <f>SUMIFS(Data!$G:$G,Data!$A:$A,$A105,Data!$F:$F,"em_oil_mt")</f>
        <v/>
      </c>
      <c r="K105" s="28">
        <f>IF(COUNTIFS(Data!$A:$A,$A105,Data!$F:$F,"price_electricity_residential_usd_kwh")=0,"",SUMIFS(Data!$G:$G,Data!$A:$A,$A105,Data!$F:$F,"price_electricity_residential_usd_kwh"))</f>
        <v/>
      </c>
      <c r="L105" s="28">
        <f>IF(COUNTIFS(Data!$A:$A,$A105,Data!$F:$F,"price_coal_power_usd_gj")=0,"",SUMIFS(Data!$G:$G,Data!$A:$A,$A105,Data!$F:$F,"price_coal_power_usd_gj"))</f>
        <v/>
      </c>
      <c r="M105" s="28">
        <f>IF(COUNTIFS(Data!$A:$A,$A105,Data!$F:$F,"price_gas_power_usd_gj")=0,"",SUMIFS(Data!$G:$G,Data!$A:$A,$A105,Data!$F:$F,"price_gas_power_usd_gj"))</f>
        <v/>
      </c>
      <c r="N105" s="28">
        <f>IF(COUNTIFS(Data!$A:$A,$A105,Data!$F:$F,"price_gas_industry_usd_gj")=0,"",SUMIFS(Data!$G:$G,Data!$A:$A,$A105,Data!$F:$F,"price_gas_industry_usd_gj"))</f>
        <v/>
      </c>
      <c r="O105" s="28">
        <f>IF(COUNTIFS(Data!$A:$A,$A105,Data!$F:$F,"power_market_structure")=0,"",SUMIFS(Data!$G:$G,Data!$A:$A,$A105,Data!$F:$F,"power_market_structure"))</f>
        <v/>
      </c>
      <c r="P105" s="28">
        <f>IF(COUNTIFS(Data!$A:$A,$A105,Data!$F:$F,"rise_renewable_energy_score")=0,"",SUMIFS(Data!$G:$G,Data!$A:$A,$A105,Data!$F:$F,"rise_renewable_energy_score"))</f>
        <v/>
      </c>
      <c r="Q105" s="16">
        <f>H105+I105+J105</f>
        <v/>
      </c>
      <c r="R105" s="28">
        <f>Q105/G105</f>
        <v/>
      </c>
      <c r="S105" s="28">
        <f>IF(D105&gt;0,H105/D105,0.85)</f>
        <v/>
      </c>
      <c r="T105" s="28">
        <f>IF(E105&gt;0,I105/E105,0.4)</f>
        <v/>
      </c>
      <c r="U105" s="28">
        <f>IF(D105+F105&gt;0,(H105+J105)/(D105+F105),0)</f>
        <v/>
      </c>
      <c r="V105" s="16">
        <f>K105*1000</f>
        <v/>
      </c>
      <c r="W105" s="15">
        <f>IF(O105=3,in_pt3,IF(O105=2,in_pt2,IF(O105=1,in_pt1,IF(C105="High income",in_pt_hi,in_pt_oth))))</f>
        <v/>
      </c>
      <c r="X105" s="28">
        <f>IF(Q105&gt;0,in_kappa*(in_rise_lo+(in_rise_hi-in_rise_lo)*IF(P105="",in_rise_miss,P105)/100)*(D105+F105)*MAX(U105-in_gas_rep*T105,0)/Q105,0)</f>
        <v/>
      </c>
      <c r="Y105" s="16">
        <f>IF(IF(M105="",N105,M105)="",MAX(in_sw_floor,in_sw_miss),MAX(in_sw_floor,(IF(M105="",N105,M105)*in_hr_gas-L105*in_hr_coal)/MAX(S105-T105,0.1)))</f>
        <v/>
      </c>
      <c r="Z105" s="28">
        <f>IF(C105="Low income",in_b40_li,IF(C105="Lower middle income",in_b40_lmi,IF(C105="Upper middle income",in_b40_umi,IF(C105="High income",in_b40_hi,0.03))))</f>
        <v/>
      </c>
      <c r="AA105" s="15">
        <f>(D105+F105)/G105</f>
        <v/>
      </c>
      <c r="AB105" s="28">
        <f>100*W105*R105/V105/in_phase</f>
        <v/>
      </c>
      <c r="AC105" s="29">
        <f>100*Z105*W105*R105/V105*(1-IF(W105&gt;0,MIN(in_rebate/(W105*in_res_sh*in_q40),1),1))</f>
        <v/>
      </c>
      <c r="AD105" s="28">
        <f>IF(AA105&gt;0,100*U105*(1-W105)/(in_whole_sh*V105),0)</f>
        <v/>
      </c>
      <c r="AE105" s="28">
        <f>IF(AA105&gt;0,100*MAX(U105-R105,0)/(in_whole_sh*V105),0)</f>
        <v/>
      </c>
      <c r="AF105" s="16">
        <f>IF(AB105&gt;0,in_f1/AB105,in_cap)</f>
        <v/>
      </c>
      <c r="AG105" s="16">
        <f>IF(AC105&gt;0,in_f2/AC105,in_cap)</f>
        <v/>
      </c>
      <c r="AH105" s="16">
        <f>IF(AD105&gt;0,in_f3/AD105,in_cap)</f>
        <v/>
      </c>
      <c r="AI105" s="16">
        <f>MIN(in_cap,AF105,AG105,AH105)</f>
        <v/>
      </c>
      <c r="AJ105" s="30">
        <f>100*(1-(1-X105*(1-EXP(-((AI105)+(0))/Y105)))*(1-MIN(ABS(in_elas)*W105*R105*(AI105)/V105,1)))</f>
        <v/>
      </c>
      <c r="AK105" s="17">
        <f>IF(AI105&gt;=in_cap-1E-9,"rate cap",TRIM(IF(ABS(AI105-AF105)&lt;1E-9,"F1 ","")&amp;IF(ABS(AI105-AG105)&lt;1E-9,"F2 ","")&amp;IF(ABS(AI105-AH105)&lt;1E-9,"F3","")))</f>
        <v/>
      </c>
      <c r="AL105" s="15">
        <f>100*(1-(1-X105*(1-EXP(-((MIN(in_cap,IF(AB105&gt;0,(in_f1+1)/AB105,in_cap),AG105,AH105))+(0))/Y105)))*(1-MIN(ABS(in_elas)*W105*R105*(MIN(in_cap,IF(AB105&gt;0,(in_f1+1)/AB105,in_cap),AG105,AH105))/V105,1)))-AJ105</f>
        <v/>
      </c>
      <c r="AM105" s="16">
        <f>MIN(in_cap,IF(AE105&gt;0,in_f3/AE105,in_cap))</f>
        <v/>
      </c>
      <c r="AN105" s="30">
        <f>100*(1-(1-X105*(1-EXP(-((0)+(AM105))/Y105)))*(1-MIN(ABS(in_elas)*W105*R105*(0)/V105,1)))</f>
        <v/>
      </c>
      <c r="AO105" s="17">
        <f>IF(AM105&gt;=in_cap-1E-9,"rate cap","F3")</f>
        <v/>
      </c>
      <c r="AP105" s="15">
        <f>100*(1-(1-X105*(1-EXP(-((50)+(0))/Y105)))*(1-MIN(ABS(in_elas)*W105*R105*(50)/V105,1)))</f>
        <v/>
      </c>
      <c r="AQ105" s="15">
        <f>100*(1-(1-X105*(1-EXP(-((0)+(50))/Y105)))*(1-MIN(ABS(in_elas)*W105*R105*(0)/V105,1)))</f>
        <v/>
      </c>
      <c r="AR105" s="15">
        <f>IF(AP105&gt;0,AQ105/AP105,"")</f>
        <v/>
      </c>
      <c r="AS105" s="16">
        <f>50*AB105</f>
        <v/>
      </c>
      <c r="AT105" s="30">
        <f>MAX(BM105:BW105)</f>
        <v/>
      </c>
      <c r="AU105" s="31">
        <f>AI105*(MATCH(AT105,BM105:BW105,0)-1)/10</f>
        <v/>
      </c>
      <c r="AV105" s="31">
        <f>INDEX(BB105:BL105,1,(MATCH(AT105,BM105:BW105,0)-1)+1)</f>
        <v/>
      </c>
      <c r="AW105" s="31">
        <f>AB105*AU105</f>
        <v/>
      </c>
      <c r="AX105" s="30">
        <f>AC105*AU105</f>
        <v/>
      </c>
      <c r="AY105" s="31">
        <f>AD105*AU105+AE105*AV105</f>
        <v/>
      </c>
      <c r="AZ105" s="32">
        <f>TRIM(IF(AND(AU105&gt;0,ABS(AU105-AF105)&lt;1E-6),"F1 ","")&amp;IF(AND(AU105&gt;0,ABS(AU105-AG105)&lt;1E-6),"F2 ","")&amp;IF(AY105&gt;=in_f3-1E-6,"F3 ","")&amp;IF(AV105&gt;=in_cap-1E-9,"rate cap",""))</f>
        <v/>
      </c>
      <c r="BA105" s="31">
        <f>Q105*AT105/100</f>
        <v/>
      </c>
      <c r="BB105" s="16">
        <f>MAX(0,MIN(in_cap,IF(AE105&gt;0,(in_f3-AD105*AI105*0/10)/AE105,in_cap)))</f>
        <v/>
      </c>
      <c r="BC105" s="16">
        <f>MAX(0,MIN(in_cap,IF(AE105&gt;0,(in_f3-AD105*AI105*1/10)/AE105,in_cap)))</f>
        <v/>
      </c>
      <c r="BD105" s="16">
        <f>MAX(0,MIN(in_cap,IF(AE105&gt;0,(in_f3-AD105*AI105*2/10)/AE105,in_cap)))</f>
        <v/>
      </c>
      <c r="BE105" s="16">
        <f>MAX(0,MIN(in_cap,IF(AE105&gt;0,(in_f3-AD105*AI105*3/10)/AE105,in_cap)))</f>
        <v/>
      </c>
      <c r="BF105" s="16">
        <f>MAX(0,MIN(in_cap,IF(AE105&gt;0,(in_f3-AD105*AI105*4/10)/AE105,in_cap)))</f>
        <v/>
      </c>
      <c r="BG105" s="16">
        <f>MAX(0,MIN(in_cap,IF(AE105&gt;0,(in_f3-AD105*AI105*5/10)/AE105,in_cap)))</f>
        <v/>
      </c>
      <c r="BH105" s="16">
        <f>MAX(0,MIN(in_cap,IF(AE105&gt;0,(in_f3-AD105*AI105*6/10)/AE105,in_cap)))</f>
        <v/>
      </c>
      <c r="BI105" s="16">
        <f>MAX(0,MIN(in_cap,IF(AE105&gt;0,(in_f3-AD105*AI105*7/10)/AE105,in_cap)))</f>
        <v/>
      </c>
      <c r="BJ105" s="16">
        <f>MAX(0,MIN(in_cap,IF(AE105&gt;0,(in_f3-AD105*AI105*8/10)/AE105,in_cap)))</f>
        <v/>
      </c>
      <c r="BK105" s="16">
        <f>MAX(0,MIN(in_cap,IF(AE105&gt;0,(in_f3-AD105*AI105*9/10)/AE105,in_cap)))</f>
        <v/>
      </c>
      <c r="BL105" s="16">
        <f>MAX(0,MIN(in_cap,IF(AE105&gt;0,(in_f3-AD105*AI105*10/10)/AE105,in_cap)))</f>
        <v/>
      </c>
      <c r="BM105" s="15">
        <f>100*(1-(1-X105*(1-EXP(-((AI105*0/10)+(BB105))/Y105)))*(1-MIN(ABS(in_elas)*W105*R105*(AI105*0/10)/V105,1)))</f>
        <v/>
      </c>
      <c r="BN105" s="15">
        <f>100*(1-(1-X105*(1-EXP(-((AI105*1/10)+(BC105))/Y105)))*(1-MIN(ABS(in_elas)*W105*R105*(AI105*1/10)/V105,1)))</f>
        <v/>
      </c>
      <c r="BO105" s="15">
        <f>100*(1-(1-X105*(1-EXP(-((AI105*2/10)+(BD105))/Y105)))*(1-MIN(ABS(in_elas)*W105*R105*(AI105*2/10)/V105,1)))</f>
        <v/>
      </c>
      <c r="BP105" s="15">
        <f>100*(1-(1-X105*(1-EXP(-((AI105*3/10)+(BE105))/Y105)))*(1-MIN(ABS(in_elas)*W105*R105*(AI105*3/10)/V105,1)))</f>
        <v/>
      </c>
      <c r="BQ105" s="15">
        <f>100*(1-(1-X105*(1-EXP(-((AI105*4/10)+(BF105))/Y105)))*(1-MIN(ABS(in_elas)*W105*R105*(AI105*4/10)/V105,1)))</f>
        <v/>
      </c>
      <c r="BR105" s="15">
        <f>100*(1-(1-X105*(1-EXP(-((AI105*5/10)+(BG105))/Y105)))*(1-MIN(ABS(in_elas)*W105*R105*(AI105*5/10)/V105,1)))</f>
        <v/>
      </c>
      <c r="BS105" s="15">
        <f>100*(1-(1-X105*(1-EXP(-((AI105*6/10)+(BH105))/Y105)))*(1-MIN(ABS(in_elas)*W105*R105*(AI105*6/10)/V105,1)))</f>
        <v/>
      </c>
      <c r="BT105" s="15">
        <f>100*(1-(1-X105*(1-EXP(-((AI105*7/10)+(BI105))/Y105)))*(1-MIN(ABS(in_elas)*W105*R105*(AI105*7/10)/V105,1)))</f>
        <v/>
      </c>
      <c r="BU105" s="15">
        <f>100*(1-(1-X105*(1-EXP(-((AI105*8/10)+(BJ105))/Y105)))*(1-MIN(ABS(in_elas)*W105*R105*(AI105*8/10)/V105,1)))</f>
        <v/>
      </c>
      <c r="BV105" s="15">
        <f>100*(1-(1-X105*(1-EXP(-((AI105*9/10)+(BK105))/Y105)))*(1-MIN(ABS(in_elas)*W105*R105*(AI105*9/10)/V105,1)))</f>
        <v/>
      </c>
      <c r="BW105" s="15">
        <f>100*(1-(1-X105*(1-EXP(-((AI105*10/10)+(BL105))/Y105)))*(1-MIN(ABS(in_elas)*W105*R105*(AI105*10/10)/V105,1)))</f>
        <v/>
      </c>
    </row>
    <row r="106">
      <c r="A106" s="17" t="inlineStr">
        <is>
          <t>MLT</t>
        </is>
      </c>
      <c r="B106" s="17">
        <f>INDEX(Data!$B:$B,MATCH($A106,Data!$A:$A,0))</f>
        <v/>
      </c>
      <c r="C106" s="17">
        <f>INDEX(Data!$D:$D,MATCH($A106,Data!$A:$A,0))</f>
        <v/>
      </c>
      <c r="D106" s="16">
        <f>SUMIFS(Data!$G:$G,Data!$A:$A,$A106,Data!$F:$F,"gen_coal_twh")</f>
        <v/>
      </c>
      <c r="E106" s="16">
        <f>SUMIFS(Data!$G:$G,Data!$A:$A,$A106,Data!$F:$F,"gen_gas_twh")</f>
        <v/>
      </c>
      <c r="F106" s="16">
        <f>SUMIFS(Data!$G:$G,Data!$A:$A,$A106,Data!$F:$F,"gen_oil_twh")</f>
        <v/>
      </c>
      <c r="G106" s="16">
        <f>SUMIFS(Data!$G:$G,Data!$A:$A,$A106,Data!$F:$F,"gen_total_twh")</f>
        <v/>
      </c>
      <c r="H106" s="16">
        <f>SUMIFS(Data!$G:$G,Data!$A:$A,$A106,Data!$F:$F,"em_coal_mt")</f>
        <v/>
      </c>
      <c r="I106" s="16">
        <f>SUMIFS(Data!$G:$G,Data!$A:$A,$A106,Data!$F:$F,"em_gas_mt")</f>
        <v/>
      </c>
      <c r="J106" s="16">
        <f>SUMIFS(Data!$G:$G,Data!$A:$A,$A106,Data!$F:$F,"em_oil_mt")</f>
        <v/>
      </c>
      <c r="K106" s="28">
        <f>IF(COUNTIFS(Data!$A:$A,$A106,Data!$F:$F,"price_electricity_residential_usd_kwh")=0,"",SUMIFS(Data!$G:$G,Data!$A:$A,$A106,Data!$F:$F,"price_electricity_residential_usd_kwh"))</f>
        <v/>
      </c>
      <c r="L106" s="28">
        <f>IF(COUNTIFS(Data!$A:$A,$A106,Data!$F:$F,"price_coal_power_usd_gj")=0,"",SUMIFS(Data!$G:$G,Data!$A:$A,$A106,Data!$F:$F,"price_coal_power_usd_gj"))</f>
        <v/>
      </c>
      <c r="M106" s="28">
        <f>IF(COUNTIFS(Data!$A:$A,$A106,Data!$F:$F,"price_gas_power_usd_gj")=0,"",SUMIFS(Data!$G:$G,Data!$A:$A,$A106,Data!$F:$F,"price_gas_power_usd_gj"))</f>
        <v/>
      </c>
      <c r="N106" s="28">
        <f>IF(COUNTIFS(Data!$A:$A,$A106,Data!$F:$F,"price_gas_industry_usd_gj")=0,"",SUMIFS(Data!$G:$G,Data!$A:$A,$A106,Data!$F:$F,"price_gas_industry_usd_gj"))</f>
        <v/>
      </c>
      <c r="O106" s="28">
        <f>IF(COUNTIFS(Data!$A:$A,$A106,Data!$F:$F,"power_market_structure")=0,"",SUMIFS(Data!$G:$G,Data!$A:$A,$A106,Data!$F:$F,"power_market_structure"))</f>
        <v/>
      </c>
      <c r="P106" s="28">
        <f>IF(COUNTIFS(Data!$A:$A,$A106,Data!$F:$F,"rise_renewable_energy_score")=0,"",SUMIFS(Data!$G:$G,Data!$A:$A,$A106,Data!$F:$F,"rise_renewable_energy_score"))</f>
        <v/>
      </c>
      <c r="Q106" s="16">
        <f>H106+I106+J106</f>
        <v/>
      </c>
      <c r="R106" s="28">
        <f>Q106/G106</f>
        <v/>
      </c>
      <c r="S106" s="28">
        <f>IF(D106&gt;0,H106/D106,0.85)</f>
        <v/>
      </c>
      <c r="T106" s="28">
        <f>IF(E106&gt;0,I106/E106,0.4)</f>
        <v/>
      </c>
      <c r="U106" s="28">
        <f>IF(D106+F106&gt;0,(H106+J106)/(D106+F106),0)</f>
        <v/>
      </c>
      <c r="V106" s="16">
        <f>K106*1000</f>
        <v/>
      </c>
      <c r="W106" s="15">
        <f>IF(O106=3,in_pt3,IF(O106=2,in_pt2,IF(O106=1,in_pt1,IF(C106="High income",in_pt_hi,in_pt_oth))))</f>
        <v/>
      </c>
      <c r="X106" s="28">
        <f>IF(Q106&gt;0,in_kappa*(in_rise_lo+(in_rise_hi-in_rise_lo)*IF(P106="",in_rise_miss,P106)/100)*(D106+F106)*MAX(U106-in_gas_rep*T106,0)/Q106,0)</f>
        <v/>
      </c>
      <c r="Y106" s="16">
        <f>IF(IF(M106="",N106,M106)="",MAX(in_sw_floor,in_sw_miss),MAX(in_sw_floor,(IF(M106="",N106,M106)*in_hr_gas-L106*in_hr_coal)/MAX(S106-T106,0.1)))</f>
        <v/>
      </c>
      <c r="Z106" s="28">
        <f>IF(C106="Low income",in_b40_li,IF(C106="Lower middle income",in_b40_lmi,IF(C106="Upper middle income",in_b40_umi,IF(C106="High income",in_b40_hi,0.03))))</f>
        <v/>
      </c>
      <c r="AA106" s="15">
        <f>(D106+F106)/G106</f>
        <v/>
      </c>
      <c r="AB106" s="28">
        <f>100*W106*R106/V106/in_phase</f>
        <v/>
      </c>
      <c r="AC106" s="29">
        <f>100*Z106*W106*R106/V106*(1-IF(W106&gt;0,MIN(in_rebate/(W106*in_res_sh*in_q40),1),1))</f>
        <v/>
      </c>
      <c r="AD106" s="28">
        <f>IF(AA106&gt;0,100*U106*(1-W106)/(in_whole_sh*V106),0)</f>
        <v/>
      </c>
      <c r="AE106" s="28">
        <f>IF(AA106&gt;0,100*MAX(U106-R106,0)/(in_whole_sh*V106),0)</f>
        <v/>
      </c>
      <c r="AF106" s="16">
        <f>IF(AB106&gt;0,in_f1/AB106,in_cap)</f>
        <v/>
      </c>
      <c r="AG106" s="16">
        <f>IF(AC106&gt;0,in_f2/AC106,in_cap)</f>
        <v/>
      </c>
      <c r="AH106" s="16">
        <f>IF(AD106&gt;0,in_f3/AD106,in_cap)</f>
        <v/>
      </c>
      <c r="AI106" s="16">
        <f>MIN(in_cap,AF106,AG106,AH106)</f>
        <v/>
      </c>
      <c r="AJ106" s="30">
        <f>100*(1-(1-X106*(1-EXP(-((AI106)+(0))/Y106)))*(1-MIN(ABS(in_elas)*W106*R106*(AI106)/V106,1)))</f>
        <v/>
      </c>
      <c r="AK106" s="17">
        <f>IF(AI106&gt;=in_cap-1E-9,"rate cap",TRIM(IF(ABS(AI106-AF106)&lt;1E-9,"F1 ","")&amp;IF(ABS(AI106-AG106)&lt;1E-9,"F2 ","")&amp;IF(ABS(AI106-AH106)&lt;1E-9,"F3","")))</f>
        <v/>
      </c>
      <c r="AL106" s="15">
        <f>100*(1-(1-X106*(1-EXP(-((MIN(in_cap,IF(AB106&gt;0,(in_f1+1)/AB106,in_cap),AG106,AH106))+(0))/Y106)))*(1-MIN(ABS(in_elas)*W106*R106*(MIN(in_cap,IF(AB106&gt;0,(in_f1+1)/AB106,in_cap),AG106,AH106))/V106,1)))-AJ106</f>
        <v/>
      </c>
      <c r="AM106" s="16">
        <f>MIN(in_cap,IF(AE106&gt;0,in_f3/AE106,in_cap))</f>
        <v/>
      </c>
      <c r="AN106" s="30">
        <f>100*(1-(1-X106*(1-EXP(-((0)+(AM106))/Y106)))*(1-MIN(ABS(in_elas)*W106*R106*(0)/V106,1)))</f>
        <v/>
      </c>
      <c r="AO106" s="17">
        <f>IF(AM106&gt;=in_cap-1E-9,"rate cap","F3")</f>
        <v/>
      </c>
      <c r="AP106" s="15">
        <f>100*(1-(1-X106*(1-EXP(-((50)+(0))/Y106)))*(1-MIN(ABS(in_elas)*W106*R106*(50)/V106,1)))</f>
        <v/>
      </c>
      <c r="AQ106" s="15">
        <f>100*(1-(1-X106*(1-EXP(-((0)+(50))/Y106)))*(1-MIN(ABS(in_elas)*W106*R106*(0)/V106,1)))</f>
        <v/>
      </c>
      <c r="AR106" s="15">
        <f>IF(AP106&gt;0,AQ106/AP106,"")</f>
        <v/>
      </c>
      <c r="AS106" s="16">
        <f>50*AB106</f>
        <v/>
      </c>
      <c r="AT106" s="30">
        <f>MAX(BM106:BW106)</f>
        <v/>
      </c>
      <c r="AU106" s="31">
        <f>AI106*(MATCH(AT106,BM106:BW106,0)-1)/10</f>
        <v/>
      </c>
      <c r="AV106" s="31">
        <f>INDEX(BB106:BL106,1,(MATCH(AT106,BM106:BW106,0)-1)+1)</f>
        <v/>
      </c>
      <c r="AW106" s="31">
        <f>AB106*AU106</f>
        <v/>
      </c>
      <c r="AX106" s="30">
        <f>AC106*AU106</f>
        <v/>
      </c>
      <c r="AY106" s="31">
        <f>AD106*AU106+AE106*AV106</f>
        <v/>
      </c>
      <c r="AZ106" s="32">
        <f>TRIM(IF(AND(AU106&gt;0,ABS(AU106-AF106)&lt;1E-6),"F1 ","")&amp;IF(AND(AU106&gt;0,ABS(AU106-AG106)&lt;1E-6),"F2 ","")&amp;IF(AY106&gt;=in_f3-1E-6,"F3 ","")&amp;IF(AV106&gt;=in_cap-1E-9,"rate cap",""))</f>
        <v/>
      </c>
      <c r="BA106" s="31">
        <f>Q106*AT106/100</f>
        <v/>
      </c>
      <c r="BB106" s="16">
        <f>MAX(0,MIN(in_cap,IF(AE106&gt;0,(in_f3-AD106*AI106*0/10)/AE106,in_cap)))</f>
        <v/>
      </c>
      <c r="BC106" s="16">
        <f>MAX(0,MIN(in_cap,IF(AE106&gt;0,(in_f3-AD106*AI106*1/10)/AE106,in_cap)))</f>
        <v/>
      </c>
      <c r="BD106" s="16">
        <f>MAX(0,MIN(in_cap,IF(AE106&gt;0,(in_f3-AD106*AI106*2/10)/AE106,in_cap)))</f>
        <v/>
      </c>
      <c r="BE106" s="16">
        <f>MAX(0,MIN(in_cap,IF(AE106&gt;0,(in_f3-AD106*AI106*3/10)/AE106,in_cap)))</f>
        <v/>
      </c>
      <c r="BF106" s="16">
        <f>MAX(0,MIN(in_cap,IF(AE106&gt;0,(in_f3-AD106*AI106*4/10)/AE106,in_cap)))</f>
        <v/>
      </c>
      <c r="BG106" s="16">
        <f>MAX(0,MIN(in_cap,IF(AE106&gt;0,(in_f3-AD106*AI106*5/10)/AE106,in_cap)))</f>
        <v/>
      </c>
      <c r="BH106" s="16">
        <f>MAX(0,MIN(in_cap,IF(AE106&gt;0,(in_f3-AD106*AI106*6/10)/AE106,in_cap)))</f>
        <v/>
      </c>
      <c r="BI106" s="16">
        <f>MAX(0,MIN(in_cap,IF(AE106&gt;0,(in_f3-AD106*AI106*7/10)/AE106,in_cap)))</f>
        <v/>
      </c>
      <c r="BJ106" s="16">
        <f>MAX(0,MIN(in_cap,IF(AE106&gt;0,(in_f3-AD106*AI106*8/10)/AE106,in_cap)))</f>
        <v/>
      </c>
      <c r="BK106" s="16">
        <f>MAX(0,MIN(in_cap,IF(AE106&gt;0,(in_f3-AD106*AI106*9/10)/AE106,in_cap)))</f>
        <v/>
      </c>
      <c r="BL106" s="16">
        <f>MAX(0,MIN(in_cap,IF(AE106&gt;0,(in_f3-AD106*AI106*10/10)/AE106,in_cap)))</f>
        <v/>
      </c>
      <c r="BM106" s="15">
        <f>100*(1-(1-X106*(1-EXP(-((AI106*0/10)+(BB106))/Y106)))*(1-MIN(ABS(in_elas)*W106*R106*(AI106*0/10)/V106,1)))</f>
        <v/>
      </c>
      <c r="BN106" s="15">
        <f>100*(1-(1-X106*(1-EXP(-((AI106*1/10)+(BC106))/Y106)))*(1-MIN(ABS(in_elas)*W106*R106*(AI106*1/10)/V106,1)))</f>
        <v/>
      </c>
      <c r="BO106" s="15">
        <f>100*(1-(1-X106*(1-EXP(-((AI106*2/10)+(BD106))/Y106)))*(1-MIN(ABS(in_elas)*W106*R106*(AI106*2/10)/V106,1)))</f>
        <v/>
      </c>
      <c r="BP106" s="15">
        <f>100*(1-(1-X106*(1-EXP(-((AI106*3/10)+(BE106))/Y106)))*(1-MIN(ABS(in_elas)*W106*R106*(AI106*3/10)/V106,1)))</f>
        <v/>
      </c>
      <c r="BQ106" s="15">
        <f>100*(1-(1-X106*(1-EXP(-((AI106*4/10)+(BF106))/Y106)))*(1-MIN(ABS(in_elas)*W106*R106*(AI106*4/10)/V106,1)))</f>
        <v/>
      </c>
      <c r="BR106" s="15">
        <f>100*(1-(1-X106*(1-EXP(-((AI106*5/10)+(BG106))/Y106)))*(1-MIN(ABS(in_elas)*W106*R106*(AI106*5/10)/V106,1)))</f>
        <v/>
      </c>
      <c r="BS106" s="15">
        <f>100*(1-(1-X106*(1-EXP(-((AI106*6/10)+(BH106))/Y106)))*(1-MIN(ABS(in_elas)*W106*R106*(AI106*6/10)/V106,1)))</f>
        <v/>
      </c>
      <c r="BT106" s="15">
        <f>100*(1-(1-X106*(1-EXP(-((AI106*7/10)+(BI106))/Y106)))*(1-MIN(ABS(in_elas)*W106*R106*(AI106*7/10)/V106,1)))</f>
        <v/>
      </c>
      <c r="BU106" s="15">
        <f>100*(1-(1-X106*(1-EXP(-((AI106*8/10)+(BJ106))/Y106)))*(1-MIN(ABS(in_elas)*W106*R106*(AI106*8/10)/V106,1)))</f>
        <v/>
      </c>
      <c r="BV106" s="15">
        <f>100*(1-(1-X106*(1-EXP(-((AI106*9/10)+(BK106))/Y106)))*(1-MIN(ABS(in_elas)*W106*R106*(AI106*9/10)/V106,1)))</f>
        <v/>
      </c>
      <c r="BW106" s="15">
        <f>100*(1-(1-X106*(1-EXP(-((AI106*10/10)+(BL106))/Y106)))*(1-MIN(ABS(in_elas)*W106*R106*(AI106*10/10)/V106,1)))</f>
        <v/>
      </c>
    </row>
    <row r="107">
      <c r="A107" s="17" t="inlineStr">
        <is>
          <t>MMR</t>
        </is>
      </c>
      <c r="B107" s="17">
        <f>INDEX(Data!$B:$B,MATCH($A107,Data!$A:$A,0))</f>
        <v/>
      </c>
      <c r="C107" s="17">
        <f>INDEX(Data!$D:$D,MATCH($A107,Data!$A:$A,0))</f>
        <v/>
      </c>
      <c r="D107" s="16">
        <f>SUMIFS(Data!$G:$G,Data!$A:$A,$A107,Data!$F:$F,"gen_coal_twh")</f>
        <v/>
      </c>
      <c r="E107" s="16">
        <f>SUMIFS(Data!$G:$G,Data!$A:$A,$A107,Data!$F:$F,"gen_gas_twh")</f>
        <v/>
      </c>
      <c r="F107" s="16">
        <f>SUMIFS(Data!$G:$G,Data!$A:$A,$A107,Data!$F:$F,"gen_oil_twh")</f>
        <v/>
      </c>
      <c r="G107" s="16">
        <f>SUMIFS(Data!$G:$G,Data!$A:$A,$A107,Data!$F:$F,"gen_total_twh")</f>
        <v/>
      </c>
      <c r="H107" s="16">
        <f>SUMIFS(Data!$G:$G,Data!$A:$A,$A107,Data!$F:$F,"em_coal_mt")</f>
        <v/>
      </c>
      <c r="I107" s="16">
        <f>SUMIFS(Data!$G:$G,Data!$A:$A,$A107,Data!$F:$F,"em_gas_mt")</f>
        <v/>
      </c>
      <c r="J107" s="16">
        <f>SUMIFS(Data!$G:$G,Data!$A:$A,$A107,Data!$F:$F,"em_oil_mt")</f>
        <v/>
      </c>
      <c r="K107" s="28">
        <f>IF(COUNTIFS(Data!$A:$A,$A107,Data!$F:$F,"price_electricity_residential_usd_kwh")=0,"",SUMIFS(Data!$G:$G,Data!$A:$A,$A107,Data!$F:$F,"price_electricity_residential_usd_kwh"))</f>
        <v/>
      </c>
      <c r="L107" s="28">
        <f>IF(COUNTIFS(Data!$A:$A,$A107,Data!$F:$F,"price_coal_power_usd_gj")=0,"",SUMIFS(Data!$G:$G,Data!$A:$A,$A107,Data!$F:$F,"price_coal_power_usd_gj"))</f>
        <v/>
      </c>
      <c r="M107" s="28">
        <f>IF(COUNTIFS(Data!$A:$A,$A107,Data!$F:$F,"price_gas_power_usd_gj")=0,"",SUMIFS(Data!$G:$G,Data!$A:$A,$A107,Data!$F:$F,"price_gas_power_usd_gj"))</f>
        <v/>
      </c>
      <c r="N107" s="28">
        <f>IF(COUNTIFS(Data!$A:$A,$A107,Data!$F:$F,"price_gas_industry_usd_gj")=0,"",SUMIFS(Data!$G:$G,Data!$A:$A,$A107,Data!$F:$F,"price_gas_industry_usd_gj"))</f>
        <v/>
      </c>
      <c r="O107" s="28">
        <f>IF(COUNTIFS(Data!$A:$A,$A107,Data!$F:$F,"power_market_structure")=0,"",SUMIFS(Data!$G:$G,Data!$A:$A,$A107,Data!$F:$F,"power_market_structure"))</f>
        <v/>
      </c>
      <c r="P107" s="28">
        <f>IF(COUNTIFS(Data!$A:$A,$A107,Data!$F:$F,"rise_renewable_energy_score")=0,"",SUMIFS(Data!$G:$G,Data!$A:$A,$A107,Data!$F:$F,"rise_renewable_energy_score"))</f>
        <v/>
      </c>
      <c r="Q107" s="16">
        <f>H107+I107+J107</f>
        <v/>
      </c>
      <c r="R107" s="28">
        <f>Q107/G107</f>
        <v/>
      </c>
      <c r="S107" s="28">
        <f>IF(D107&gt;0,H107/D107,0.85)</f>
        <v/>
      </c>
      <c r="T107" s="28">
        <f>IF(E107&gt;0,I107/E107,0.4)</f>
        <v/>
      </c>
      <c r="U107" s="28">
        <f>IF(D107+F107&gt;0,(H107+J107)/(D107+F107),0)</f>
        <v/>
      </c>
      <c r="V107" s="16">
        <f>K107*1000</f>
        <v/>
      </c>
      <c r="W107" s="15">
        <f>IF(O107=3,in_pt3,IF(O107=2,in_pt2,IF(O107=1,in_pt1,IF(C107="High income",in_pt_hi,in_pt_oth))))</f>
        <v/>
      </c>
      <c r="X107" s="28">
        <f>IF(Q107&gt;0,in_kappa*(in_rise_lo+(in_rise_hi-in_rise_lo)*IF(P107="",in_rise_miss,P107)/100)*(D107+F107)*MAX(U107-in_gas_rep*T107,0)/Q107,0)</f>
        <v/>
      </c>
      <c r="Y107" s="16">
        <f>IF(IF(M107="",N107,M107)="",MAX(in_sw_floor,in_sw_miss),MAX(in_sw_floor,(IF(M107="",N107,M107)*in_hr_gas-L107*in_hr_coal)/MAX(S107-T107,0.1)))</f>
        <v/>
      </c>
      <c r="Z107" s="28">
        <f>IF(C107="Low income",in_b40_li,IF(C107="Lower middle income",in_b40_lmi,IF(C107="Upper middle income",in_b40_umi,IF(C107="High income",in_b40_hi,0.03))))</f>
        <v/>
      </c>
      <c r="AA107" s="15">
        <f>(D107+F107)/G107</f>
        <v/>
      </c>
      <c r="AB107" s="28">
        <f>100*W107*R107/V107/in_phase</f>
        <v/>
      </c>
      <c r="AC107" s="29">
        <f>100*Z107*W107*R107/V107*(1-IF(W107&gt;0,MIN(in_rebate/(W107*in_res_sh*in_q40),1),1))</f>
        <v/>
      </c>
      <c r="AD107" s="28">
        <f>IF(AA107&gt;0,100*U107*(1-W107)/(in_whole_sh*V107),0)</f>
        <v/>
      </c>
      <c r="AE107" s="28">
        <f>IF(AA107&gt;0,100*MAX(U107-R107,0)/(in_whole_sh*V107),0)</f>
        <v/>
      </c>
      <c r="AF107" s="16">
        <f>IF(AB107&gt;0,in_f1/AB107,in_cap)</f>
        <v/>
      </c>
      <c r="AG107" s="16">
        <f>IF(AC107&gt;0,in_f2/AC107,in_cap)</f>
        <v/>
      </c>
      <c r="AH107" s="16">
        <f>IF(AD107&gt;0,in_f3/AD107,in_cap)</f>
        <v/>
      </c>
      <c r="AI107" s="16">
        <f>MIN(in_cap,AF107,AG107,AH107)</f>
        <v/>
      </c>
      <c r="AJ107" s="30">
        <f>100*(1-(1-X107*(1-EXP(-((AI107)+(0))/Y107)))*(1-MIN(ABS(in_elas)*W107*R107*(AI107)/V107,1)))</f>
        <v/>
      </c>
      <c r="AK107" s="17">
        <f>IF(AI107&gt;=in_cap-1E-9,"rate cap",TRIM(IF(ABS(AI107-AF107)&lt;1E-9,"F1 ","")&amp;IF(ABS(AI107-AG107)&lt;1E-9,"F2 ","")&amp;IF(ABS(AI107-AH107)&lt;1E-9,"F3","")))</f>
        <v/>
      </c>
      <c r="AL107" s="15">
        <f>100*(1-(1-X107*(1-EXP(-((MIN(in_cap,IF(AB107&gt;0,(in_f1+1)/AB107,in_cap),AG107,AH107))+(0))/Y107)))*(1-MIN(ABS(in_elas)*W107*R107*(MIN(in_cap,IF(AB107&gt;0,(in_f1+1)/AB107,in_cap),AG107,AH107))/V107,1)))-AJ107</f>
        <v/>
      </c>
      <c r="AM107" s="16">
        <f>MIN(in_cap,IF(AE107&gt;0,in_f3/AE107,in_cap))</f>
        <v/>
      </c>
      <c r="AN107" s="30">
        <f>100*(1-(1-X107*(1-EXP(-((0)+(AM107))/Y107)))*(1-MIN(ABS(in_elas)*W107*R107*(0)/V107,1)))</f>
        <v/>
      </c>
      <c r="AO107" s="17">
        <f>IF(AM107&gt;=in_cap-1E-9,"rate cap","F3")</f>
        <v/>
      </c>
      <c r="AP107" s="15">
        <f>100*(1-(1-X107*(1-EXP(-((50)+(0))/Y107)))*(1-MIN(ABS(in_elas)*W107*R107*(50)/V107,1)))</f>
        <v/>
      </c>
      <c r="AQ107" s="15">
        <f>100*(1-(1-X107*(1-EXP(-((0)+(50))/Y107)))*(1-MIN(ABS(in_elas)*W107*R107*(0)/V107,1)))</f>
        <v/>
      </c>
      <c r="AR107" s="15">
        <f>IF(AP107&gt;0,AQ107/AP107,"")</f>
        <v/>
      </c>
      <c r="AS107" s="16">
        <f>50*AB107</f>
        <v/>
      </c>
      <c r="AT107" s="30">
        <f>MAX(BM107:BW107)</f>
        <v/>
      </c>
      <c r="AU107" s="31">
        <f>AI107*(MATCH(AT107,BM107:BW107,0)-1)/10</f>
        <v/>
      </c>
      <c r="AV107" s="31">
        <f>INDEX(BB107:BL107,1,(MATCH(AT107,BM107:BW107,0)-1)+1)</f>
        <v/>
      </c>
      <c r="AW107" s="31">
        <f>AB107*AU107</f>
        <v/>
      </c>
      <c r="AX107" s="30">
        <f>AC107*AU107</f>
        <v/>
      </c>
      <c r="AY107" s="31">
        <f>AD107*AU107+AE107*AV107</f>
        <v/>
      </c>
      <c r="AZ107" s="32">
        <f>TRIM(IF(AND(AU107&gt;0,ABS(AU107-AF107)&lt;1E-6),"F1 ","")&amp;IF(AND(AU107&gt;0,ABS(AU107-AG107)&lt;1E-6),"F2 ","")&amp;IF(AY107&gt;=in_f3-1E-6,"F3 ","")&amp;IF(AV107&gt;=in_cap-1E-9,"rate cap",""))</f>
        <v/>
      </c>
      <c r="BA107" s="31">
        <f>Q107*AT107/100</f>
        <v/>
      </c>
      <c r="BB107" s="16">
        <f>MAX(0,MIN(in_cap,IF(AE107&gt;0,(in_f3-AD107*AI107*0/10)/AE107,in_cap)))</f>
        <v/>
      </c>
      <c r="BC107" s="16">
        <f>MAX(0,MIN(in_cap,IF(AE107&gt;0,(in_f3-AD107*AI107*1/10)/AE107,in_cap)))</f>
        <v/>
      </c>
      <c r="BD107" s="16">
        <f>MAX(0,MIN(in_cap,IF(AE107&gt;0,(in_f3-AD107*AI107*2/10)/AE107,in_cap)))</f>
        <v/>
      </c>
      <c r="BE107" s="16">
        <f>MAX(0,MIN(in_cap,IF(AE107&gt;0,(in_f3-AD107*AI107*3/10)/AE107,in_cap)))</f>
        <v/>
      </c>
      <c r="BF107" s="16">
        <f>MAX(0,MIN(in_cap,IF(AE107&gt;0,(in_f3-AD107*AI107*4/10)/AE107,in_cap)))</f>
        <v/>
      </c>
      <c r="BG107" s="16">
        <f>MAX(0,MIN(in_cap,IF(AE107&gt;0,(in_f3-AD107*AI107*5/10)/AE107,in_cap)))</f>
        <v/>
      </c>
      <c r="BH107" s="16">
        <f>MAX(0,MIN(in_cap,IF(AE107&gt;0,(in_f3-AD107*AI107*6/10)/AE107,in_cap)))</f>
        <v/>
      </c>
      <c r="BI107" s="16">
        <f>MAX(0,MIN(in_cap,IF(AE107&gt;0,(in_f3-AD107*AI107*7/10)/AE107,in_cap)))</f>
        <v/>
      </c>
      <c r="BJ107" s="16">
        <f>MAX(0,MIN(in_cap,IF(AE107&gt;0,(in_f3-AD107*AI107*8/10)/AE107,in_cap)))</f>
        <v/>
      </c>
      <c r="BK107" s="16">
        <f>MAX(0,MIN(in_cap,IF(AE107&gt;0,(in_f3-AD107*AI107*9/10)/AE107,in_cap)))</f>
        <v/>
      </c>
      <c r="BL107" s="16">
        <f>MAX(0,MIN(in_cap,IF(AE107&gt;0,(in_f3-AD107*AI107*10/10)/AE107,in_cap)))</f>
        <v/>
      </c>
      <c r="BM107" s="15">
        <f>100*(1-(1-X107*(1-EXP(-((AI107*0/10)+(BB107))/Y107)))*(1-MIN(ABS(in_elas)*W107*R107*(AI107*0/10)/V107,1)))</f>
        <v/>
      </c>
      <c r="BN107" s="15">
        <f>100*(1-(1-X107*(1-EXP(-((AI107*1/10)+(BC107))/Y107)))*(1-MIN(ABS(in_elas)*W107*R107*(AI107*1/10)/V107,1)))</f>
        <v/>
      </c>
      <c r="BO107" s="15">
        <f>100*(1-(1-X107*(1-EXP(-((AI107*2/10)+(BD107))/Y107)))*(1-MIN(ABS(in_elas)*W107*R107*(AI107*2/10)/V107,1)))</f>
        <v/>
      </c>
      <c r="BP107" s="15">
        <f>100*(1-(1-X107*(1-EXP(-((AI107*3/10)+(BE107))/Y107)))*(1-MIN(ABS(in_elas)*W107*R107*(AI107*3/10)/V107,1)))</f>
        <v/>
      </c>
      <c r="BQ107" s="15">
        <f>100*(1-(1-X107*(1-EXP(-((AI107*4/10)+(BF107))/Y107)))*(1-MIN(ABS(in_elas)*W107*R107*(AI107*4/10)/V107,1)))</f>
        <v/>
      </c>
      <c r="BR107" s="15">
        <f>100*(1-(1-X107*(1-EXP(-((AI107*5/10)+(BG107))/Y107)))*(1-MIN(ABS(in_elas)*W107*R107*(AI107*5/10)/V107,1)))</f>
        <v/>
      </c>
      <c r="BS107" s="15">
        <f>100*(1-(1-X107*(1-EXP(-((AI107*6/10)+(BH107))/Y107)))*(1-MIN(ABS(in_elas)*W107*R107*(AI107*6/10)/V107,1)))</f>
        <v/>
      </c>
      <c r="BT107" s="15">
        <f>100*(1-(1-X107*(1-EXP(-((AI107*7/10)+(BI107))/Y107)))*(1-MIN(ABS(in_elas)*W107*R107*(AI107*7/10)/V107,1)))</f>
        <v/>
      </c>
      <c r="BU107" s="15">
        <f>100*(1-(1-X107*(1-EXP(-((AI107*8/10)+(BJ107))/Y107)))*(1-MIN(ABS(in_elas)*W107*R107*(AI107*8/10)/V107,1)))</f>
        <v/>
      </c>
      <c r="BV107" s="15">
        <f>100*(1-(1-X107*(1-EXP(-((AI107*9/10)+(BK107))/Y107)))*(1-MIN(ABS(in_elas)*W107*R107*(AI107*9/10)/V107,1)))</f>
        <v/>
      </c>
      <c r="BW107" s="15">
        <f>100*(1-(1-X107*(1-EXP(-((AI107*10/10)+(BL107))/Y107)))*(1-MIN(ABS(in_elas)*W107*R107*(AI107*10/10)/V107,1)))</f>
        <v/>
      </c>
    </row>
    <row r="108">
      <c r="A108" s="17" t="inlineStr">
        <is>
          <t>MNE</t>
        </is>
      </c>
      <c r="B108" s="17">
        <f>INDEX(Data!$B:$B,MATCH($A108,Data!$A:$A,0))</f>
        <v/>
      </c>
      <c r="C108" s="17">
        <f>INDEX(Data!$D:$D,MATCH($A108,Data!$A:$A,0))</f>
        <v/>
      </c>
      <c r="D108" s="16">
        <f>SUMIFS(Data!$G:$G,Data!$A:$A,$A108,Data!$F:$F,"gen_coal_twh")</f>
        <v/>
      </c>
      <c r="E108" s="16">
        <f>SUMIFS(Data!$G:$G,Data!$A:$A,$A108,Data!$F:$F,"gen_gas_twh")</f>
        <v/>
      </c>
      <c r="F108" s="16">
        <f>SUMIFS(Data!$G:$G,Data!$A:$A,$A108,Data!$F:$F,"gen_oil_twh")</f>
        <v/>
      </c>
      <c r="G108" s="16">
        <f>SUMIFS(Data!$G:$G,Data!$A:$A,$A108,Data!$F:$F,"gen_total_twh")</f>
        <v/>
      </c>
      <c r="H108" s="16">
        <f>SUMIFS(Data!$G:$G,Data!$A:$A,$A108,Data!$F:$F,"em_coal_mt")</f>
        <v/>
      </c>
      <c r="I108" s="16">
        <f>SUMIFS(Data!$G:$G,Data!$A:$A,$A108,Data!$F:$F,"em_gas_mt")</f>
        <v/>
      </c>
      <c r="J108" s="16">
        <f>SUMIFS(Data!$G:$G,Data!$A:$A,$A108,Data!$F:$F,"em_oil_mt")</f>
        <v/>
      </c>
      <c r="K108" s="28">
        <f>IF(COUNTIFS(Data!$A:$A,$A108,Data!$F:$F,"price_electricity_residential_usd_kwh")=0,"",SUMIFS(Data!$G:$G,Data!$A:$A,$A108,Data!$F:$F,"price_electricity_residential_usd_kwh"))</f>
        <v/>
      </c>
      <c r="L108" s="28">
        <f>IF(COUNTIFS(Data!$A:$A,$A108,Data!$F:$F,"price_coal_power_usd_gj")=0,"",SUMIFS(Data!$G:$G,Data!$A:$A,$A108,Data!$F:$F,"price_coal_power_usd_gj"))</f>
        <v/>
      </c>
      <c r="M108" s="28">
        <f>IF(COUNTIFS(Data!$A:$A,$A108,Data!$F:$F,"price_gas_power_usd_gj")=0,"",SUMIFS(Data!$G:$G,Data!$A:$A,$A108,Data!$F:$F,"price_gas_power_usd_gj"))</f>
        <v/>
      </c>
      <c r="N108" s="28">
        <f>IF(COUNTIFS(Data!$A:$A,$A108,Data!$F:$F,"price_gas_industry_usd_gj")=0,"",SUMIFS(Data!$G:$G,Data!$A:$A,$A108,Data!$F:$F,"price_gas_industry_usd_gj"))</f>
        <v/>
      </c>
      <c r="O108" s="28">
        <f>IF(COUNTIFS(Data!$A:$A,$A108,Data!$F:$F,"power_market_structure")=0,"",SUMIFS(Data!$G:$G,Data!$A:$A,$A108,Data!$F:$F,"power_market_structure"))</f>
        <v/>
      </c>
      <c r="P108" s="28">
        <f>IF(COUNTIFS(Data!$A:$A,$A108,Data!$F:$F,"rise_renewable_energy_score")=0,"",SUMIFS(Data!$G:$G,Data!$A:$A,$A108,Data!$F:$F,"rise_renewable_energy_score"))</f>
        <v/>
      </c>
      <c r="Q108" s="16">
        <f>H108+I108+J108</f>
        <v/>
      </c>
      <c r="R108" s="28">
        <f>Q108/G108</f>
        <v/>
      </c>
      <c r="S108" s="28">
        <f>IF(D108&gt;0,H108/D108,0.85)</f>
        <v/>
      </c>
      <c r="T108" s="28">
        <f>IF(E108&gt;0,I108/E108,0.4)</f>
        <v/>
      </c>
      <c r="U108" s="28">
        <f>IF(D108+F108&gt;0,(H108+J108)/(D108+F108),0)</f>
        <v/>
      </c>
      <c r="V108" s="16">
        <f>K108*1000</f>
        <v/>
      </c>
      <c r="W108" s="15">
        <f>IF(O108=3,in_pt3,IF(O108=2,in_pt2,IF(O108=1,in_pt1,IF(C108="High income",in_pt_hi,in_pt_oth))))</f>
        <v/>
      </c>
      <c r="X108" s="28">
        <f>IF(Q108&gt;0,in_kappa*(in_rise_lo+(in_rise_hi-in_rise_lo)*IF(P108="",in_rise_miss,P108)/100)*(D108+F108)*MAX(U108-in_gas_rep*T108,0)/Q108,0)</f>
        <v/>
      </c>
      <c r="Y108" s="16">
        <f>IF(IF(M108="",N108,M108)="",MAX(in_sw_floor,in_sw_miss),MAX(in_sw_floor,(IF(M108="",N108,M108)*in_hr_gas-L108*in_hr_coal)/MAX(S108-T108,0.1)))</f>
        <v/>
      </c>
      <c r="Z108" s="28">
        <f>IF(C108="Low income",in_b40_li,IF(C108="Lower middle income",in_b40_lmi,IF(C108="Upper middle income",in_b40_umi,IF(C108="High income",in_b40_hi,0.03))))</f>
        <v/>
      </c>
      <c r="AA108" s="15">
        <f>(D108+F108)/G108</f>
        <v/>
      </c>
      <c r="AB108" s="28">
        <f>100*W108*R108/V108/in_phase</f>
        <v/>
      </c>
      <c r="AC108" s="29">
        <f>100*Z108*W108*R108/V108*(1-IF(W108&gt;0,MIN(in_rebate/(W108*in_res_sh*in_q40),1),1))</f>
        <v/>
      </c>
      <c r="AD108" s="28">
        <f>IF(AA108&gt;0,100*U108*(1-W108)/(in_whole_sh*V108),0)</f>
        <v/>
      </c>
      <c r="AE108" s="28">
        <f>IF(AA108&gt;0,100*MAX(U108-R108,0)/(in_whole_sh*V108),0)</f>
        <v/>
      </c>
      <c r="AF108" s="16">
        <f>IF(AB108&gt;0,in_f1/AB108,in_cap)</f>
        <v/>
      </c>
      <c r="AG108" s="16">
        <f>IF(AC108&gt;0,in_f2/AC108,in_cap)</f>
        <v/>
      </c>
      <c r="AH108" s="16">
        <f>IF(AD108&gt;0,in_f3/AD108,in_cap)</f>
        <v/>
      </c>
      <c r="AI108" s="16">
        <f>MIN(in_cap,AF108,AG108,AH108)</f>
        <v/>
      </c>
      <c r="AJ108" s="30">
        <f>100*(1-(1-X108*(1-EXP(-((AI108)+(0))/Y108)))*(1-MIN(ABS(in_elas)*W108*R108*(AI108)/V108,1)))</f>
        <v/>
      </c>
      <c r="AK108" s="17">
        <f>IF(AI108&gt;=in_cap-1E-9,"rate cap",TRIM(IF(ABS(AI108-AF108)&lt;1E-9,"F1 ","")&amp;IF(ABS(AI108-AG108)&lt;1E-9,"F2 ","")&amp;IF(ABS(AI108-AH108)&lt;1E-9,"F3","")))</f>
        <v/>
      </c>
      <c r="AL108" s="15">
        <f>100*(1-(1-X108*(1-EXP(-((MIN(in_cap,IF(AB108&gt;0,(in_f1+1)/AB108,in_cap),AG108,AH108))+(0))/Y108)))*(1-MIN(ABS(in_elas)*W108*R108*(MIN(in_cap,IF(AB108&gt;0,(in_f1+1)/AB108,in_cap),AG108,AH108))/V108,1)))-AJ108</f>
        <v/>
      </c>
      <c r="AM108" s="16">
        <f>MIN(in_cap,IF(AE108&gt;0,in_f3/AE108,in_cap))</f>
        <v/>
      </c>
      <c r="AN108" s="30">
        <f>100*(1-(1-X108*(1-EXP(-((0)+(AM108))/Y108)))*(1-MIN(ABS(in_elas)*W108*R108*(0)/V108,1)))</f>
        <v/>
      </c>
      <c r="AO108" s="17">
        <f>IF(AM108&gt;=in_cap-1E-9,"rate cap","F3")</f>
        <v/>
      </c>
      <c r="AP108" s="15">
        <f>100*(1-(1-X108*(1-EXP(-((50)+(0))/Y108)))*(1-MIN(ABS(in_elas)*W108*R108*(50)/V108,1)))</f>
        <v/>
      </c>
      <c r="AQ108" s="15">
        <f>100*(1-(1-X108*(1-EXP(-((0)+(50))/Y108)))*(1-MIN(ABS(in_elas)*W108*R108*(0)/V108,1)))</f>
        <v/>
      </c>
      <c r="AR108" s="15">
        <f>IF(AP108&gt;0,AQ108/AP108,"")</f>
        <v/>
      </c>
      <c r="AS108" s="16">
        <f>50*AB108</f>
        <v/>
      </c>
      <c r="AT108" s="30">
        <f>MAX(BM108:BW108)</f>
        <v/>
      </c>
      <c r="AU108" s="31">
        <f>AI108*(MATCH(AT108,BM108:BW108,0)-1)/10</f>
        <v/>
      </c>
      <c r="AV108" s="31">
        <f>INDEX(BB108:BL108,1,(MATCH(AT108,BM108:BW108,0)-1)+1)</f>
        <v/>
      </c>
      <c r="AW108" s="31">
        <f>AB108*AU108</f>
        <v/>
      </c>
      <c r="AX108" s="30">
        <f>AC108*AU108</f>
        <v/>
      </c>
      <c r="AY108" s="31">
        <f>AD108*AU108+AE108*AV108</f>
        <v/>
      </c>
      <c r="AZ108" s="32">
        <f>TRIM(IF(AND(AU108&gt;0,ABS(AU108-AF108)&lt;1E-6),"F1 ","")&amp;IF(AND(AU108&gt;0,ABS(AU108-AG108)&lt;1E-6),"F2 ","")&amp;IF(AY108&gt;=in_f3-1E-6,"F3 ","")&amp;IF(AV108&gt;=in_cap-1E-9,"rate cap",""))</f>
        <v/>
      </c>
      <c r="BA108" s="31">
        <f>Q108*AT108/100</f>
        <v/>
      </c>
      <c r="BB108" s="16">
        <f>MAX(0,MIN(in_cap,IF(AE108&gt;0,(in_f3-AD108*AI108*0/10)/AE108,in_cap)))</f>
        <v/>
      </c>
      <c r="BC108" s="16">
        <f>MAX(0,MIN(in_cap,IF(AE108&gt;0,(in_f3-AD108*AI108*1/10)/AE108,in_cap)))</f>
        <v/>
      </c>
      <c r="BD108" s="16">
        <f>MAX(0,MIN(in_cap,IF(AE108&gt;0,(in_f3-AD108*AI108*2/10)/AE108,in_cap)))</f>
        <v/>
      </c>
      <c r="BE108" s="16">
        <f>MAX(0,MIN(in_cap,IF(AE108&gt;0,(in_f3-AD108*AI108*3/10)/AE108,in_cap)))</f>
        <v/>
      </c>
      <c r="BF108" s="16">
        <f>MAX(0,MIN(in_cap,IF(AE108&gt;0,(in_f3-AD108*AI108*4/10)/AE108,in_cap)))</f>
        <v/>
      </c>
      <c r="BG108" s="16">
        <f>MAX(0,MIN(in_cap,IF(AE108&gt;0,(in_f3-AD108*AI108*5/10)/AE108,in_cap)))</f>
        <v/>
      </c>
      <c r="BH108" s="16">
        <f>MAX(0,MIN(in_cap,IF(AE108&gt;0,(in_f3-AD108*AI108*6/10)/AE108,in_cap)))</f>
        <v/>
      </c>
      <c r="BI108" s="16">
        <f>MAX(0,MIN(in_cap,IF(AE108&gt;0,(in_f3-AD108*AI108*7/10)/AE108,in_cap)))</f>
        <v/>
      </c>
      <c r="BJ108" s="16">
        <f>MAX(0,MIN(in_cap,IF(AE108&gt;0,(in_f3-AD108*AI108*8/10)/AE108,in_cap)))</f>
        <v/>
      </c>
      <c r="BK108" s="16">
        <f>MAX(0,MIN(in_cap,IF(AE108&gt;0,(in_f3-AD108*AI108*9/10)/AE108,in_cap)))</f>
        <v/>
      </c>
      <c r="BL108" s="16">
        <f>MAX(0,MIN(in_cap,IF(AE108&gt;0,(in_f3-AD108*AI108*10/10)/AE108,in_cap)))</f>
        <v/>
      </c>
      <c r="BM108" s="15">
        <f>100*(1-(1-X108*(1-EXP(-((AI108*0/10)+(BB108))/Y108)))*(1-MIN(ABS(in_elas)*W108*R108*(AI108*0/10)/V108,1)))</f>
        <v/>
      </c>
      <c r="BN108" s="15">
        <f>100*(1-(1-X108*(1-EXP(-((AI108*1/10)+(BC108))/Y108)))*(1-MIN(ABS(in_elas)*W108*R108*(AI108*1/10)/V108,1)))</f>
        <v/>
      </c>
      <c r="BO108" s="15">
        <f>100*(1-(1-X108*(1-EXP(-((AI108*2/10)+(BD108))/Y108)))*(1-MIN(ABS(in_elas)*W108*R108*(AI108*2/10)/V108,1)))</f>
        <v/>
      </c>
      <c r="BP108" s="15">
        <f>100*(1-(1-X108*(1-EXP(-((AI108*3/10)+(BE108))/Y108)))*(1-MIN(ABS(in_elas)*W108*R108*(AI108*3/10)/V108,1)))</f>
        <v/>
      </c>
      <c r="BQ108" s="15">
        <f>100*(1-(1-X108*(1-EXP(-((AI108*4/10)+(BF108))/Y108)))*(1-MIN(ABS(in_elas)*W108*R108*(AI108*4/10)/V108,1)))</f>
        <v/>
      </c>
      <c r="BR108" s="15">
        <f>100*(1-(1-X108*(1-EXP(-((AI108*5/10)+(BG108))/Y108)))*(1-MIN(ABS(in_elas)*W108*R108*(AI108*5/10)/V108,1)))</f>
        <v/>
      </c>
      <c r="BS108" s="15">
        <f>100*(1-(1-X108*(1-EXP(-((AI108*6/10)+(BH108))/Y108)))*(1-MIN(ABS(in_elas)*W108*R108*(AI108*6/10)/V108,1)))</f>
        <v/>
      </c>
      <c r="BT108" s="15">
        <f>100*(1-(1-X108*(1-EXP(-((AI108*7/10)+(BI108))/Y108)))*(1-MIN(ABS(in_elas)*W108*R108*(AI108*7/10)/V108,1)))</f>
        <v/>
      </c>
      <c r="BU108" s="15">
        <f>100*(1-(1-X108*(1-EXP(-((AI108*8/10)+(BJ108))/Y108)))*(1-MIN(ABS(in_elas)*W108*R108*(AI108*8/10)/V108,1)))</f>
        <v/>
      </c>
      <c r="BV108" s="15">
        <f>100*(1-(1-X108*(1-EXP(-((AI108*9/10)+(BK108))/Y108)))*(1-MIN(ABS(in_elas)*W108*R108*(AI108*9/10)/V108,1)))</f>
        <v/>
      </c>
      <c r="BW108" s="15">
        <f>100*(1-(1-X108*(1-EXP(-((AI108*10/10)+(BL108))/Y108)))*(1-MIN(ABS(in_elas)*W108*R108*(AI108*10/10)/V108,1)))</f>
        <v/>
      </c>
    </row>
    <row r="109">
      <c r="A109" s="17" t="inlineStr">
        <is>
          <t>MNG</t>
        </is>
      </c>
      <c r="B109" s="17">
        <f>INDEX(Data!$B:$B,MATCH($A109,Data!$A:$A,0))</f>
        <v/>
      </c>
      <c r="C109" s="17">
        <f>INDEX(Data!$D:$D,MATCH($A109,Data!$A:$A,0))</f>
        <v/>
      </c>
      <c r="D109" s="16">
        <f>SUMIFS(Data!$G:$G,Data!$A:$A,$A109,Data!$F:$F,"gen_coal_twh")</f>
        <v/>
      </c>
      <c r="E109" s="16">
        <f>SUMIFS(Data!$G:$G,Data!$A:$A,$A109,Data!$F:$F,"gen_gas_twh")</f>
        <v/>
      </c>
      <c r="F109" s="16">
        <f>SUMIFS(Data!$G:$G,Data!$A:$A,$A109,Data!$F:$F,"gen_oil_twh")</f>
        <v/>
      </c>
      <c r="G109" s="16">
        <f>SUMIFS(Data!$G:$G,Data!$A:$A,$A109,Data!$F:$F,"gen_total_twh")</f>
        <v/>
      </c>
      <c r="H109" s="16">
        <f>SUMIFS(Data!$G:$G,Data!$A:$A,$A109,Data!$F:$F,"em_coal_mt")</f>
        <v/>
      </c>
      <c r="I109" s="16">
        <f>SUMIFS(Data!$G:$G,Data!$A:$A,$A109,Data!$F:$F,"em_gas_mt")</f>
        <v/>
      </c>
      <c r="J109" s="16">
        <f>SUMIFS(Data!$G:$G,Data!$A:$A,$A109,Data!$F:$F,"em_oil_mt")</f>
        <v/>
      </c>
      <c r="K109" s="28">
        <f>IF(COUNTIFS(Data!$A:$A,$A109,Data!$F:$F,"price_electricity_residential_usd_kwh")=0,"",SUMIFS(Data!$G:$G,Data!$A:$A,$A109,Data!$F:$F,"price_electricity_residential_usd_kwh"))</f>
        <v/>
      </c>
      <c r="L109" s="28">
        <f>IF(COUNTIFS(Data!$A:$A,$A109,Data!$F:$F,"price_coal_power_usd_gj")=0,"",SUMIFS(Data!$G:$G,Data!$A:$A,$A109,Data!$F:$F,"price_coal_power_usd_gj"))</f>
        <v/>
      </c>
      <c r="M109" s="28">
        <f>IF(COUNTIFS(Data!$A:$A,$A109,Data!$F:$F,"price_gas_power_usd_gj")=0,"",SUMIFS(Data!$G:$G,Data!$A:$A,$A109,Data!$F:$F,"price_gas_power_usd_gj"))</f>
        <v/>
      </c>
      <c r="N109" s="28">
        <f>IF(COUNTIFS(Data!$A:$A,$A109,Data!$F:$F,"price_gas_industry_usd_gj")=0,"",SUMIFS(Data!$G:$G,Data!$A:$A,$A109,Data!$F:$F,"price_gas_industry_usd_gj"))</f>
        <v/>
      </c>
      <c r="O109" s="28">
        <f>IF(COUNTIFS(Data!$A:$A,$A109,Data!$F:$F,"power_market_structure")=0,"",SUMIFS(Data!$G:$G,Data!$A:$A,$A109,Data!$F:$F,"power_market_structure"))</f>
        <v/>
      </c>
      <c r="P109" s="28">
        <f>IF(COUNTIFS(Data!$A:$A,$A109,Data!$F:$F,"rise_renewable_energy_score")=0,"",SUMIFS(Data!$G:$G,Data!$A:$A,$A109,Data!$F:$F,"rise_renewable_energy_score"))</f>
        <v/>
      </c>
      <c r="Q109" s="16">
        <f>H109+I109+J109</f>
        <v/>
      </c>
      <c r="R109" s="28">
        <f>Q109/G109</f>
        <v/>
      </c>
      <c r="S109" s="28">
        <f>IF(D109&gt;0,H109/D109,0.85)</f>
        <v/>
      </c>
      <c r="T109" s="28">
        <f>IF(E109&gt;0,I109/E109,0.4)</f>
        <v/>
      </c>
      <c r="U109" s="28">
        <f>IF(D109+F109&gt;0,(H109+J109)/(D109+F109),0)</f>
        <v/>
      </c>
      <c r="V109" s="16">
        <f>K109*1000</f>
        <v/>
      </c>
      <c r="W109" s="15">
        <f>IF(O109=3,in_pt3,IF(O109=2,in_pt2,IF(O109=1,in_pt1,IF(C109="High income",in_pt_hi,in_pt_oth))))</f>
        <v/>
      </c>
      <c r="X109" s="28">
        <f>IF(Q109&gt;0,in_kappa*(in_rise_lo+(in_rise_hi-in_rise_lo)*IF(P109="",in_rise_miss,P109)/100)*(D109+F109)*MAX(U109-in_gas_rep*T109,0)/Q109,0)</f>
        <v/>
      </c>
      <c r="Y109" s="16">
        <f>IF(IF(M109="",N109,M109)="",MAX(in_sw_floor,in_sw_miss),MAX(in_sw_floor,(IF(M109="",N109,M109)*in_hr_gas-L109*in_hr_coal)/MAX(S109-T109,0.1)))</f>
        <v/>
      </c>
      <c r="Z109" s="28">
        <f>IF(C109="Low income",in_b40_li,IF(C109="Lower middle income",in_b40_lmi,IF(C109="Upper middle income",in_b40_umi,IF(C109="High income",in_b40_hi,0.03))))</f>
        <v/>
      </c>
      <c r="AA109" s="15">
        <f>(D109+F109)/G109</f>
        <v/>
      </c>
      <c r="AB109" s="28">
        <f>100*W109*R109/V109/in_phase</f>
        <v/>
      </c>
      <c r="AC109" s="29">
        <f>100*Z109*W109*R109/V109*(1-IF(W109&gt;0,MIN(in_rebate/(W109*in_res_sh*in_q40),1),1))</f>
        <v/>
      </c>
      <c r="AD109" s="28">
        <f>IF(AA109&gt;0,100*U109*(1-W109)/(in_whole_sh*V109),0)</f>
        <v/>
      </c>
      <c r="AE109" s="28">
        <f>IF(AA109&gt;0,100*MAX(U109-R109,0)/(in_whole_sh*V109),0)</f>
        <v/>
      </c>
      <c r="AF109" s="16">
        <f>IF(AB109&gt;0,in_f1/AB109,in_cap)</f>
        <v/>
      </c>
      <c r="AG109" s="16">
        <f>IF(AC109&gt;0,in_f2/AC109,in_cap)</f>
        <v/>
      </c>
      <c r="AH109" s="16">
        <f>IF(AD109&gt;0,in_f3/AD109,in_cap)</f>
        <v/>
      </c>
      <c r="AI109" s="16">
        <f>MIN(in_cap,AF109,AG109,AH109)</f>
        <v/>
      </c>
      <c r="AJ109" s="30">
        <f>100*(1-(1-X109*(1-EXP(-((AI109)+(0))/Y109)))*(1-MIN(ABS(in_elas)*W109*R109*(AI109)/V109,1)))</f>
        <v/>
      </c>
      <c r="AK109" s="17">
        <f>IF(AI109&gt;=in_cap-1E-9,"rate cap",TRIM(IF(ABS(AI109-AF109)&lt;1E-9,"F1 ","")&amp;IF(ABS(AI109-AG109)&lt;1E-9,"F2 ","")&amp;IF(ABS(AI109-AH109)&lt;1E-9,"F3","")))</f>
        <v/>
      </c>
      <c r="AL109" s="15">
        <f>100*(1-(1-X109*(1-EXP(-((MIN(in_cap,IF(AB109&gt;0,(in_f1+1)/AB109,in_cap),AG109,AH109))+(0))/Y109)))*(1-MIN(ABS(in_elas)*W109*R109*(MIN(in_cap,IF(AB109&gt;0,(in_f1+1)/AB109,in_cap),AG109,AH109))/V109,1)))-AJ109</f>
        <v/>
      </c>
      <c r="AM109" s="16">
        <f>MIN(in_cap,IF(AE109&gt;0,in_f3/AE109,in_cap))</f>
        <v/>
      </c>
      <c r="AN109" s="30">
        <f>100*(1-(1-X109*(1-EXP(-((0)+(AM109))/Y109)))*(1-MIN(ABS(in_elas)*W109*R109*(0)/V109,1)))</f>
        <v/>
      </c>
      <c r="AO109" s="17">
        <f>IF(AM109&gt;=in_cap-1E-9,"rate cap","F3")</f>
        <v/>
      </c>
      <c r="AP109" s="15">
        <f>100*(1-(1-X109*(1-EXP(-((50)+(0))/Y109)))*(1-MIN(ABS(in_elas)*W109*R109*(50)/V109,1)))</f>
        <v/>
      </c>
      <c r="AQ109" s="15">
        <f>100*(1-(1-X109*(1-EXP(-((0)+(50))/Y109)))*(1-MIN(ABS(in_elas)*W109*R109*(0)/V109,1)))</f>
        <v/>
      </c>
      <c r="AR109" s="15">
        <f>IF(AP109&gt;0,AQ109/AP109,"")</f>
        <v/>
      </c>
      <c r="AS109" s="16">
        <f>50*AB109</f>
        <v/>
      </c>
      <c r="AT109" s="30">
        <f>MAX(BM109:BW109)</f>
        <v/>
      </c>
      <c r="AU109" s="31">
        <f>AI109*(MATCH(AT109,BM109:BW109,0)-1)/10</f>
        <v/>
      </c>
      <c r="AV109" s="31">
        <f>INDEX(BB109:BL109,1,(MATCH(AT109,BM109:BW109,0)-1)+1)</f>
        <v/>
      </c>
      <c r="AW109" s="31">
        <f>AB109*AU109</f>
        <v/>
      </c>
      <c r="AX109" s="30">
        <f>AC109*AU109</f>
        <v/>
      </c>
      <c r="AY109" s="31">
        <f>AD109*AU109+AE109*AV109</f>
        <v/>
      </c>
      <c r="AZ109" s="32">
        <f>TRIM(IF(AND(AU109&gt;0,ABS(AU109-AF109)&lt;1E-6),"F1 ","")&amp;IF(AND(AU109&gt;0,ABS(AU109-AG109)&lt;1E-6),"F2 ","")&amp;IF(AY109&gt;=in_f3-1E-6,"F3 ","")&amp;IF(AV109&gt;=in_cap-1E-9,"rate cap",""))</f>
        <v/>
      </c>
      <c r="BA109" s="31">
        <f>Q109*AT109/100</f>
        <v/>
      </c>
      <c r="BB109" s="16">
        <f>MAX(0,MIN(in_cap,IF(AE109&gt;0,(in_f3-AD109*AI109*0/10)/AE109,in_cap)))</f>
        <v/>
      </c>
      <c r="BC109" s="16">
        <f>MAX(0,MIN(in_cap,IF(AE109&gt;0,(in_f3-AD109*AI109*1/10)/AE109,in_cap)))</f>
        <v/>
      </c>
      <c r="BD109" s="16">
        <f>MAX(0,MIN(in_cap,IF(AE109&gt;0,(in_f3-AD109*AI109*2/10)/AE109,in_cap)))</f>
        <v/>
      </c>
      <c r="BE109" s="16">
        <f>MAX(0,MIN(in_cap,IF(AE109&gt;0,(in_f3-AD109*AI109*3/10)/AE109,in_cap)))</f>
        <v/>
      </c>
      <c r="BF109" s="16">
        <f>MAX(0,MIN(in_cap,IF(AE109&gt;0,(in_f3-AD109*AI109*4/10)/AE109,in_cap)))</f>
        <v/>
      </c>
      <c r="BG109" s="16">
        <f>MAX(0,MIN(in_cap,IF(AE109&gt;0,(in_f3-AD109*AI109*5/10)/AE109,in_cap)))</f>
        <v/>
      </c>
      <c r="BH109" s="16">
        <f>MAX(0,MIN(in_cap,IF(AE109&gt;0,(in_f3-AD109*AI109*6/10)/AE109,in_cap)))</f>
        <v/>
      </c>
      <c r="BI109" s="16">
        <f>MAX(0,MIN(in_cap,IF(AE109&gt;0,(in_f3-AD109*AI109*7/10)/AE109,in_cap)))</f>
        <v/>
      </c>
      <c r="BJ109" s="16">
        <f>MAX(0,MIN(in_cap,IF(AE109&gt;0,(in_f3-AD109*AI109*8/10)/AE109,in_cap)))</f>
        <v/>
      </c>
      <c r="BK109" s="16">
        <f>MAX(0,MIN(in_cap,IF(AE109&gt;0,(in_f3-AD109*AI109*9/10)/AE109,in_cap)))</f>
        <v/>
      </c>
      <c r="BL109" s="16">
        <f>MAX(0,MIN(in_cap,IF(AE109&gt;0,(in_f3-AD109*AI109*10/10)/AE109,in_cap)))</f>
        <v/>
      </c>
      <c r="BM109" s="15">
        <f>100*(1-(1-X109*(1-EXP(-((AI109*0/10)+(BB109))/Y109)))*(1-MIN(ABS(in_elas)*W109*R109*(AI109*0/10)/V109,1)))</f>
        <v/>
      </c>
      <c r="BN109" s="15">
        <f>100*(1-(1-X109*(1-EXP(-((AI109*1/10)+(BC109))/Y109)))*(1-MIN(ABS(in_elas)*W109*R109*(AI109*1/10)/V109,1)))</f>
        <v/>
      </c>
      <c r="BO109" s="15">
        <f>100*(1-(1-X109*(1-EXP(-((AI109*2/10)+(BD109))/Y109)))*(1-MIN(ABS(in_elas)*W109*R109*(AI109*2/10)/V109,1)))</f>
        <v/>
      </c>
      <c r="BP109" s="15">
        <f>100*(1-(1-X109*(1-EXP(-((AI109*3/10)+(BE109))/Y109)))*(1-MIN(ABS(in_elas)*W109*R109*(AI109*3/10)/V109,1)))</f>
        <v/>
      </c>
      <c r="BQ109" s="15">
        <f>100*(1-(1-X109*(1-EXP(-((AI109*4/10)+(BF109))/Y109)))*(1-MIN(ABS(in_elas)*W109*R109*(AI109*4/10)/V109,1)))</f>
        <v/>
      </c>
      <c r="BR109" s="15">
        <f>100*(1-(1-X109*(1-EXP(-((AI109*5/10)+(BG109))/Y109)))*(1-MIN(ABS(in_elas)*W109*R109*(AI109*5/10)/V109,1)))</f>
        <v/>
      </c>
      <c r="BS109" s="15">
        <f>100*(1-(1-X109*(1-EXP(-((AI109*6/10)+(BH109))/Y109)))*(1-MIN(ABS(in_elas)*W109*R109*(AI109*6/10)/V109,1)))</f>
        <v/>
      </c>
      <c r="BT109" s="15">
        <f>100*(1-(1-X109*(1-EXP(-((AI109*7/10)+(BI109))/Y109)))*(1-MIN(ABS(in_elas)*W109*R109*(AI109*7/10)/V109,1)))</f>
        <v/>
      </c>
      <c r="BU109" s="15">
        <f>100*(1-(1-X109*(1-EXP(-((AI109*8/10)+(BJ109))/Y109)))*(1-MIN(ABS(in_elas)*W109*R109*(AI109*8/10)/V109,1)))</f>
        <v/>
      </c>
      <c r="BV109" s="15">
        <f>100*(1-(1-X109*(1-EXP(-((AI109*9/10)+(BK109))/Y109)))*(1-MIN(ABS(in_elas)*W109*R109*(AI109*9/10)/V109,1)))</f>
        <v/>
      </c>
      <c r="BW109" s="15">
        <f>100*(1-(1-X109*(1-EXP(-((AI109*10/10)+(BL109))/Y109)))*(1-MIN(ABS(in_elas)*W109*R109*(AI109*10/10)/V109,1)))</f>
        <v/>
      </c>
    </row>
    <row r="110">
      <c r="A110" s="17" t="inlineStr">
        <is>
          <t>MOZ</t>
        </is>
      </c>
      <c r="B110" s="17">
        <f>INDEX(Data!$B:$B,MATCH($A110,Data!$A:$A,0))</f>
        <v/>
      </c>
      <c r="C110" s="17">
        <f>INDEX(Data!$D:$D,MATCH($A110,Data!$A:$A,0))</f>
        <v/>
      </c>
      <c r="D110" s="16">
        <f>SUMIFS(Data!$G:$G,Data!$A:$A,$A110,Data!$F:$F,"gen_coal_twh")</f>
        <v/>
      </c>
      <c r="E110" s="16">
        <f>SUMIFS(Data!$G:$G,Data!$A:$A,$A110,Data!$F:$F,"gen_gas_twh")</f>
        <v/>
      </c>
      <c r="F110" s="16">
        <f>SUMIFS(Data!$G:$G,Data!$A:$A,$A110,Data!$F:$F,"gen_oil_twh")</f>
        <v/>
      </c>
      <c r="G110" s="16">
        <f>SUMIFS(Data!$G:$G,Data!$A:$A,$A110,Data!$F:$F,"gen_total_twh")</f>
        <v/>
      </c>
      <c r="H110" s="16">
        <f>SUMIFS(Data!$G:$G,Data!$A:$A,$A110,Data!$F:$F,"em_coal_mt")</f>
        <v/>
      </c>
      <c r="I110" s="16">
        <f>SUMIFS(Data!$G:$G,Data!$A:$A,$A110,Data!$F:$F,"em_gas_mt")</f>
        <v/>
      </c>
      <c r="J110" s="16">
        <f>SUMIFS(Data!$G:$G,Data!$A:$A,$A110,Data!$F:$F,"em_oil_mt")</f>
        <v/>
      </c>
      <c r="K110" s="28">
        <f>IF(COUNTIFS(Data!$A:$A,$A110,Data!$F:$F,"price_electricity_residential_usd_kwh")=0,"",SUMIFS(Data!$G:$G,Data!$A:$A,$A110,Data!$F:$F,"price_electricity_residential_usd_kwh"))</f>
        <v/>
      </c>
      <c r="L110" s="28">
        <f>IF(COUNTIFS(Data!$A:$A,$A110,Data!$F:$F,"price_coal_power_usd_gj")=0,"",SUMIFS(Data!$G:$G,Data!$A:$A,$A110,Data!$F:$F,"price_coal_power_usd_gj"))</f>
        <v/>
      </c>
      <c r="M110" s="28">
        <f>IF(COUNTIFS(Data!$A:$A,$A110,Data!$F:$F,"price_gas_power_usd_gj")=0,"",SUMIFS(Data!$G:$G,Data!$A:$A,$A110,Data!$F:$F,"price_gas_power_usd_gj"))</f>
        <v/>
      </c>
      <c r="N110" s="28">
        <f>IF(COUNTIFS(Data!$A:$A,$A110,Data!$F:$F,"price_gas_industry_usd_gj")=0,"",SUMIFS(Data!$G:$G,Data!$A:$A,$A110,Data!$F:$F,"price_gas_industry_usd_gj"))</f>
        <v/>
      </c>
      <c r="O110" s="28">
        <f>IF(COUNTIFS(Data!$A:$A,$A110,Data!$F:$F,"power_market_structure")=0,"",SUMIFS(Data!$G:$G,Data!$A:$A,$A110,Data!$F:$F,"power_market_structure"))</f>
        <v/>
      </c>
      <c r="P110" s="28">
        <f>IF(COUNTIFS(Data!$A:$A,$A110,Data!$F:$F,"rise_renewable_energy_score")=0,"",SUMIFS(Data!$G:$G,Data!$A:$A,$A110,Data!$F:$F,"rise_renewable_energy_score"))</f>
        <v/>
      </c>
      <c r="Q110" s="16">
        <f>H110+I110+J110</f>
        <v/>
      </c>
      <c r="R110" s="28">
        <f>Q110/G110</f>
        <v/>
      </c>
      <c r="S110" s="28">
        <f>IF(D110&gt;0,H110/D110,0.85)</f>
        <v/>
      </c>
      <c r="T110" s="28">
        <f>IF(E110&gt;0,I110/E110,0.4)</f>
        <v/>
      </c>
      <c r="U110" s="28">
        <f>IF(D110+F110&gt;0,(H110+J110)/(D110+F110),0)</f>
        <v/>
      </c>
      <c r="V110" s="16">
        <f>K110*1000</f>
        <v/>
      </c>
      <c r="W110" s="15">
        <f>IF(O110=3,in_pt3,IF(O110=2,in_pt2,IF(O110=1,in_pt1,IF(C110="High income",in_pt_hi,in_pt_oth))))</f>
        <v/>
      </c>
      <c r="X110" s="28">
        <f>IF(Q110&gt;0,in_kappa*(in_rise_lo+(in_rise_hi-in_rise_lo)*IF(P110="",in_rise_miss,P110)/100)*(D110+F110)*MAX(U110-in_gas_rep*T110,0)/Q110,0)</f>
        <v/>
      </c>
      <c r="Y110" s="16">
        <f>IF(IF(M110="",N110,M110)="",MAX(in_sw_floor,in_sw_miss),MAX(in_sw_floor,(IF(M110="",N110,M110)*in_hr_gas-L110*in_hr_coal)/MAX(S110-T110,0.1)))</f>
        <v/>
      </c>
      <c r="Z110" s="28">
        <f>IF(C110="Low income",in_b40_li,IF(C110="Lower middle income",in_b40_lmi,IF(C110="Upper middle income",in_b40_umi,IF(C110="High income",in_b40_hi,0.03))))</f>
        <v/>
      </c>
      <c r="AA110" s="15">
        <f>(D110+F110)/G110</f>
        <v/>
      </c>
      <c r="AB110" s="28">
        <f>100*W110*R110/V110/in_phase</f>
        <v/>
      </c>
      <c r="AC110" s="29">
        <f>100*Z110*W110*R110/V110*(1-IF(W110&gt;0,MIN(in_rebate/(W110*in_res_sh*in_q40),1),1))</f>
        <v/>
      </c>
      <c r="AD110" s="28">
        <f>IF(AA110&gt;0,100*U110*(1-W110)/(in_whole_sh*V110),0)</f>
        <v/>
      </c>
      <c r="AE110" s="28">
        <f>IF(AA110&gt;0,100*MAX(U110-R110,0)/(in_whole_sh*V110),0)</f>
        <v/>
      </c>
      <c r="AF110" s="16">
        <f>IF(AB110&gt;0,in_f1/AB110,in_cap)</f>
        <v/>
      </c>
      <c r="AG110" s="16">
        <f>IF(AC110&gt;0,in_f2/AC110,in_cap)</f>
        <v/>
      </c>
      <c r="AH110" s="16">
        <f>IF(AD110&gt;0,in_f3/AD110,in_cap)</f>
        <v/>
      </c>
      <c r="AI110" s="16">
        <f>MIN(in_cap,AF110,AG110,AH110)</f>
        <v/>
      </c>
      <c r="AJ110" s="30">
        <f>100*(1-(1-X110*(1-EXP(-((AI110)+(0))/Y110)))*(1-MIN(ABS(in_elas)*W110*R110*(AI110)/V110,1)))</f>
        <v/>
      </c>
      <c r="AK110" s="17">
        <f>IF(AI110&gt;=in_cap-1E-9,"rate cap",TRIM(IF(ABS(AI110-AF110)&lt;1E-9,"F1 ","")&amp;IF(ABS(AI110-AG110)&lt;1E-9,"F2 ","")&amp;IF(ABS(AI110-AH110)&lt;1E-9,"F3","")))</f>
        <v/>
      </c>
      <c r="AL110" s="15">
        <f>100*(1-(1-X110*(1-EXP(-((MIN(in_cap,IF(AB110&gt;0,(in_f1+1)/AB110,in_cap),AG110,AH110))+(0))/Y110)))*(1-MIN(ABS(in_elas)*W110*R110*(MIN(in_cap,IF(AB110&gt;0,(in_f1+1)/AB110,in_cap),AG110,AH110))/V110,1)))-AJ110</f>
        <v/>
      </c>
      <c r="AM110" s="16">
        <f>MIN(in_cap,IF(AE110&gt;0,in_f3/AE110,in_cap))</f>
        <v/>
      </c>
      <c r="AN110" s="30">
        <f>100*(1-(1-X110*(1-EXP(-((0)+(AM110))/Y110)))*(1-MIN(ABS(in_elas)*W110*R110*(0)/V110,1)))</f>
        <v/>
      </c>
      <c r="AO110" s="17">
        <f>IF(AM110&gt;=in_cap-1E-9,"rate cap","F3")</f>
        <v/>
      </c>
      <c r="AP110" s="15">
        <f>100*(1-(1-X110*(1-EXP(-((50)+(0))/Y110)))*(1-MIN(ABS(in_elas)*W110*R110*(50)/V110,1)))</f>
        <v/>
      </c>
      <c r="AQ110" s="15">
        <f>100*(1-(1-X110*(1-EXP(-((0)+(50))/Y110)))*(1-MIN(ABS(in_elas)*W110*R110*(0)/V110,1)))</f>
        <v/>
      </c>
      <c r="AR110" s="15">
        <f>IF(AP110&gt;0,AQ110/AP110,"")</f>
        <v/>
      </c>
      <c r="AS110" s="16">
        <f>50*AB110</f>
        <v/>
      </c>
      <c r="AT110" s="30">
        <f>MAX(BM110:BW110)</f>
        <v/>
      </c>
      <c r="AU110" s="31">
        <f>AI110*(MATCH(AT110,BM110:BW110,0)-1)/10</f>
        <v/>
      </c>
      <c r="AV110" s="31">
        <f>INDEX(BB110:BL110,1,(MATCH(AT110,BM110:BW110,0)-1)+1)</f>
        <v/>
      </c>
      <c r="AW110" s="31">
        <f>AB110*AU110</f>
        <v/>
      </c>
      <c r="AX110" s="30">
        <f>AC110*AU110</f>
        <v/>
      </c>
      <c r="AY110" s="31">
        <f>AD110*AU110+AE110*AV110</f>
        <v/>
      </c>
      <c r="AZ110" s="32">
        <f>TRIM(IF(AND(AU110&gt;0,ABS(AU110-AF110)&lt;1E-6),"F1 ","")&amp;IF(AND(AU110&gt;0,ABS(AU110-AG110)&lt;1E-6),"F2 ","")&amp;IF(AY110&gt;=in_f3-1E-6,"F3 ","")&amp;IF(AV110&gt;=in_cap-1E-9,"rate cap",""))</f>
        <v/>
      </c>
      <c r="BA110" s="31">
        <f>Q110*AT110/100</f>
        <v/>
      </c>
      <c r="BB110" s="16">
        <f>MAX(0,MIN(in_cap,IF(AE110&gt;0,(in_f3-AD110*AI110*0/10)/AE110,in_cap)))</f>
        <v/>
      </c>
      <c r="BC110" s="16">
        <f>MAX(0,MIN(in_cap,IF(AE110&gt;0,(in_f3-AD110*AI110*1/10)/AE110,in_cap)))</f>
        <v/>
      </c>
      <c r="BD110" s="16">
        <f>MAX(0,MIN(in_cap,IF(AE110&gt;0,(in_f3-AD110*AI110*2/10)/AE110,in_cap)))</f>
        <v/>
      </c>
      <c r="BE110" s="16">
        <f>MAX(0,MIN(in_cap,IF(AE110&gt;0,(in_f3-AD110*AI110*3/10)/AE110,in_cap)))</f>
        <v/>
      </c>
      <c r="BF110" s="16">
        <f>MAX(0,MIN(in_cap,IF(AE110&gt;0,(in_f3-AD110*AI110*4/10)/AE110,in_cap)))</f>
        <v/>
      </c>
      <c r="BG110" s="16">
        <f>MAX(0,MIN(in_cap,IF(AE110&gt;0,(in_f3-AD110*AI110*5/10)/AE110,in_cap)))</f>
        <v/>
      </c>
      <c r="BH110" s="16">
        <f>MAX(0,MIN(in_cap,IF(AE110&gt;0,(in_f3-AD110*AI110*6/10)/AE110,in_cap)))</f>
        <v/>
      </c>
      <c r="BI110" s="16">
        <f>MAX(0,MIN(in_cap,IF(AE110&gt;0,(in_f3-AD110*AI110*7/10)/AE110,in_cap)))</f>
        <v/>
      </c>
      <c r="BJ110" s="16">
        <f>MAX(0,MIN(in_cap,IF(AE110&gt;0,(in_f3-AD110*AI110*8/10)/AE110,in_cap)))</f>
        <v/>
      </c>
      <c r="BK110" s="16">
        <f>MAX(0,MIN(in_cap,IF(AE110&gt;0,(in_f3-AD110*AI110*9/10)/AE110,in_cap)))</f>
        <v/>
      </c>
      <c r="BL110" s="16">
        <f>MAX(0,MIN(in_cap,IF(AE110&gt;0,(in_f3-AD110*AI110*10/10)/AE110,in_cap)))</f>
        <v/>
      </c>
      <c r="BM110" s="15">
        <f>100*(1-(1-X110*(1-EXP(-((AI110*0/10)+(BB110))/Y110)))*(1-MIN(ABS(in_elas)*W110*R110*(AI110*0/10)/V110,1)))</f>
        <v/>
      </c>
      <c r="BN110" s="15">
        <f>100*(1-(1-X110*(1-EXP(-((AI110*1/10)+(BC110))/Y110)))*(1-MIN(ABS(in_elas)*W110*R110*(AI110*1/10)/V110,1)))</f>
        <v/>
      </c>
      <c r="BO110" s="15">
        <f>100*(1-(1-X110*(1-EXP(-((AI110*2/10)+(BD110))/Y110)))*(1-MIN(ABS(in_elas)*W110*R110*(AI110*2/10)/V110,1)))</f>
        <v/>
      </c>
      <c r="BP110" s="15">
        <f>100*(1-(1-X110*(1-EXP(-((AI110*3/10)+(BE110))/Y110)))*(1-MIN(ABS(in_elas)*W110*R110*(AI110*3/10)/V110,1)))</f>
        <v/>
      </c>
      <c r="BQ110" s="15">
        <f>100*(1-(1-X110*(1-EXP(-((AI110*4/10)+(BF110))/Y110)))*(1-MIN(ABS(in_elas)*W110*R110*(AI110*4/10)/V110,1)))</f>
        <v/>
      </c>
      <c r="BR110" s="15">
        <f>100*(1-(1-X110*(1-EXP(-((AI110*5/10)+(BG110))/Y110)))*(1-MIN(ABS(in_elas)*W110*R110*(AI110*5/10)/V110,1)))</f>
        <v/>
      </c>
      <c r="BS110" s="15">
        <f>100*(1-(1-X110*(1-EXP(-((AI110*6/10)+(BH110))/Y110)))*(1-MIN(ABS(in_elas)*W110*R110*(AI110*6/10)/V110,1)))</f>
        <v/>
      </c>
      <c r="BT110" s="15">
        <f>100*(1-(1-X110*(1-EXP(-((AI110*7/10)+(BI110))/Y110)))*(1-MIN(ABS(in_elas)*W110*R110*(AI110*7/10)/V110,1)))</f>
        <v/>
      </c>
      <c r="BU110" s="15">
        <f>100*(1-(1-X110*(1-EXP(-((AI110*8/10)+(BJ110))/Y110)))*(1-MIN(ABS(in_elas)*W110*R110*(AI110*8/10)/V110,1)))</f>
        <v/>
      </c>
      <c r="BV110" s="15">
        <f>100*(1-(1-X110*(1-EXP(-((AI110*9/10)+(BK110))/Y110)))*(1-MIN(ABS(in_elas)*W110*R110*(AI110*9/10)/V110,1)))</f>
        <v/>
      </c>
      <c r="BW110" s="15">
        <f>100*(1-(1-X110*(1-EXP(-((AI110*10/10)+(BL110))/Y110)))*(1-MIN(ABS(in_elas)*W110*R110*(AI110*10/10)/V110,1)))</f>
        <v/>
      </c>
    </row>
    <row r="111">
      <c r="A111" s="17" t="inlineStr">
        <is>
          <t>MRT</t>
        </is>
      </c>
      <c r="B111" s="17">
        <f>INDEX(Data!$B:$B,MATCH($A111,Data!$A:$A,0))</f>
        <v/>
      </c>
      <c r="C111" s="17">
        <f>INDEX(Data!$D:$D,MATCH($A111,Data!$A:$A,0))</f>
        <v/>
      </c>
      <c r="D111" s="16">
        <f>SUMIFS(Data!$G:$G,Data!$A:$A,$A111,Data!$F:$F,"gen_coal_twh")</f>
        <v/>
      </c>
      <c r="E111" s="16">
        <f>SUMIFS(Data!$G:$G,Data!$A:$A,$A111,Data!$F:$F,"gen_gas_twh")</f>
        <v/>
      </c>
      <c r="F111" s="16">
        <f>SUMIFS(Data!$G:$G,Data!$A:$A,$A111,Data!$F:$F,"gen_oil_twh")</f>
        <v/>
      </c>
      <c r="G111" s="16">
        <f>SUMIFS(Data!$G:$G,Data!$A:$A,$A111,Data!$F:$F,"gen_total_twh")</f>
        <v/>
      </c>
      <c r="H111" s="16">
        <f>SUMIFS(Data!$G:$G,Data!$A:$A,$A111,Data!$F:$F,"em_coal_mt")</f>
        <v/>
      </c>
      <c r="I111" s="16">
        <f>SUMIFS(Data!$G:$G,Data!$A:$A,$A111,Data!$F:$F,"em_gas_mt")</f>
        <v/>
      </c>
      <c r="J111" s="16">
        <f>SUMIFS(Data!$G:$G,Data!$A:$A,$A111,Data!$F:$F,"em_oil_mt")</f>
        <v/>
      </c>
      <c r="K111" s="28">
        <f>IF(COUNTIFS(Data!$A:$A,$A111,Data!$F:$F,"price_electricity_residential_usd_kwh")=0,"",SUMIFS(Data!$G:$G,Data!$A:$A,$A111,Data!$F:$F,"price_electricity_residential_usd_kwh"))</f>
        <v/>
      </c>
      <c r="L111" s="28">
        <f>IF(COUNTIFS(Data!$A:$A,$A111,Data!$F:$F,"price_coal_power_usd_gj")=0,"",SUMIFS(Data!$G:$G,Data!$A:$A,$A111,Data!$F:$F,"price_coal_power_usd_gj"))</f>
        <v/>
      </c>
      <c r="M111" s="28">
        <f>IF(COUNTIFS(Data!$A:$A,$A111,Data!$F:$F,"price_gas_power_usd_gj")=0,"",SUMIFS(Data!$G:$G,Data!$A:$A,$A111,Data!$F:$F,"price_gas_power_usd_gj"))</f>
        <v/>
      </c>
      <c r="N111" s="28">
        <f>IF(COUNTIFS(Data!$A:$A,$A111,Data!$F:$F,"price_gas_industry_usd_gj")=0,"",SUMIFS(Data!$G:$G,Data!$A:$A,$A111,Data!$F:$F,"price_gas_industry_usd_gj"))</f>
        <v/>
      </c>
      <c r="O111" s="28">
        <f>IF(COUNTIFS(Data!$A:$A,$A111,Data!$F:$F,"power_market_structure")=0,"",SUMIFS(Data!$G:$G,Data!$A:$A,$A111,Data!$F:$F,"power_market_structure"))</f>
        <v/>
      </c>
      <c r="P111" s="28">
        <f>IF(COUNTIFS(Data!$A:$A,$A111,Data!$F:$F,"rise_renewable_energy_score")=0,"",SUMIFS(Data!$G:$G,Data!$A:$A,$A111,Data!$F:$F,"rise_renewable_energy_score"))</f>
        <v/>
      </c>
      <c r="Q111" s="16">
        <f>H111+I111+J111</f>
        <v/>
      </c>
      <c r="R111" s="28">
        <f>Q111/G111</f>
        <v/>
      </c>
      <c r="S111" s="28">
        <f>IF(D111&gt;0,H111/D111,0.85)</f>
        <v/>
      </c>
      <c r="T111" s="28">
        <f>IF(E111&gt;0,I111/E111,0.4)</f>
        <v/>
      </c>
      <c r="U111" s="28">
        <f>IF(D111+F111&gt;0,(H111+J111)/(D111+F111),0)</f>
        <v/>
      </c>
      <c r="V111" s="16">
        <f>K111*1000</f>
        <v/>
      </c>
      <c r="W111" s="15">
        <f>IF(O111=3,in_pt3,IF(O111=2,in_pt2,IF(O111=1,in_pt1,IF(C111="High income",in_pt_hi,in_pt_oth))))</f>
        <v/>
      </c>
      <c r="X111" s="28">
        <f>IF(Q111&gt;0,in_kappa*(in_rise_lo+(in_rise_hi-in_rise_lo)*IF(P111="",in_rise_miss,P111)/100)*(D111+F111)*MAX(U111-in_gas_rep*T111,0)/Q111,0)</f>
        <v/>
      </c>
      <c r="Y111" s="16">
        <f>IF(IF(M111="",N111,M111)="",MAX(in_sw_floor,in_sw_miss),MAX(in_sw_floor,(IF(M111="",N111,M111)*in_hr_gas-L111*in_hr_coal)/MAX(S111-T111,0.1)))</f>
        <v/>
      </c>
      <c r="Z111" s="28">
        <f>IF(C111="Low income",in_b40_li,IF(C111="Lower middle income",in_b40_lmi,IF(C111="Upper middle income",in_b40_umi,IF(C111="High income",in_b40_hi,0.03))))</f>
        <v/>
      </c>
      <c r="AA111" s="15">
        <f>(D111+F111)/G111</f>
        <v/>
      </c>
      <c r="AB111" s="28">
        <f>100*W111*R111/V111/in_phase</f>
        <v/>
      </c>
      <c r="AC111" s="29">
        <f>100*Z111*W111*R111/V111*(1-IF(W111&gt;0,MIN(in_rebate/(W111*in_res_sh*in_q40),1),1))</f>
        <v/>
      </c>
      <c r="AD111" s="28">
        <f>IF(AA111&gt;0,100*U111*(1-W111)/(in_whole_sh*V111),0)</f>
        <v/>
      </c>
      <c r="AE111" s="28">
        <f>IF(AA111&gt;0,100*MAX(U111-R111,0)/(in_whole_sh*V111),0)</f>
        <v/>
      </c>
      <c r="AF111" s="16">
        <f>IF(AB111&gt;0,in_f1/AB111,in_cap)</f>
        <v/>
      </c>
      <c r="AG111" s="16">
        <f>IF(AC111&gt;0,in_f2/AC111,in_cap)</f>
        <v/>
      </c>
      <c r="AH111" s="16">
        <f>IF(AD111&gt;0,in_f3/AD111,in_cap)</f>
        <v/>
      </c>
      <c r="AI111" s="16">
        <f>MIN(in_cap,AF111,AG111,AH111)</f>
        <v/>
      </c>
      <c r="AJ111" s="30">
        <f>100*(1-(1-X111*(1-EXP(-((AI111)+(0))/Y111)))*(1-MIN(ABS(in_elas)*W111*R111*(AI111)/V111,1)))</f>
        <v/>
      </c>
      <c r="AK111" s="17">
        <f>IF(AI111&gt;=in_cap-1E-9,"rate cap",TRIM(IF(ABS(AI111-AF111)&lt;1E-9,"F1 ","")&amp;IF(ABS(AI111-AG111)&lt;1E-9,"F2 ","")&amp;IF(ABS(AI111-AH111)&lt;1E-9,"F3","")))</f>
        <v/>
      </c>
      <c r="AL111" s="15">
        <f>100*(1-(1-X111*(1-EXP(-((MIN(in_cap,IF(AB111&gt;0,(in_f1+1)/AB111,in_cap),AG111,AH111))+(0))/Y111)))*(1-MIN(ABS(in_elas)*W111*R111*(MIN(in_cap,IF(AB111&gt;0,(in_f1+1)/AB111,in_cap),AG111,AH111))/V111,1)))-AJ111</f>
        <v/>
      </c>
      <c r="AM111" s="16">
        <f>MIN(in_cap,IF(AE111&gt;0,in_f3/AE111,in_cap))</f>
        <v/>
      </c>
      <c r="AN111" s="30">
        <f>100*(1-(1-X111*(1-EXP(-((0)+(AM111))/Y111)))*(1-MIN(ABS(in_elas)*W111*R111*(0)/V111,1)))</f>
        <v/>
      </c>
      <c r="AO111" s="17">
        <f>IF(AM111&gt;=in_cap-1E-9,"rate cap","F3")</f>
        <v/>
      </c>
      <c r="AP111" s="15">
        <f>100*(1-(1-X111*(1-EXP(-((50)+(0))/Y111)))*(1-MIN(ABS(in_elas)*W111*R111*(50)/V111,1)))</f>
        <v/>
      </c>
      <c r="AQ111" s="15">
        <f>100*(1-(1-X111*(1-EXP(-((0)+(50))/Y111)))*(1-MIN(ABS(in_elas)*W111*R111*(0)/V111,1)))</f>
        <v/>
      </c>
      <c r="AR111" s="15">
        <f>IF(AP111&gt;0,AQ111/AP111,"")</f>
        <v/>
      </c>
      <c r="AS111" s="16">
        <f>50*AB111</f>
        <v/>
      </c>
      <c r="AT111" s="30">
        <f>MAX(BM111:BW111)</f>
        <v/>
      </c>
      <c r="AU111" s="31">
        <f>AI111*(MATCH(AT111,BM111:BW111,0)-1)/10</f>
        <v/>
      </c>
      <c r="AV111" s="31">
        <f>INDEX(BB111:BL111,1,(MATCH(AT111,BM111:BW111,0)-1)+1)</f>
        <v/>
      </c>
      <c r="AW111" s="31">
        <f>AB111*AU111</f>
        <v/>
      </c>
      <c r="AX111" s="30">
        <f>AC111*AU111</f>
        <v/>
      </c>
      <c r="AY111" s="31">
        <f>AD111*AU111+AE111*AV111</f>
        <v/>
      </c>
      <c r="AZ111" s="32">
        <f>TRIM(IF(AND(AU111&gt;0,ABS(AU111-AF111)&lt;1E-6),"F1 ","")&amp;IF(AND(AU111&gt;0,ABS(AU111-AG111)&lt;1E-6),"F2 ","")&amp;IF(AY111&gt;=in_f3-1E-6,"F3 ","")&amp;IF(AV111&gt;=in_cap-1E-9,"rate cap",""))</f>
        <v/>
      </c>
      <c r="BA111" s="31">
        <f>Q111*AT111/100</f>
        <v/>
      </c>
      <c r="BB111" s="16">
        <f>MAX(0,MIN(in_cap,IF(AE111&gt;0,(in_f3-AD111*AI111*0/10)/AE111,in_cap)))</f>
        <v/>
      </c>
      <c r="BC111" s="16">
        <f>MAX(0,MIN(in_cap,IF(AE111&gt;0,(in_f3-AD111*AI111*1/10)/AE111,in_cap)))</f>
        <v/>
      </c>
      <c r="BD111" s="16">
        <f>MAX(0,MIN(in_cap,IF(AE111&gt;0,(in_f3-AD111*AI111*2/10)/AE111,in_cap)))</f>
        <v/>
      </c>
      <c r="BE111" s="16">
        <f>MAX(0,MIN(in_cap,IF(AE111&gt;0,(in_f3-AD111*AI111*3/10)/AE111,in_cap)))</f>
        <v/>
      </c>
      <c r="BF111" s="16">
        <f>MAX(0,MIN(in_cap,IF(AE111&gt;0,(in_f3-AD111*AI111*4/10)/AE111,in_cap)))</f>
        <v/>
      </c>
      <c r="BG111" s="16">
        <f>MAX(0,MIN(in_cap,IF(AE111&gt;0,(in_f3-AD111*AI111*5/10)/AE111,in_cap)))</f>
        <v/>
      </c>
      <c r="BH111" s="16">
        <f>MAX(0,MIN(in_cap,IF(AE111&gt;0,(in_f3-AD111*AI111*6/10)/AE111,in_cap)))</f>
        <v/>
      </c>
      <c r="BI111" s="16">
        <f>MAX(0,MIN(in_cap,IF(AE111&gt;0,(in_f3-AD111*AI111*7/10)/AE111,in_cap)))</f>
        <v/>
      </c>
      <c r="BJ111" s="16">
        <f>MAX(0,MIN(in_cap,IF(AE111&gt;0,(in_f3-AD111*AI111*8/10)/AE111,in_cap)))</f>
        <v/>
      </c>
      <c r="BK111" s="16">
        <f>MAX(0,MIN(in_cap,IF(AE111&gt;0,(in_f3-AD111*AI111*9/10)/AE111,in_cap)))</f>
        <v/>
      </c>
      <c r="BL111" s="16">
        <f>MAX(0,MIN(in_cap,IF(AE111&gt;0,(in_f3-AD111*AI111*10/10)/AE111,in_cap)))</f>
        <v/>
      </c>
      <c r="BM111" s="15">
        <f>100*(1-(1-X111*(1-EXP(-((AI111*0/10)+(BB111))/Y111)))*(1-MIN(ABS(in_elas)*W111*R111*(AI111*0/10)/V111,1)))</f>
        <v/>
      </c>
      <c r="BN111" s="15">
        <f>100*(1-(1-X111*(1-EXP(-((AI111*1/10)+(BC111))/Y111)))*(1-MIN(ABS(in_elas)*W111*R111*(AI111*1/10)/V111,1)))</f>
        <v/>
      </c>
      <c r="BO111" s="15">
        <f>100*(1-(1-X111*(1-EXP(-((AI111*2/10)+(BD111))/Y111)))*(1-MIN(ABS(in_elas)*W111*R111*(AI111*2/10)/V111,1)))</f>
        <v/>
      </c>
      <c r="BP111" s="15">
        <f>100*(1-(1-X111*(1-EXP(-((AI111*3/10)+(BE111))/Y111)))*(1-MIN(ABS(in_elas)*W111*R111*(AI111*3/10)/V111,1)))</f>
        <v/>
      </c>
      <c r="BQ111" s="15">
        <f>100*(1-(1-X111*(1-EXP(-((AI111*4/10)+(BF111))/Y111)))*(1-MIN(ABS(in_elas)*W111*R111*(AI111*4/10)/V111,1)))</f>
        <v/>
      </c>
      <c r="BR111" s="15">
        <f>100*(1-(1-X111*(1-EXP(-((AI111*5/10)+(BG111))/Y111)))*(1-MIN(ABS(in_elas)*W111*R111*(AI111*5/10)/V111,1)))</f>
        <v/>
      </c>
      <c r="BS111" s="15">
        <f>100*(1-(1-X111*(1-EXP(-((AI111*6/10)+(BH111))/Y111)))*(1-MIN(ABS(in_elas)*W111*R111*(AI111*6/10)/V111,1)))</f>
        <v/>
      </c>
      <c r="BT111" s="15">
        <f>100*(1-(1-X111*(1-EXP(-((AI111*7/10)+(BI111))/Y111)))*(1-MIN(ABS(in_elas)*W111*R111*(AI111*7/10)/V111,1)))</f>
        <v/>
      </c>
      <c r="BU111" s="15">
        <f>100*(1-(1-X111*(1-EXP(-((AI111*8/10)+(BJ111))/Y111)))*(1-MIN(ABS(in_elas)*W111*R111*(AI111*8/10)/V111,1)))</f>
        <v/>
      </c>
      <c r="BV111" s="15">
        <f>100*(1-(1-X111*(1-EXP(-((AI111*9/10)+(BK111))/Y111)))*(1-MIN(ABS(in_elas)*W111*R111*(AI111*9/10)/V111,1)))</f>
        <v/>
      </c>
      <c r="BW111" s="15">
        <f>100*(1-(1-X111*(1-EXP(-((AI111*10/10)+(BL111))/Y111)))*(1-MIN(ABS(in_elas)*W111*R111*(AI111*10/10)/V111,1)))</f>
        <v/>
      </c>
    </row>
    <row r="112">
      <c r="A112" s="17" t="inlineStr">
        <is>
          <t>MUS</t>
        </is>
      </c>
      <c r="B112" s="17">
        <f>INDEX(Data!$B:$B,MATCH($A112,Data!$A:$A,0))</f>
        <v/>
      </c>
      <c r="C112" s="17">
        <f>INDEX(Data!$D:$D,MATCH($A112,Data!$A:$A,0))</f>
        <v/>
      </c>
      <c r="D112" s="16">
        <f>SUMIFS(Data!$G:$G,Data!$A:$A,$A112,Data!$F:$F,"gen_coal_twh")</f>
        <v/>
      </c>
      <c r="E112" s="16">
        <f>SUMIFS(Data!$G:$G,Data!$A:$A,$A112,Data!$F:$F,"gen_gas_twh")</f>
        <v/>
      </c>
      <c r="F112" s="16">
        <f>SUMIFS(Data!$G:$G,Data!$A:$A,$A112,Data!$F:$F,"gen_oil_twh")</f>
        <v/>
      </c>
      <c r="G112" s="16">
        <f>SUMIFS(Data!$G:$G,Data!$A:$A,$A112,Data!$F:$F,"gen_total_twh")</f>
        <v/>
      </c>
      <c r="H112" s="16">
        <f>SUMIFS(Data!$G:$G,Data!$A:$A,$A112,Data!$F:$F,"em_coal_mt")</f>
        <v/>
      </c>
      <c r="I112" s="16">
        <f>SUMIFS(Data!$G:$G,Data!$A:$A,$A112,Data!$F:$F,"em_gas_mt")</f>
        <v/>
      </c>
      <c r="J112" s="16">
        <f>SUMIFS(Data!$G:$G,Data!$A:$A,$A112,Data!$F:$F,"em_oil_mt")</f>
        <v/>
      </c>
      <c r="K112" s="28">
        <f>IF(COUNTIFS(Data!$A:$A,$A112,Data!$F:$F,"price_electricity_residential_usd_kwh")=0,"",SUMIFS(Data!$G:$G,Data!$A:$A,$A112,Data!$F:$F,"price_electricity_residential_usd_kwh"))</f>
        <v/>
      </c>
      <c r="L112" s="28">
        <f>IF(COUNTIFS(Data!$A:$A,$A112,Data!$F:$F,"price_coal_power_usd_gj")=0,"",SUMIFS(Data!$G:$G,Data!$A:$A,$A112,Data!$F:$F,"price_coal_power_usd_gj"))</f>
        <v/>
      </c>
      <c r="M112" s="28">
        <f>IF(COUNTIFS(Data!$A:$A,$A112,Data!$F:$F,"price_gas_power_usd_gj")=0,"",SUMIFS(Data!$G:$G,Data!$A:$A,$A112,Data!$F:$F,"price_gas_power_usd_gj"))</f>
        <v/>
      </c>
      <c r="N112" s="28">
        <f>IF(COUNTIFS(Data!$A:$A,$A112,Data!$F:$F,"price_gas_industry_usd_gj")=0,"",SUMIFS(Data!$G:$G,Data!$A:$A,$A112,Data!$F:$F,"price_gas_industry_usd_gj"))</f>
        <v/>
      </c>
      <c r="O112" s="28">
        <f>IF(COUNTIFS(Data!$A:$A,$A112,Data!$F:$F,"power_market_structure")=0,"",SUMIFS(Data!$G:$G,Data!$A:$A,$A112,Data!$F:$F,"power_market_structure"))</f>
        <v/>
      </c>
      <c r="P112" s="28">
        <f>IF(COUNTIFS(Data!$A:$A,$A112,Data!$F:$F,"rise_renewable_energy_score")=0,"",SUMIFS(Data!$G:$G,Data!$A:$A,$A112,Data!$F:$F,"rise_renewable_energy_score"))</f>
        <v/>
      </c>
      <c r="Q112" s="16">
        <f>H112+I112+J112</f>
        <v/>
      </c>
      <c r="R112" s="28">
        <f>Q112/G112</f>
        <v/>
      </c>
      <c r="S112" s="28">
        <f>IF(D112&gt;0,H112/D112,0.85)</f>
        <v/>
      </c>
      <c r="T112" s="28">
        <f>IF(E112&gt;0,I112/E112,0.4)</f>
        <v/>
      </c>
      <c r="U112" s="28">
        <f>IF(D112+F112&gt;0,(H112+J112)/(D112+F112),0)</f>
        <v/>
      </c>
      <c r="V112" s="16">
        <f>K112*1000</f>
        <v/>
      </c>
      <c r="W112" s="15">
        <f>IF(O112=3,in_pt3,IF(O112=2,in_pt2,IF(O112=1,in_pt1,IF(C112="High income",in_pt_hi,in_pt_oth))))</f>
        <v/>
      </c>
      <c r="X112" s="28">
        <f>IF(Q112&gt;0,in_kappa*(in_rise_lo+(in_rise_hi-in_rise_lo)*IF(P112="",in_rise_miss,P112)/100)*(D112+F112)*MAX(U112-in_gas_rep*T112,0)/Q112,0)</f>
        <v/>
      </c>
      <c r="Y112" s="16">
        <f>IF(IF(M112="",N112,M112)="",MAX(in_sw_floor,in_sw_miss),MAX(in_sw_floor,(IF(M112="",N112,M112)*in_hr_gas-L112*in_hr_coal)/MAX(S112-T112,0.1)))</f>
        <v/>
      </c>
      <c r="Z112" s="28">
        <f>IF(C112="Low income",in_b40_li,IF(C112="Lower middle income",in_b40_lmi,IF(C112="Upper middle income",in_b40_umi,IF(C112="High income",in_b40_hi,0.03))))</f>
        <v/>
      </c>
      <c r="AA112" s="15">
        <f>(D112+F112)/G112</f>
        <v/>
      </c>
      <c r="AB112" s="28">
        <f>100*W112*R112/V112/in_phase</f>
        <v/>
      </c>
      <c r="AC112" s="29">
        <f>100*Z112*W112*R112/V112*(1-IF(W112&gt;0,MIN(in_rebate/(W112*in_res_sh*in_q40),1),1))</f>
        <v/>
      </c>
      <c r="AD112" s="28">
        <f>IF(AA112&gt;0,100*U112*(1-W112)/(in_whole_sh*V112),0)</f>
        <v/>
      </c>
      <c r="AE112" s="28">
        <f>IF(AA112&gt;0,100*MAX(U112-R112,0)/(in_whole_sh*V112),0)</f>
        <v/>
      </c>
      <c r="AF112" s="16">
        <f>IF(AB112&gt;0,in_f1/AB112,in_cap)</f>
        <v/>
      </c>
      <c r="AG112" s="16">
        <f>IF(AC112&gt;0,in_f2/AC112,in_cap)</f>
        <v/>
      </c>
      <c r="AH112" s="16">
        <f>IF(AD112&gt;0,in_f3/AD112,in_cap)</f>
        <v/>
      </c>
      <c r="AI112" s="16">
        <f>MIN(in_cap,AF112,AG112,AH112)</f>
        <v/>
      </c>
      <c r="AJ112" s="30">
        <f>100*(1-(1-X112*(1-EXP(-((AI112)+(0))/Y112)))*(1-MIN(ABS(in_elas)*W112*R112*(AI112)/V112,1)))</f>
        <v/>
      </c>
      <c r="AK112" s="17">
        <f>IF(AI112&gt;=in_cap-1E-9,"rate cap",TRIM(IF(ABS(AI112-AF112)&lt;1E-9,"F1 ","")&amp;IF(ABS(AI112-AG112)&lt;1E-9,"F2 ","")&amp;IF(ABS(AI112-AH112)&lt;1E-9,"F3","")))</f>
        <v/>
      </c>
      <c r="AL112" s="15">
        <f>100*(1-(1-X112*(1-EXP(-((MIN(in_cap,IF(AB112&gt;0,(in_f1+1)/AB112,in_cap),AG112,AH112))+(0))/Y112)))*(1-MIN(ABS(in_elas)*W112*R112*(MIN(in_cap,IF(AB112&gt;0,(in_f1+1)/AB112,in_cap),AG112,AH112))/V112,1)))-AJ112</f>
        <v/>
      </c>
      <c r="AM112" s="16">
        <f>MIN(in_cap,IF(AE112&gt;0,in_f3/AE112,in_cap))</f>
        <v/>
      </c>
      <c r="AN112" s="30">
        <f>100*(1-(1-X112*(1-EXP(-((0)+(AM112))/Y112)))*(1-MIN(ABS(in_elas)*W112*R112*(0)/V112,1)))</f>
        <v/>
      </c>
      <c r="AO112" s="17">
        <f>IF(AM112&gt;=in_cap-1E-9,"rate cap","F3")</f>
        <v/>
      </c>
      <c r="AP112" s="15">
        <f>100*(1-(1-X112*(1-EXP(-((50)+(0))/Y112)))*(1-MIN(ABS(in_elas)*W112*R112*(50)/V112,1)))</f>
        <v/>
      </c>
      <c r="AQ112" s="15">
        <f>100*(1-(1-X112*(1-EXP(-((0)+(50))/Y112)))*(1-MIN(ABS(in_elas)*W112*R112*(0)/V112,1)))</f>
        <v/>
      </c>
      <c r="AR112" s="15">
        <f>IF(AP112&gt;0,AQ112/AP112,"")</f>
        <v/>
      </c>
      <c r="AS112" s="16">
        <f>50*AB112</f>
        <v/>
      </c>
      <c r="AT112" s="30">
        <f>MAX(BM112:BW112)</f>
        <v/>
      </c>
      <c r="AU112" s="31">
        <f>AI112*(MATCH(AT112,BM112:BW112,0)-1)/10</f>
        <v/>
      </c>
      <c r="AV112" s="31">
        <f>INDEX(BB112:BL112,1,(MATCH(AT112,BM112:BW112,0)-1)+1)</f>
        <v/>
      </c>
      <c r="AW112" s="31">
        <f>AB112*AU112</f>
        <v/>
      </c>
      <c r="AX112" s="30">
        <f>AC112*AU112</f>
        <v/>
      </c>
      <c r="AY112" s="31">
        <f>AD112*AU112+AE112*AV112</f>
        <v/>
      </c>
      <c r="AZ112" s="32">
        <f>TRIM(IF(AND(AU112&gt;0,ABS(AU112-AF112)&lt;1E-6),"F1 ","")&amp;IF(AND(AU112&gt;0,ABS(AU112-AG112)&lt;1E-6),"F2 ","")&amp;IF(AY112&gt;=in_f3-1E-6,"F3 ","")&amp;IF(AV112&gt;=in_cap-1E-9,"rate cap",""))</f>
        <v/>
      </c>
      <c r="BA112" s="31">
        <f>Q112*AT112/100</f>
        <v/>
      </c>
      <c r="BB112" s="16">
        <f>MAX(0,MIN(in_cap,IF(AE112&gt;0,(in_f3-AD112*AI112*0/10)/AE112,in_cap)))</f>
        <v/>
      </c>
      <c r="BC112" s="16">
        <f>MAX(0,MIN(in_cap,IF(AE112&gt;0,(in_f3-AD112*AI112*1/10)/AE112,in_cap)))</f>
        <v/>
      </c>
      <c r="BD112" s="16">
        <f>MAX(0,MIN(in_cap,IF(AE112&gt;0,(in_f3-AD112*AI112*2/10)/AE112,in_cap)))</f>
        <v/>
      </c>
      <c r="BE112" s="16">
        <f>MAX(0,MIN(in_cap,IF(AE112&gt;0,(in_f3-AD112*AI112*3/10)/AE112,in_cap)))</f>
        <v/>
      </c>
      <c r="BF112" s="16">
        <f>MAX(0,MIN(in_cap,IF(AE112&gt;0,(in_f3-AD112*AI112*4/10)/AE112,in_cap)))</f>
        <v/>
      </c>
      <c r="BG112" s="16">
        <f>MAX(0,MIN(in_cap,IF(AE112&gt;0,(in_f3-AD112*AI112*5/10)/AE112,in_cap)))</f>
        <v/>
      </c>
      <c r="BH112" s="16">
        <f>MAX(0,MIN(in_cap,IF(AE112&gt;0,(in_f3-AD112*AI112*6/10)/AE112,in_cap)))</f>
        <v/>
      </c>
      <c r="BI112" s="16">
        <f>MAX(0,MIN(in_cap,IF(AE112&gt;0,(in_f3-AD112*AI112*7/10)/AE112,in_cap)))</f>
        <v/>
      </c>
      <c r="BJ112" s="16">
        <f>MAX(0,MIN(in_cap,IF(AE112&gt;0,(in_f3-AD112*AI112*8/10)/AE112,in_cap)))</f>
        <v/>
      </c>
      <c r="BK112" s="16">
        <f>MAX(0,MIN(in_cap,IF(AE112&gt;0,(in_f3-AD112*AI112*9/10)/AE112,in_cap)))</f>
        <v/>
      </c>
      <c r="BL112" s="16">
        <f>MAX(0,MIN(in_cap,IF(AE112&gt;0,(in_f3-AD112*AI112*10/10)/AE112,in_cap)))</f>
        <v/>
      </c>
      <c r="BM112" s="15">
        <f>100*(1-(1-X112*(1-EXP(-((AI112*0/10)+(BB112))/Y112)))*(1-MIN(ABS(in_elas)*W112*R112*(AI112*0/10)/V112,1)))</f>
        <v/>
      </c>
      <c r="BN112" s="15">
        <f>100*(1-(1-X112*(1-EXP(-((AI112*1/10)+(BC112))/Y112)))*(1-MIN(ABS(in_elas)*W112*R112*(AI112*1/10)/V112,1)))</f>
        <v/>
      </c>
      <c r="BO112" s="15">
        <f>100*(1-(1-X112*(1-EXP(-((AI112*2/10)+(BD112))/Y112)))*(1-MIN(ABS(in_elas)*W112*R112*(AI112*2/10)/V112,1)))</f>
        <v/>
      </c>
      <c r="BP112" s="15">
        <f>100*(1-(1-X112*(1-EXP(-((AI112*3/10)+(BE112))/Y112)))*(1-MIN(ABS(in_elas)*W112*R112*(AI112*3/10)/V112,1)))</f>
        <v/>
      </c>
      <c r="BQ112" s="15">
        <f>100*(1-(1-X112*(1-EXP(-((AI112*4/10)+(BF112))/Y112)))*(1-MIN(ABS(in_elas)*W112*R112*(AI112*4/10)/V112,1)))</f>
        <v/>
      </c>
      <c r="BR112" s="15">
        <f>100*(1-(1-X112*(1-EXP(-((AI112*5/10)+(BG112))/Y112)))*(1-MIN(ABS(in_elas)*W112*R112*(AI112*5/10)/V112,1)))</f>
        <v/>
      </c>
      <c r="BS112" s="15">
        <f>100*(1-(1-X112*(1-EXP(-((AI112*6/10)+(BH112))/Y112)))*(1-MIN(ABS(in_elas)*W112*R112*(AI112*6/10)/V112,1)))</f>
        <v/>
      </c>
      <c r="BT112" s="15">
        <f>100*(1-(1-X112*(1-EXP(-((AI112*7/10)+(BI112))/Y112)))*(1-MIN(ABS(in_elas)*W112*R112*(AI112*7/10)/V112,1)))</f>
        <v/>
      </c>
      <c r="BU112" s="15">
        <f>100*(1-(1-X112*(1-EXP(-((AI112*8/10)+(BJ112))/Y112)))*(1-MIN(ABS(in_elas)*W112*R112*(AI112*8/10)/V112,1)))</f>
        <v/>
      </c>
      <c r="BV112" s="15">
        <f>100*(1-(1-X112*(1-EXP(-((AI112*9/10)+(BK112))/Y112)))*(1-MIN(ABS(in_elas)*W112*R112*(AI112*9/10)/V112,1)))</f>
        <v/>
      </c>
      <c r="BW112" s="15">
        <f>100*(1-(1-X112*(1-EXP(-((AI112*10/10)+(BL112))/Y112)))*(1-MIN(ABS(in_elas)*W112*R112*(AI112*10/10)/V112,1)))</f>
        <v/>
      </c>
    </row>
    <row r="113">
      <c r="A113" s="17" t="inlineStr">
        <is>
          <t>MWI</t>
        </is>
      </c>
      <c r="B113" s="17">
        <f>INDEX(Data!$B:$B,MATCH($A113,Data!$A:$A,0))</f>
        <v/>
      </c>
      <c r="C113" s="17">
        <f>INDEX(Data!$D:$D,MATCH($A113,Data!$A:$A,0))</f>
        <v/>
      </c>
      <c r="D113" s="16">
        <f>SUMIFS(Data!$G:$G,Data!$A:$A,$A113,Data!$F:$F,"gen_coal_twh")</f>
        <v/>
      </c>
      <c r="E113" s="16">
        <f>SUMIFS(Data!$G:$G,Data!$A:$A,$A113,Data!$F:$F,"gen_gas_twh")</f>
        <v/>
      </c>
      <c r="F113" s="16">
        <f>SUMIFS(Data!$G:$G,Data!$A:$A,$A113,Data!$F:$F,"gen_oil_twh")</f>
        <v/>
      </c>
      <c r="G113" s="16">
        <f>SUMIFS(Data!$G:$G,Data!$A:$A,$A113,Data!$F:$F,"gen_total_twh")</f>
        <v/>
      </c>
      <c r="H113" s="16">
        <f>SUMIFS(Data!$G:$G,Data!$A:$A,$A113,Data!$F:$F,"em_coal_mt")</f>
        <v/>
      </c>
      <c r="I113" s="16">
        <f>SUMIFS(Data!$G:$G,Data!$A:$A,$A113,Data!$F:$F,"em_gas_mt")</f>
        <v/>
      </c>
      <c r="J113" s="16">
        <f>SUMIFS(Data!$G:$G,Data!$A:$A,$A113,Data!$F:$F,"em_oil_mt")</f>
        <v/>
      </c>
      <c r="K113" s="28">
        <f>IF(COUNTIFS(Data!$A:$A,$A113,Data!$F:$F,"price_electricity_residential_usd_kwh")=0,"",SUMIFS(Data!$G:$G,Data!$A:$A,$A113,Data!$F:$F,"price_electricity_residential_usd_kwh"))</f>
        <v/>
      </c>
      <c r="L113" s="28">
        <f>IF(COUNTIFS(Data!$A:$A,$A113,Data!$F:$F,"price_coal_power_usd_gj")=0,"",SUMIFS(Data!$G:$G,Data!$A:$A,$A113,Data!$F:$F,"price_coal_power_usd_gj"))</f>
        <v/>
      </c>
      <c r="M113" s="28">
        <f>IF(COUNTIFS(Data!$A:$A,$A113,Data!$F:$F,"price_gas_power_usd_gj")=0,"",SUMIFS(Data!$G:$G,Data!$A:$A,$A113,Data!$F:$F,"price_gas_power_usd_gj"))</f>
        <v/>
      </c>
      <c r="N113" s="28">
        <f>IF(COUNTIFS(Data!$A:$A,$A113,Data!$F:$F,"price_gas_industry_usd_gj")=0,"",SUMIFS(Data!$G:$G,Data!$A:$A,$A113,Data!$F:$F,"price_gas_industry_usd_gj"))</f>
        <v/>
      </c>
      <c r="O113" s="28">
        <f>IF(COUNTIFS(Data!$A:$A,$A113,Data!$F:$F,"power_market_structure")=0,"",SUMIFS(Data!$G:$G,Data!$A:$A,$A113,Data!$F:$F,"power_market_structure"))</f>
        <v/>
      </c>
      <c r="P113" s="28">
        <f>IF(COUNTIFS(Data!$A:$A,$A113,Data!$F:$F,"rise_renewable_energy_score")=0,"",SUMIFS(Data!$G:$G,Data!$A:$A,$A113,Data!$F:$F,"rise_renewable_energy_score"))</f>
        <v/>
      </c>
      <c r="Q113" s="16">
        <f>H113+I113+J113</f>
        <v/>
      </c>
      <c r="R113" s="28">
        <f>Q113/G113</f>
        <v/>
      </c>
      <c r="S113" s="28">
        <f>IF(D113&gt;0,H113/D113,0.85)</f>
        <v/>
      </c>
      <c r="T113" s="28">
        <f>IF(E113&gt;0,I113/E113,0.4)</f>
        <v/>
      </c>
      <c r="U113" s="28">
        <f>IF(D113+F113&gt;0,(H113+J113)/(D113+F113),0)</f>
        <v/>
      </c>
      <c r="V113" s="16">
        <f>K113*1000</f>
        <v/>
      </c>
      <c r="W113" s="15">
        <f>IF(O113=3,in_pt3,IF(O113=2,in_pt2,IF(O113=1,in_pt1,IF(C113="High income",in_pt_hi,in_pt_oth))))</f>
        <v/>
      </c>
      <c r="X113" s="28">
        <f>IF(Q113&gt;0,in_kappa*(in_rise_lo+(in_rise_hi-in_rise_lo)*IF(P113="",in_rise_miss,P113)/100)*(D113+F113)*MAX(U113-in_gas_rep*T113,0)/Q113,0)</f>
        <v/>
      </c>
      <c r="Y113" s="16">
        <f>IF(IF(M113="",N113,M113)="",MAX(in_sw_floor,in_sw_miss),MAX(in_sw_floor,(IF(M113="",N113,M113)*in_hr_gas-L113*in_hr_coal)/MAX(S113-T113,0.1)))</f>
        <v/>
      </c>
      <c r="Z113" s="28">
        <f>IF(C113="Low income",in_b40_li,IF(C113="Lower middle income",in_b40_lmi,IF(C113="Upper middle income",in_b40_umi,IF(C113="High income",in_b40_hi,0.03))))</f>
        <v/>
      </c>
      <c r="AA113" s="15">
        <f>(D113+F113)/G113</f>
        <v/>
      </c>
      <c r="AB113" s="28">
        <f>100*W113*R113/V113/in_phase</f>
        <v/>
      </c>
      <c r="AC113" s="29">
        <f>100*Z113*W113*R113/V113*(1-IF(W113&gt;0,MIN(in_rebate/(W113*in_res_sh*in_q40),1),1))</f>
        <v/>
      </c>
      <c r="AD113" s="28">
        <f>IF(AA113&gt;0,100*U113*(1-W113)/(in_whole_sh*V113),0)</f>
        <v/>
      </c>
      <c r="AE113" s="28">
        <f>IF(AA113&gt;0,100*MAX(U113-R113,0)/(in_whole_sh*V113),0)</f>
        <v/>
      </c>
      <c r="AF113" s="16">
        <f>IF(AB113&gt;0,in_f1/AB113,in_cap)</f>
        <v/>
      </c>
      <c r="AG113" s="16">
        <f>IF(AC113&gt;0,in_f2/AC113,in_cap)</f>
        <v/>
      </c>
      <c r="AH113" s="16">
        <f>IF(AD113&gt;0,in_f3/AD113,in_cap)</f>
        <v/>
      </c>
      <c r="AI113" s="16">
        <f>MIN(in_cap,AF113,AG113,AH113)</f>
        <v/>
      </c>
      <c r="AJ113" s="30">
        <f>100*(1-(1-X113*(1-EXP(-((AI113)+(0))/Y113)))*(1-MIN(ABS(in_elas)*W113*R113*(AI113)/V113,1)))</f>
        <v/>
      </c>
      <c r="AK113" s="17">
        <f>IF(AI113&gt;=in_cap-1E-9,"rate cap",TRIM(IF(ABS(AI113-AF113)&lt;1E-9,"F1 ","")&amp;IF(ABS(AI113-AG113)&lt;1E-9,"F2 ","")&amp;IF(ABS(AI113-AH113)&lt;1E-9,"F3","")))</f>
        <v/>
      </c>
      <c r="AL113" s="15">
        <f>100*(1-(1-X113*(1-EXP(-((MIN(in_cap,IF(AB113&gt;0,(in_f1+1)/AB113,in_cap),AG113,AH113))+(0))/Y113)))*(1-MIN(ABS(in_elas)*W113*R113*(MIN(in_cap,IF(AB113&gt;0,(in_f1+1)/AB113,in_cap),AG113,AH113))/V113,1)))-AJ113</f>
        <v/>
      </c>
      <c r="AM113" s="16">
        <f>MIN(in_cap,IF(AE113&gt;0,in_f3/AE113,in_cap))</f>
        <v/>
      </c>
      <c r="AN113" s="30">
        <f>100*(1-(1-X113*(1-EXP(-((0)+(AM113))/Y113)))*(1-MIN(ABS(in_elas)*W113*R113*(0)/V113,1)))</f>
        <v/>
      </c>
      <c r="AO113" s="17">
        <f>IF(AM113&gt;=in_cap-1E-9,"rate cap","F3")</f>
        <v/>
      </c>
      <c r="AP113" s="15">
        <f>100*(1-(1-X113*(1-EXP(-((50)+(0))/Y113)))*(1-MIN(ABS(in_elas)*W113*R113*(50)/V113,1)))</f>
        <v/>
      </c>
      <c r="AQ113" s="15">
        <f>100*(1-(1-X113*(1-EXP(-((0)+(50))/Y113)))*(1-MIN(ABS(in_elas)*W113*R113*(0)/V113,1)))</f>
        <v/>
      </c>
      <c r="AR113" s="15">
        <f>IF(AP113&gt;0,AQ113/AP113,"")</f>
        <v/>
      </c>
      <c r="AS113" s="16">
        <f>50*AB113</f>
        <v/>
      </c>
      <c r="AT113" s="30">
        <f>MAX(BM113:BW113)</f>
        <v/>
      </c>
      <c r="AU113" s="31">
        <f>AI113*(MATCH(AT113,BM113:BW113,0)-1)/10</f>
        <v/>
      </c>
      <c r="AV113" s="31">
        <f>INDEX(BB113:BL113,1,(MATCH(AT113,BM113:BW113,0)-1)+1)</f>
        <v/>
      </c>
      <c r="AW113" s="31">
        <f>AB113*AU113</f>
        <v/>
      </c>
      <c r="AX113" s="30">
        <f>AC113*AU113</f>
        <v/>
      </c>
      <c r="AY113" s="31">
        <f>AD113*AU113+AE113*AV113</f>
        <v/>
      </c>
      <c r="AZ113" s="32">
        <f>TRIM(IF(AND(AU113&gt;0,ABS(AU113-AF113)&lt;1E-6),"F1 ","")&amp;IF(AND(AU113&gt;0,ABS(AU113-AG113)&lt;1E-6),"F2 ","")&amp;IF(AY113&gt;=in_f3-1E-6,"F3 ","")&amp;IF(AV113&gt;=in_cap-1E-9,"rate cap",""))</f>
        <v/>
      </c>
      <c r="BA113" s="31">
        <f>Q113*AT113/100</f>
        <v/>
      </c>
      <c r="BB113" s="16">
        <f>MAX(0,MIN(in_cap,IF(AE113&gt;0,(in_f3-AD113*AI113*0/10)/AE113,in_cap)))</f>
        <v/>
      </c>
      <c r="BC113" s="16">
        <f>MAX(0,MIN(in_cap,IF(AE113&gt;0,(in_f3-AD113*AI113*1/10)/AE113,in_cap)))</f>
        <v/>
      </c>
      <c r="BD113" s="16">
        <f>MAX(0,MIN(in_cap,IF(AE113&gt;0,(in_f3-AD113*AI113*2/10)/AE113,in_cap)))</f>
        <v/>
      </c>
      <c r="BE113" s="16">
        <f>MAX(0,MIN(in_cap,IF(AE113&gt;0,(in_f3-AD113*AI113*3/10)/AE113,in_cap)))</f>
        <v/>
      </c>
      <c r="BF113" s="16">
        <f>MAX(0,MIN(in_cap,IF(AE113&gt;0,(in_f3-AD113*AI113*4/10)/AE113,in_cap)))</f>
        <v/>
      </c>
      <c r="BG113" s="16">
        <f>MAX(0,MIN(in_cap,IF(AE113&gt;0,(in_f3-AD113*AI113*5/10)/AE113,in_cap)))</f>
        <v/>
      </c>
      <c r="BH113" s="16">
        <f>MAX(0,MIN(in_cap,IF(AE113&gt;0,(in_f3-AD113*AI113*6/10)/AE113,in_cap)))</f>
        <v/>
      </c>
      <c r="BI113" s="16">
        <f>MAX(0,MIN(in_cap,IF(AE113&gt;0,(in_f3-AD113*AI113*7/10)/AE113,in_cap)))</f>
        <v/>
      </c>
      <c r="BJ113" s="16">
        <f>MAX(0,MIN(in_cap,IF(AE113&gt;0,(in_f3-AD113*AI113*8/10)/AE113,in_cap)))</f>
        <v/>
      </c>
      <c r="BK113" s="16">
        <f>MAX(0,MIN(in_cap,IF(AE113&gt;0,(in_f3-AD113*AI113*9/10)/AE113,in_cap)))</f>
        <v/>
      </c>
      <c r="BL113" s="16">
        <f>MAX(0,MIN(in_cap,IF(AE113&gt;0,(in_f3-AD113*AI113*10/10)/AE113,in_cap)))</f>
        <v/>
      </c>
      <c r="BM113" s="15">
        <f>100*(1-(1-X113*(1-EXP(-((AI113*0/10)+(BB113))/Y113)))*(1-MIN(ABS(in_elas)*W113*R113*(AI113*0/10)/V113,1)))</f>
        <v/>
      </c>
      <c r="BN113" s="15">
        <f>100*(1-(1-X113*(1-EXP(-((AI113*1/10)+(BC113))/Y113)))*(1-MIN(ABS(in_elas)*W113*R113*(AI113*1/10)/V113,1)))</f>
        <v/>
      </c>
      <c r="BO113" s="15">
        <f>100*(1-(1-X113*(1-EXP(-((AI113*2/10)+(BD113))/Y113)))*(1-MIN(ABS(in_elas)*W113*R113*(AI113*2/10)/V113,1)))</f>
        <v/>
      </c>
      <c r="BP113" s="15">
        <f>100*(1-(1-X113*(1-EXP(-((AI113*3/10)+(BE113))/Y113)))*(1-MIN(ABS(in_elas)*W113*R113*(AI113*3/10)/V113,1)))</f>
        <v/>
      </c>
      <c r="BQ113" s="15">
        <f>100*(1-(1-X113*(1-EXP(-((AI113*4/10)+(BF113))/Y113)))*(1-MIN(ABS(in_elas)*W113*R113*(AI113*4/10)/V113,1)))</f>
        <v/>
      </c>
      <c r="BR113" s="15">
        <f>100*(1-(1-X113*(1-EXP(-((AI113*5/10)+(BG113))/Y113)))*(1-MIN(ABS(in_elas)*W113*R113*(AI113*5/10)/V113,1)))</f>
        <v/>
      </c>
      <c r="BS113" s="15">
        <f>100*(1-(1-X113*(1-EXP(-((AI113*6/10)+(BH113))/Y113)))*(1-MIN(ABS(in_elas)*W113*R113*(AI113*6/10)/V113,1)))</f>
        <v/>
      </c>
      <c r="BT113" s="15">
        <f>100*(1-(1-X113*(1-EXP(-((AI113*7/10)+(BI113))/Y113)))*(1-MIN(ABS(in_elas)*W113*R113*(AI113*7/10)/V113,1)))</f>
        <v/>
      </c>
      <c r="BU113" s="15">
        <f>100*(1-(1-X113*(1-EXP(-((AI113*8/10)+(BJ113))/Y113)))*(1-MIN(ABS(in_elas)*W113*R113*(AI113*8/10)/V113,1)))</f>
        <v/>
      </c>
      <c r="BV113" s="15">
        <f>100*(1-(1-X113*(1-EXP(-((AI113*9/10)+(BK113))/Y113)))*(1-MIN(ABS(in_elas)*W113*R113*(AI113*9/10)/V113,1)))</f>
        <v/>
      </c>
      <c r="BW113" s="15">
        <f>100*(1-(1-X113*(1-EXP(-((AI113*10/10)+(BL113))/Y113)))*(1-MIN(ABS(in_elas)*W113*R113*(AI113*10/10)/V113,1)))</f>
        <v/>
      </c>
    </row>
    <row r="114">
      <c r="A114" s="17" t="inlineStr">
        <is>
          <t>MYS</t>
        </is>
      </c>
      <c r="B114" s="17">
        <f>INDEX(Data!$B:$B,MATCH($A114,Data!$A:$A,0))</f>
        <v/>
      </c>
      <c r="C114" s="17">
        <f>INDEX(Data!$D:$D,MATCH($A114,Data!$A:$A,0))</f>
        <v/>
      </c>
      <c r="D114" s="16">
        <f>SUMIFS(Data!$G:$G,Data!$A:$A,$A114,Data!$F:$F,"gen_coal_twh")</f>
        <v/>
      </c>
      <c r="E114" s="16">
        <f>SUMIFS(Data!$G:$G,Data!$A:$A,$A114,Data!$F:$F,"gen_gas_twh")</f>
        <v/>
      </c>
      <c r="F114" s="16">
        <f>SUMIFS(Data!$G:$G,Data!$A:$A,$A114,Data!$F:$F,"gen_oil_twh")</f>
        <v/>
      </c>
      <c r="G114" s="16">
        <f>SUMIFS(Data!$G:$G,Data!$A:$A,$A114,Data!$F:$F,"gen_total_twh")</f>
        <v/>
      </c>
      <c r="H114" s="16">
        <f>SUMIFS(Data!$G:$G,Data!$A:$A,$A114,Data!$F:$F,"em_coal_mt")</f>
        <v/>
      </c>
      <c r="I114" s="16">
        <f>SUMIFS(Data!$G:$G,Data!$A:$A,$A114,Data!$F:$F,"em_gas_mt")</f>
        <v/>
      </c>
      <c r="J114" s="16">
        <f>SUMIFS(Data!$G:$G,Data!$A:$A,$A114,Data!$F:$F,"em_oil_mt")</f>
        <v/>
      </c>
      <c r="K114" s="28">
        <f>IF(COUNTIFS(Data!$A:$A,$A114,Data!$F:$F,"price_electricity_residential_usd_kwh")=0,"",SUMIFS(Data!$G:$G,Data!$A:$A,$A114,Data!$F:$F,"price_electricity_residential_usd_kwh"))</f>
        <v/>
      </c>
      <c r="L114" s="28">
        <f>IF(COUNTIFS(Data!$A:$A,$A114,Data!$F:$F,"price_coal_power_usd_gj")=0,"",SUMIFS(Data!$G:$G,Data!$A:$A,$A114,Data!$F:$F,"price_coal_power_usd_gj"))</f>
        <v/>
      </c>
      <c r="M114" s="28">
        <f>IF(COUNTIFS(Data!$A:$A,$A114,Data!$F:$F,"price_gas_power_usd_gj")=0,"",SUMIFS(Data!$G:$G,Data!$A:$A,$A114,Data!$F:$F,"price_gas_power_usd_gj"))</f>
        <v/>
      </c>
      <c r="N114" s="28">
        <f>IF(COUNTIFS(Data!$A:$A,$A114,Data!$F:$F,"price_gas_industry_usd_gj")=0,"",SUMIFS(Data!$G:$G,Data!$A:$A,$A114,Data!$F:$F,"price_gas_industry_usd_gj"))</f>
        <v/>
      </c>
      <c r="O114" s="28">
        <f>IF(COUNTIFS(Data!$A:$A,$A114,Data!$F:$F,"power_market_structure")=0,"",SUMIFS(Data!$G:$G,Data!$A:$A,$A114,Data!$F:$F,"power_market_structure"))</f>
        <v/>
      </c>
      <c r="P114" s="28">
        <f>IF(COUNTIFS(Data!$A:$A,$A114,Data!$F:$F,"rise_renewable_energy_score")=0,"",SUMIFS(Data!$G:$G,Data!$A:$A,$A114,Data!$F:$F,"rise_renewable_energy_score"))</f>
        <v/>
      </c>
      <c r="Q114" s="16">
        <f>H114+I114+J114</f>
        <v/>
      </c>
      <c r="R114" s="28">
        <f>Q114/G114</f>
        <v/>
      </c>
      <c r="S114" s="28">
        <f>IF(D114&gt;0,H114/D114,0.85)</f>
        <v/>
      </c>
      <c r="T114" s="28">
        <f>IF(E114&gt;0,I114/E114,0.4)</f>
        <v/>
      </c>
      <c r="U114" s="28">
        <f>IF(D114+F114&gt;0,(H114+J114)/(D114+F114),0)</f>
        <v/>
      </c>
      <c r="V114" s="16">
        <f>K114*1000</f>
        <v/>
      </c>
      <c r="W114" s="15">
        <f>IF(O114=3,in_pt3,IF(O114=2,in_pt2,IF(O114=1,in_pt1,IF(C114="High income",in_pt_hi,in_pt_oth))))</f>
        <v/>
      </c>
      <c r="X114" s="28">
        <f>IF(Q114&gt;0,in_kappa*(in_rise_lo+(in_rise_hi-in_rise_lo)*IF(P114="",in_rise_miss,P114)/100)*(D114+F114)*MAX(U114-in_gas_rep*T114,0)/Q114,0)</f>
        <v/>
      </c>
      <c r="Y114" s="16">
        <f>IF(IF(M114="",N114,M114)="",MAX(in_sw_floor,in_sw_miss),MAX(in_sw_floor,(IF(M114="",N114,M114)*in_hr_gas-L114*in_hr_coal)/MAX(S114-T114,0.1)))</f>
        <v/>
      </c>
      <c r="Z114" s="28">
        <f>IF(C114="Low income",in_b40_li,IF(C114="Lower middle income",in_b40_lmi,IF(C114="Upper middle income",in_b40_umi,IF(C114="High income",in_b40_hi,0.03))))</f>
        <v/>
      </c>
      <c r="AA114" s="15">
        <f>(D114+F114)/G114</f>
        <v/>
      </c>
      <c r="AB114" s="28">
        <f>100*W114*R114/V114/in_phase</f>
        <v/>
      </c>
      <c r="AC114" s="29">
        <f>100*Z114*W114*R114/V114*(1-IF(W114&gt;0,MIN(in_rebate/(W114*in_res_sh*in_q40),1),1))</f>
        <v/>
      </c>
      <c r="AD114" s="28">
        <f>IF(AA114&gt;0,100*U114*(1-W114)/(in_whole_sh*V114),0)</f>
        <v/>
      </c>
      <c r="AE114" s="28">
        <f>IF(AA114&gt;0,100*MAX(U114-R114,0)/(in_whole_sh*V114),0)</f>
        <v/>
      </c>
      <c r="AF114" s="16">
        <f>IF(AB114&gt;0,in_f1/AB114,in_cap)</f>
        <v/>
      </c>
      <c r="AG114" s="16">
        <f>IF(AC114&gt;0,in_f2/AC114,in_cap)</f>
        <v/>
      </c>
      <c r="AH114" s="16">
        <f>IF(AD114&gt;0,in_f3/AD114,in_cap)</f>
        <v/>
      </c>
      <c r="AI114" s="16">
        <f>MIN(in_cap,AF114,AG114,AH114)</f>
        <v/>
      </c>
      <c r="AJ114" s="30">
        <f>100*(1-(1-X114*(1-EXP(-((AI114)+(0))/Y114)))*(1-MIN(ABS(in_elas)*W114*R114*(AI114)/V114,1)))</f>
        <v/>
      </c>
      <c r="AK114" s="17">
        <f>IF(AI114&gt;=in_cap-1E-9,"rate cap",TRIM(IF(ABS(AI114-AF114)&lt;1E-9,"F1 ","")&amp;IF(ABS(AI114-AG114)&lt;1E-9,"F2 ","")&amp;IF(ABS(AI114-AH114)&lt;1E-9,"F3","")))</f>
        <v/>
      </c>
      <c r="AL114" s="15">
        <f>100*(1-(1-X114*(1-EXP(-((MIN(in_cap,IF(AB114&gt;0,(in_f1+1)/AB114,in_cap),AG114,AH114))+(0))/Y114)))*(1-MIN(ABS(in_elas)*W114*R114*(MIN(in_cap,IF(AB114&gt;0,(in_f1+1)/AB114,in_cap),AG114,AH114))/V114,1)))-AJ114</f>
        <v/>
      </c>
      <c r="AM114" s="16">
        <f>MIN(in_cap,IF(AE114&gt;0,in_f3/AE114,in_cap))</f>
        <v/>
      </c>
      <c r="AN114" s="30">
        <f>100*(1-(1-X114*(1-EXP(-((0)+(AM114))/Y114)))*(1-MIN(ABS(in_elas)*W114*R114*(0)/V114,1)))</f>
        <v/>
      </c>
      <c r="AO114" s="17">
        <f>IF(AM114&gt;=in_cap-1E-9,"rate cap","F3")</f>
        <v/>
      </c>
      <c r="AP114" s="15">
        <f>100*(1-(1-X114*(1-EXP(-((50)+(0))/Y114)))*(1-MIN(ABS(in_elas)*W114*R114*(50)/V114,1)))</f>
        <v/>
      </c>
      <c r="AQ114" s="15">
        <f>100*(1-(1-X114*(1-EXP(-((0)+(50))/Y114)))*(1-MIN(ABS(in_elas)*W114*R114*(0)/V114,1)))</f>
        <v/>
      </c>
      <c r="AR114" s="15">
        <f>IF(AP114&gt;0,AQ114/AP114,"")</f>
        <v/>
      </c>
      <c r="AS114" s="16">
        <f>50*AB114</f>
        <v/>
      </c>
      <c r="AT114" s="30">
        <f>MAX(BM114:BW114)</f>
        <v/>
      </c>
      <c r="AU114" s="31">
        <f>AI114*(MATCH(AT114,BM114:BW114,0)-1)/10</f>
        <v/>
      </c>
      <c r="AV114" s="31">
        <f>INDEX(BB114:BL114,1,(MATCH(AT114,BM114:BW114,0)-1)+1)</f>
        <v/>
      </c>
      <c r="AW114" s="31">
        <f>AB114*AU114</f>
        <v/>
      </c>
      <c r="AX114" s="30">
        <f>AC114*AU114</f>
        <v/>
      </c>
      <c r="AY114" s="31">
        <f>AD114*AU114+AE114*AV114</f>
        <v/>
      </c>
      <c r="AZ114" s="32">
        <f>TRIM(IF(AND(AU114&gt;0,ABS(AU114-AF114)&lt;1E-6),"F1 ","")&amp;IF(AND(AU114&gt;0,ABS(AU114-AG114)&lt;1E-6),"F2 ","")&amp;IF(AY114&gt;=in_f3-1E-6,"F3 ","")&amp;IF(AV114&gt;=in_cap-1E-9,"rate cap",""))</f>
        <v/>
      </c>
      <c r="BA114" s="31">
        <f>Q114*AT114/100</f>
        <v/>
      </c>
      <c r="BB114" s="16">
        <f>MAX(0,MIN(in_cap,IF(AE114&gt;0,(in_f3-AD114*AI114*0/10)/AE114,in_cap)))</f>
        <v/>
      </c>
      <c r="BC114" s="16">
        <f>MAX(0,MIN(in_cap,IF(AE114&gt;0,(in_f3-AD114*AI114*1/10)/AE114,in_cap)))</f>
        <v/>
      </c>
      <c r="BD114" s="16">
        <f>MAX(0,MIN(in_cap,IF(AE114&gt;0,(in_f3-AD114*AI114*2/10)/AE114,in_cap)))</f>
        <v/>
      </c>
      <c r="BE114" s="16">
        <f>MAX(0,MIN(in_cap,IF(AE114&gt;0,(in_f3-AD114*AI114*3/10)/AE114,in_cap)))</f>
        <v/>
      </c>
      <c r="BF114" s="16">
        <f>MAX(0,MIN(in_cap,IF(AE114&gt;0,(in_f3-AD114*AI114*4/10)/AE114,in_cap)))</f>
        <v/>
      </c>
      <c r="BG114" s="16">
        <f>MAX(0,MIN(in_cap,IF(AE114&gt;0,(in_f3-AD114*AI114*5/10)/AE114,in_cap)))</f>
        <v/>
      </c>
      <c r="BH114" s="16">
        <f>MAX(0,MIN(in_cap,IF(AE114&gt;0,(in_f3-AD114*AI114*6/10)/AE114,in_cap)))</f>
        <v/>
      </c>
      <c r="BI114" s="16">
        <f>MAX(0,MIN(in_cap,IF(AE114&gt;0,(in_f3-AD114*AI114*7/10)/AE114,in_cap)))</f>
        <v/>
      </c>
      <c r="BJ114" s="16">
        <f>MAX(0,MIN(in_cap,IF(AE114&gt;0,(in_f3-AD114*AI114*8/10)/AE114,in_cap)))</f>
        <v/>
      </c>
      <c r="BK114" s="16">
        <f>MAX(0,MIN(in_cap,IF(AE114&gt;0,(in_f3-AD114*AI114*9/10)/AE114,in_cap)))</f>
        <v/>
      </c>
      <c r="BL114" s="16">
        <f>MAX(0,MIN(in_cap,IF(AE114&gt;0,(in_f3-AD114*AI114*10/10)/AE114,in_cap)))</f>
        <v/>
      </c>
      <c r="BM114" s="15">
        <f>100*(1-(1-X114*(1-EXP(-((AI114*0/10)+(BB114))/Y114)))*(1-MIN(ABS(in_elas)*W114*R114*(AI114*0/10)/V114,1)))</f>
        <v/>
      </c>
      <c r="BN114" s="15">
        <f>100*(1-(1-X114*(1-EXP(-((AI114*1/10)+(BC114))/Y114)))*(1-MIN(ABS(in_elas)*W114*R114*(AI114*1/10)/V114,1)))</f>
        <v/>
      </c>
      <c r="BO114" s="15">
        <f>100*(1-(1-X114*(1-EXP(-((AI114*2/10)+(BD114))/Y114)))*(1-MIN(ABS(in_elas)*W114*R114*(AI114*2/10)/V114,1)))</f>
        <v/>
      </c>
      <c r="BP114" s="15">
        <f>100*(1-(1-X114*(1-EXP(-((AI114*3/10)+(BE114))/Y114)))*(1-MIN(ABS(in_elas)*W114*R114*(AI114*3/10)/V114,1)))</f>
        <v/>
      </c>
      <c r="BQ114" s="15">
        <f>100*(1-(1-X114*(1-EXP(-((AI114*4/10)+(BF114))/Y114)))*(1-MIN(ABS(in_elas)*W114*R114*(AI114*4/10)/V114,1)))</f>
        <v/>
      </c>
      <c r="BR114" s="15">
        <f>100*(1-(1-X114*(1-EXP(-((AI114*5/10)+(BG114))/Y114)))*(1-MIN(ABS(in_elas)*W114*R114*(AI114*5/10)/V114,1)))</f>
        <v/>
      </c>
      <c r="BS114" s="15">
        <f>100*(1-(1-X114*(1-EXP(-((AI114*6/10)+(BH114))/Y114)))*(1-MIN(ABS(in_elas)*W114*R114*(AI114*6/10)/V114,1)))</f>
        <v/>
      </c>
      <c r="BT114" s="15">
        <f>100*(1-(1-X114*(1-EXP(-((AI114*7/10)+(BI114))/Y114)))*(1-MIN(ABS(in_elas)*W114*R114*(AI114*7/10)/V114,1)))</f>
        <v/>
      </c>
      <c r="BU114" s="15">
        <f>100*(1-(1-X114*(1-EXP(-((AI114*8/10)+(BJ114))/Y114)))*(1-MIN(ABS(in_elas)*W114*R114*(AI114*8/10)/V114,1)))</f>
        <v/>
      </c>
      <c r="BV114" s="15">
        <f>100*(1-(1-X114*(1-EXP(-((AI114*9/10)+(BK114))/Y114)))*(1-MIN(ABS(in_elas)*W114*R114*(AI114*9/10)/V114,1)))</f>
        <v/>
      </c>
      <c r="BW114" s="15">
        <f>100*(1-(1-X114*(1-EXP(-((AI114*10/10)+(BL114))/Y114)))*(1-MIN(ABS(in_elas)*W114*R114*(AI114*10/10)/V114,1)))</f>
        <v/>
      </c>
    </row>
    <row r="115">
      <c r="A115" s="17" t="inlineStr">
        <is>
          <t>NAM</t>
        </is>
      </c>
      <c r="B115" s="17">
        <f>INDEX(Data!$B:$B,MATCH($A115,Data!$A:$A,0))</f>
        <v/>
      </c>
      <c r="C115" s="17">
        <f>INDEX(Data!$D:$D,MATCH($A115,Data!$A:$A,0))</f>
        <v/>
      </c>
      <c r="D115" s="16">
        <f>SUMIFS(Data!$G:$G,Data!$A:$A,$A115,Data!$F:$F,"gen_coal_twh")</f>
        <v/>
      </c>
      <c r="E115" s="16">
        <f>SUMIFS(Data!$G:$G,Data!$A:$A,$A115,Data!$F:$F,"gen_gas_twh")</f>
        <v/>
      </c>
      <c r="F115" s="16">
        <f>SUMIFS(Data!$G:$G,Data!$A:$A,$A115,Data!$F:$F,"gen_oil_twh")</f>
        <v/>
      </c>
      <c r="G115" s="16">
        <f>SUMIFS(Data!$G:$G,Data!$A:$A,$A115,Data!$F:$F,"gen_total_twh")</f>
        <v/>
      </c>
      <c r="H115" s="16">
        <f>SUMIFS(Data!$G:$G,Data!$A:$A,$A115,Data!$F:$F,"em_coal_mt")</f>
        <v/>
      </c>
      <c r="I115" s="16">
        <f>SUMIFS(Data!$G:$G,Data!$A:$A,$A115,Data!$F:$F,"em_gas_mt")</f>
        <v/>
      </c>
      <c r="J115" s="16">
        <f>SUMIFS(Data!$G:$G,Data!$A:$A,$A115,Data!$F:$F,"em_oil_mt")</f>
        <v/>
      </c>
      <c r="K115" s="28">
        <f>IF(COUNTIFS(Data!$A:$A,$A115,Data!$F:$F,"price_electricity_residential_usd_kwh")=0,"",SUMIFS(Data!$G:$G,Data!$A:$A,$A115,Data!$F:$F,"price_electricity_residential_usd_kwh"))</f>
        <v/>
      </c>
      <c r="L115" s="28">
        <f>IF(COUNTIFS(Data!$A:$A,$A115,Data!$F:$F,"price_coal_power_usd_gj")=0,"",SUMIFS(Data!$G:$G,Data!$A:$A,$A115,Data!$F:$F,"price_coal_power_usd_gj"))</f>
        <v/>
      </c>
      <c r="M115" s="28">
        <f>IF(COUNTIFS(Data!$A:$A,$A115,Data!$F:$F,"price_gas_power_usd_gj")=0,"",SUMIFS(Data!$G:$G,Data!$A:$A,$A115,Data!$F:$F,"price_gas_power_usd_gj"))</f>
        <v/>
      </c>
      <c r="N115" s="28">
        <f>IF(COUNTIFS(Data!$A:$A,$A115,Data!$F:$F,"price_gas_industry_usd_gj")=0,"",SUMIFS(Data!$G:$G,Data!$A:$A,$A115,Data!$F:$F,"price_gas_industry_usd_gj"))</f>
        <v/>
      </c>
      <c r="O115" s="28">
        <f>IF(COUNTIFS(Data!$A:$A,$A115,Data!$F:$F,"power_market_structure")=0,"",SUMIFS(Data!$G:$G,Data!$A:$A,$A115,Data!$F:$F,"power_market_structure"))</f>
        <v/>
      </c>
      <c r="P115" s="28">
        <f>IF(COUNTIFS(Data!$A:$A,$A115,Data!$F:$F,"rise_renewable_energy_score")=0,"",SUMIFS(Data!$G:$G,Data!$A:$A,$A115,Data!$F:$F,"rise_renewable_energy_score"))</f>
        <v/>
      </c>
      <c r="Q115" s="16">
        <f>H115+I115+J115</f>
        <v/>
      </c>
      <c r="R115" s="28">
        <f>Q115/G115</f>
        <v/>
      </c>
      <c r="S115" s="28">
        <f>IF(D115&gt;0,H115/D115,0.85)</f>
        <v/>
      </c>
      <c r="T115" s="28">
        <f>IF(E115&gt;0,I115/E115,0.4)</f>
        <v/>
      </c>
      <c r="U115" s="28">
        <f>IF(D115+F115&gt;0,(H115+J115)/(D115+F115),0)</f>
        <v/>
      </c>
      <c r="V115" s="16">
        <f>K115*1000</f>
        <v/>
      </c>
      <c r="W115" s="15">
        <f>IF(O115=3,in_pt3,IF(O115=2,in_pt2,IF(O115=1,in_pt1,IF(C115="High income",in_pt_hi,in_pt_oth))))</f>
        <v/>
      </c>
      <c r="X115" s="28">
        <f>IF(Q115&gt;0,in_kappa*(in_rise_lo+(in_rise_hi-in_rise_lo)*IF(P115="",in_rise_miss,P115)/100)*(D115+F115)*MAX(U115-in_gas_rep*T115,0)/Q115,0)</f>
        <v/>
      </c>
      <c r="Y115" s="16">
        <f>IF(IF(M115="",N115,M115)="",MAX(in_sw_floor,in_sw_miss),MAX(in_sw_floor,(IF(M115="",N115,M115)*in_hr_gas-L115*in_hr_coal)/MAX(S115-T115,0.1)))</f>
        <v/>
      </c>
      <c r="Z115" s="28">
        <f>IF(C115="Low income",in_b40_li,IF(C115="Lower middle income",in_b40_lmi,IF(C115="Upper middle income",in_b40_umi,IF(C115="High income",in_b40_hi,0.03))))</f>
        <v/>
      </c>
      <c r="AA115" s="15">
        <f>(D115+F115)/G115</f>
        <v/>
      </c>
      <c r="AB115" s="28">
        <f>100*W115*R115/V115/in_phase</f>
        <v/>
      </c>
      <c r="AC115" s="29">
        <f>100*Z115*W115*R115/V115*(1-IF(W115&gt;0,MIN(in_rebate/(W115*in_res_sh*in_q40),1),1))</f>
        <v/>
      </c>
      <c r="AD115" s="28">
        <f>IF(AA115&gt;0,100*U115*(1-W115)/(in_whole_sh*V115),0)</f>
        <v/>
      </c>
      <c r="AE115" s="28">
        <f>IF(AA115&gt;0,100*MAX(U115-R115,0)/(in_whole_sh*V115),0)</f>
        <v/>
      </c>
      <c r="AF115" s="16">
        <f>IF(AB115&gt;0,in_f1/AB115,in_cap)</f>
        <v/>
      </c>
      <c r="AG115" s="16">
        <f>IF(AC115&gt;0,in_f2/AC115,in_cap)</f>
        <v/>
      </c>
      <c r="AH115" s="16">
        <f>IF(AD115&gt;0,in_f3/AD115,in_cap)</f>
        <v/>
      </c>
      <c r="AI115" s="16">
        <f>MIN(in_cap,AF115,AG115,AH115)</f>
        <v/>
      </c>
      <c r="AJ115" s="30">
        <f>100*(1-(1-X115*(1-EXP(-((AI115)+(0))/Y115)))*(1-MIN(ABS(in_elas)*W115*R115*(AI115)/V115,1)))</f>
        <v/>
      </c>
      <c r="AK115" s="17">
        <f>IF(AI115&gt;=in_cap-1E-9,"rate cap",TRIM(IF(ABS(AI115-AF115)&lt;1E-9,"F1 ","")&amp;IF(ABS(AI115-AG115)&lt;1E-9,"F2 ","")&amp;IF(ABS(AI115-AH115)&lt;1E-9,"F3","")))</f>
        <v/>
      </c>
      <c r="AL115" s="15">
        <f>100*(1-(1-X115*(1-EXP(-((MIN(in_cap,IF(AB115&gt;0,(in_f1+1)/AB115,in_cap),AG115,AH115))+(0))/Y115)))*(1-MIN(ABS(in_elas)*W115*R115*(MIN(in_cap,IF(AB115&gt;0,(in_f1+1)/AB115,in_cap),AG115,AH115))/V115,1)))-AJ115</f>
        <v/>
      </c>
      <c r="AM115" s="16">
        <f>MIN(in_cap,IF(AE115&gt;0,in_f3/AE115,in_cap))</f>
        <v/>
      </c>
      <c r="AN115" s="30">
        <f>100*(1-(1-X115*(1-EXP(-((0)+(AM115))/Y115)))*(1-MIN(ABS(in_elas)*W115*R115*(0)/V115,1)))</f>
        <v/>
      </c>
      <c r="AO115" s="17">
        <f>IF(AM115&gt;=in_cap-1E-9,"rate cap","F3")</f>
        <v/>
      </c>
      <c r="AP115" s="15">
        <f>100*(1-(1-X115*(1-EXP(-((50)+(0))/Y115)))*(1-MIN(ABS(in_elas)*W115*R115*(50)/V115,1)))</f>
        <v/>
      </c>
      <c r="AQ115" s="15">
        <f>100*(1-(1-X115*(1-EXP(-((0)+(50))/Y115)))*(1-MIN(ABS(in_elas)*W115*R115*(0)/V115,1)))</f>
        <v/>
      </c>
      <c r="AR115" s="15">
        <f>IF(AP115&gt;0,AQ115/AP115,"")</f>
        <v/>
      </c>
      <c r="AS115" s="16">
        <f>50*AB115</f>
        <v/>
      </c>
      <c r="AT115" s="30">
        <f>MAX(BM115:BW115)</f>
        <v/>
      </c>
      <c r="AU115" s="31">
        <f>AI115*(MATCH(AT115,BM115:BW115,0)-1)/10</f>
        <v/>
      </c>
      <c r="AV115" s="31">
        <f>INDEX(BB115:BL115,1,(MATCH(AT115,BM115:BW115,0)-1)+1)</f>
        <v/>
      </c>
      <c r="AW115" s="31">
        <f>AB115*AU115</f>
        <v/>
      </c>
      <c r="AX115" s="30">
        <f>AC115*AU115</f>
        <v/>
      </c>
      <c r="AY115" s="31">
        <f>AD115*AU115+AE115*AV115</f>
        <v/>
      </c>
      <c r="AZ115" s="32">
        <f>TRIM(IF(AND(AU115&gt;0,ABS(AU115-AF115)&lt;1E-6),"F1 ","")&amp;IF(AND(AU115&gt;0,ABS(AU115-AG115)&lt;1E-6),"F2 ","")&amp;IF(AY115&gt;=in_f3-1E-6,"F3 ","")&amp;IF(AV115&gt;=in_cap-1E-9,"rate cap",""))</f>
        <v/>
      </c>
      <c r="BA115" s="31">
        <f>Q115*AT115/100</f>
        <v/>
      </c>
      <c r="BB115" s="16">
        <f>MAX(0,MIN(in_cap,IF(AE115&gt;0,(in_f3-AD115*AI115*0/10)/AE115,in_cap)))</f>
        <v/>
      </c>
      <c r="BC115" s="16">
        <f>MAX(0,MIN(in_cap,IF(AE115&gt;0,(in_f3-AD115*AI115*1/10)/AE115,in_cap)))</f>
        <v/>
      </c>
      <c r="BD115" s="16">
        <f>MAX(0,MIN(in_cap,IF(AE115&gt;0,(in_f3-AD115*AI115*2/10)/AE115,in_cap)))</f>
        <v/>
      </c>
      <c r="BE115" s="16">
        <f>MAX(0,MIN(in_cap,IF(AE115&gt;0,(in_f3-AD115*AI115*3/10)/AE115,in_cap)))</f>
        <v/>
      </c>
      <c r="BF115" s="16">
        <f>MAX(0,MIN(in_cap,IF(AE115&gt;0,(in_f3-AD115*AI115*4/10)/AE115,in_cap)))</f>
        <v/>
      </c>
      <c r="BG115" s="16">
        <f>MAX(0,MIN(in_cap,IF(AE115&gt;0,(in_f3-AD115*AI115*5/10)/AE115,in_cap)))</f>
        <v/>
      </c>
      <c r="BH115" s="16">
        <f>MAX(0,MIN(in_cap,IF(AE115&gt;0,(in_f3-AD115*AI115*6/10)/AE115,in_cap)))</f>
        <v/>
      </c>
      <c r="BI115" s="16">
        <f>MAX(0,MIN(in_cap,IF(AE115&gt;0,(in_f3-AD115*AI115*7/10)/AE115,in_cap)))</f>
        <v/>
      </c>
      <c r="BJ115" s="16">
        <f>MAX(0,MIN(in_cap,IF(AE115&gt;0,(in_f3-AD115*AI115*8/10)/AE115,in_cap)))</f>
        <v/>
      </c>
      <c r="BK115" s="16">
        <f>MAX(0,MIN(in_cap,IF(AE115&gt;0,(in_f3-AD115*AI115*9/10)/AE115,in_cap)))</f>
        <v/>
      </c>
      <c r="BL115" s="16">
        <f>MAX(0,MIN(in_cap,IF(AE115&gt;0,(in_f3-AD115*AI115*10/10)/AE115,in_cap)))</f>
        <v/>
      </c>
      <c r="BM115" s="15">
        <f>100*(1-(1-X115*(1-EXP(-((AI115*0/10)+(BB115))/Y115)))*(1-MIN(ABS(in_elas)*W115*R115*(AI115*0/10)/V115,1)))</f>
        <v/>
      </c>
      <c r="BN115" s="15">
        <f>100*(1-(1-X115*(1-EXP(-((AI115*1/10)+(BC115))/Y115)))*(1-MIN(ABS(in_elas)*W115*R115*(AI115*1/10)/V115,1)))</f>
        <v/>
      </c>
      <c r="BO115" s="15">
        <f>100*(1-(1-X115*(1-EXP(-((AI115*2/10)+(BD115))/Y115)))*(1-MIN(ABS(in_elas)*W115*R115*(AI115*2/10)/V115,1)))</f>
        <v/>
      </c>
      <c r="BP115" s="15">
        <f>100*(1-(1-X115*(1-EXP(-((AI115*3/10)+(BE115))/Y115)))*(1-MIN(ABS(in_elas)*W115*R115*(AI115*3/10)/V115,1)))</f>
        <v/>
      </c>
      <c r="BQ115" s="15">
        <f>100*(1-(1-X115*(1-EXP(-((AI115*4/10)+(BF115))/Y115)))*(1-MIN(ABS(in_elas)*W115*R115*(AI115*4/10)/V115,1)))</f>
        <v/>
      </c>
      <c r="BR115" s="15">
        <f>100*(1-(1-X115*(1-EXP(-((AI115*5/10)+(BG115))/Y115)))*(1-MIN(ABS(in_elas)*W115*R115*(AI115*5/10)/V115,1)))</f>
        <v/>
      </c>
      <c r="BS115" s="15">
        <f>100*(1-(1-X115*(1-EXP(-((AI115*6/10)+(BH115))/Y115)))*(1-MIN(ABS(in_elas)*W115*R115*(AI115*6/10)/V115,1)))</f>
        <v/>
      </c>
      <c r="BT115" s="15">
        <f>100*(1-(1-X115*(1-EXP(-((AI115*7/10)+(BI115))/Y115)))*(1-MIN(ABS(in_elas)*W115*R115*(AI115*7/10)/V115,1)))</f>
        <v/>
      </c>
      <c r="BU115" s="15">
        <f>100*(1-(1-X115*(1-EXP(-((AI115*8/10)+(BJ115))/Y115)))*(1-MIN(ABS(in_elas)*W115*R115*(AI115*8/10)/V115,1)))</f>
        <v/>
      </c>
      <c r="BV115" s="15">
        <f>100*(1-(1-X115*(1-EXP(-((AI115*9/10)+(BK115))/Y115)))*(1-MIN(ABS(in_elas)*W115*R115*(AI115*9/10)/V115,1)))</f>
        <v/>
      </c>
      <c r="BW115" s="15">
        <f>100*(1-(1-X115*(1-EXP(-((AI115*10/10)+(BL115))/Y115)))*(1-MIN(ABS(in_elas)*W115*R115*(AI115*10/10)/V115,1)))</f>
        <v/>
      </c>
    </row>
    <row r="116">
      <c r="A116" s="17" t="inlineStr">
        <is>
          <t>NER</t>
        </is>
      </c>
      <c r="B116" s="17">
        <f>INDEX(Data!$B:$B,MATCH($A116,Data!$A:$A,0))</f>
        <v/>
      </c>
      <c r="C116" s="17">
        <f>INDEX(Data!$D:$D,MATCH($A116,Data!$A:$A,0))</f>
        <v/>
      </c>
      <c r="D116" s="16">
        <f>SUMIFS(Data!$G:$G,Data!$A:$A,$A116,Data!$F:$F,"gen_coal_twh")</f>
        <v/>
      </c>
      <c r="E116" s="16">
        <f>SUMIFS(Data!$G:$G,Data!$A:$A,$A116,Data!$F:$F,"gen_gas_twh")</f>
        <v/>
      </c>
      <c r="F116" s="16">
        <f>SUMIFS(Data!$G:$G,Data!$A:$A,$A116,Data!$F:$F,"gen_oil_twh")</f>
        <v/>
      </c>
      <c r="G116" s="16">
        <f>SUMIFS(Data!$G:$G,Data!$A:$A,$A116,Data!$F:$F,"gen_total_twh")</f>
        <v/>
      </c>
      <c r="H116" s="16">
        <f>SUMIFS(Data!$G:$G,Data!$A:$A,$A116,Data!$F:$F,"em_coal_mt")</f>
        <v/>
      </c>
      <c r="I116" s="16">
        <f>SUMIFS(Data!$G:$G,Data!$A:$A,$A116,Data!$F:$F,"em_gas_mt")</f>
        <v/>
      </c>
      <c r="J116" s="16">
        <f>SUMIFS(Data!$G:$G,Data!$A:$A,$A116,Data!$F:$F,"em_oil_mt")</f>
        <v/>
      </c>
      <c r="K116" s="28">
        <f>IF(COUNTIFS(Data!$A:$A,$A116,Data!$F:$F,"price_electricity_residential_usd_kwh")=0,"",SUMIFS(Data!$G:$G,Data!$A:$A,$A116,Data!$F:$F,"price_electricity_residential_usd_kwh"))</f>
        <v/>
      </c>
      <c r="L116" s="28">
        <f>IF(COUNTIFS(Data!$A:$A,$A116,Data!$F:$F,"price_coal_power_usd_gj")=0,"",SUMIFS(Data!$G:$G,Data!$A:$A,$A116,Data!$F:$F,"price_coal_power_usd_gj"))</f>
        <v/>
      </c>
      <c r="M116" s="28">
        <f>IF(COUNTIFS(Data!$A:$A,$A116,Data!$F:$F,"price_gas_power_usd_gj")=0,"",SUMIFS(Data!$G:$G,Data!$A:$A,$A116,Data!$F:$F,"price_gas_power_usd_gj"))</f>
        <v/>
      </c>
      <c r="N116" s="28">
        <f>IF(COUNTIFS(Data!$A:$A,$A116,Data!$F:$F,"price_gas_industry_usd_gj")=0,"",SUMIFS(Data!$G:$G,Data!$A:$A,$A116,Data!$F:$F,"price_gas_industry_usd_gj"))</f>
        <v/>
      </c>
      <c r="O116" s="28">
        <f>IF(COUNTIFS(Data!$A:$A,$A116,Data!$F:$F,"power_market_structure")=0,"",SUMIFS(Data!$G:$G,Data!$A:$A,$A116,Data!$F:$F,"power_market_structure"))</f>
        <v/>
      </c>
      <c r="P116" s="28">
        <f>IF(COUNTIFS(Data!$A:$A,$A116,Data!$F:$F,"rise_renewable_energy_score")=0,"",SUMIFS(Data!$G:$G,Data!$A:$A,$A116,Data!$F:$F,"rise_renewable_energy_score"))</f>
        <v/>
      </c>
      <c r="Q116" s="16">
        <f>H116+I116+J116</f>
        <v/>
      </c>
      <c r="R116" s="28">
        <f>Q116/G116</f>
        <v/>
      </c>
      <c r="S116" s="28">
        <f>IF(D116&gt;0,H116/D116,0.85)</f>
        <v/>
      </c>
      <c r="T116" s="28">
        <f>IF(E116&gt;0,I116/E116,0.4)</f>
        <v/>
      </c>
      <c r="U116" s="28">
        <f>IF(D116+F116&gt;0,(H116+J116)/(D116+F116),0)</f>
        <v/>
      </c>
      <c r="V116" s="16">
        <f>K116*1000</f>
        <v/>
      </c>
      <c r="W116" s="15">
        <f>IF(O116=3,in_pt3,IF(O116=2,in_pt2,IF(O116=1,in_pt1,IF(C116="High income",in_pt_hi,in_pt_oth))))</f>
        <v/>
      </c>
      <c r="X116" s="28">
        <f>IF(Q116&gt;0,in_kappa*(in_rise_lo+(in_rise_hi-in_rise_lo)*IF(P116="",in_rise_miss,P116)/100)*(D116+F116)*MAX(U116-in_gas_rep*T116,0)/Q116,0)</f>
        <v/>
      </c>
      <c r="Y116" s="16">
        <f>IF(IF(M116="",N116,M116)="",MAX(in_sw_floor,in_sw_miss),MAX(in_sw_floor,(IF(M116="",N116,M116)*in_hr_gas-L116*in_hr_coal)/MAX(S116-T116,0.1)))</f>
        <v/>
      </c>
      <c r="Z116" s="28">
        <f>IF(C116="Low income",in_b40_li,IF(C116="Lower middle income",in_b40_lmi,IF(C116="Upper middle income",in_b40_umi,IF(C116="High income",in_b40_hi,0.03))))</f>
        <v/>
      </c>
      <c r="AA116" s="15">
        <f>(D116+F116)/G116</f>
        <v/>
      </c>
      <c r="AB116" s="28">
        <f>100*W116*R116/V116/in_phase</f>
        <v/>
      </c>
      <c r="AC116" s="29">
        <f>100*Z116*W116*R116/V116*(1-IF(W116&gt;0,MIN(in_rebate/(W116*in_res_sh*in_q40),1),1))</f>
        <v/>
      </c>
      <c r="AD116" s="28">
        <f>IF(AA116&gt;0,100*U116*(1-W116)/(in_whole_sh*V116),0)</f>
        <v/>
      </c>
      <c r="AE116" s="28">
        <f>IF(AA116&gt;0,100*MAX(U116-R116,0)/(in_whole_sh*V116),0)</f>
        <v/>
      </c>
      <c r="AF116" s="16">
        <f>IF(AB116&gt;0,in_f1/AB116,in_cap)</f>
        <v/>
      </c>
      <c r="AG116" s="16">
        <f>IF(AC116&gt;0,in_f2/AC116,in_cap)</f>
        <v/>
      </c>
      <c r="AH116" s="16">
        <f>IF(AD116&gt;0,in_f3/AD116,in_cap)</f>
        <v/>
      </c>
      <c r="AI116" s="16">
        <f>MIN(in_cap,AF116,AG116,AH116)</f>
        <v/>
      </c>
      <c r="AJ116" s="30">
        <f>100*(1-(1-X116*(1-EXP(-((AI116)+(0))/Y116)))*(1-MIN(ABS(in_elas)*W116*R116*(AI116)/V116,1)))</f>
        <v/>
      </c>
      <c r="AK116" s="17">
        <f>IF(AI116&gt;=in_cap-1E-9,"rate cap",TRIM(IF(ABS(AI116-AF116)&lt;1E-9,"F1 ","")&amp;IF(ABS(AI116-AG116)&lt;1E-9,"F2 ","")&amp;IF(ABS(AI116-AH116)&lt;1E-9,"F3","")))</f>
        <v/>
      </c>
      <c r="AL116" s="15">
        <f>100*(1-(1-X116*(1-EXP(-((MIN(in_cap,IF(AB116&gt;0,(in_f1+1)/AB116,in_cap),AG116,AH116))+(0))/Y116)))*(1-MIN(ABS(in_elas)*W116*R116*(MIN(in_cap,IF(AB116&gt;0,(in_f1+1)/AB116,in_cap),AG116,AH116))/V116,1)))-AJ116</f>
        <v/>
      </c>
      <c r="AM116" s="16">
        <f>MIN(in_cap,IF(AE116&gt;0,in_f3/AE116,in_cap))</f>
        <v/>
      </c>
      <c r="AN116" s="30">
        <f>100*(1-(1-X116*(1-EXP(-((0)+(AM116))/Y116)))*(1-MIN(ABS(in_elas)*W116*R116*(0)/V116,1)))</f>
        <v/>
      </c>
      <c r="AO116" s="17">
        <f>IF(AM116&gt;=in_cap-1E-9,"rate cap","F3")</f>
        <v/>
      </c>
      <c r="AP116" s="15">
        <f>100*(1-(1-X116*(1-EXP(-((50)+(0))/Y116)))*(1-MIN(ABS(in_elas)*W116*R116*(50)/V116,1)))</f>
        <v/>
      </c>
      <c r="AQ116" s="15">
        <f>100*(1-(1-X116*(1-EXP(-((0)+(50))/Y116)))*(1-MIN(ABS(in_elas)*W116*R116*(0)/V116,1)))</f>
        <v/>
      </c>
      <c r="AR116" s="15">
        <f>IF(AP116&gt;0,AQ116/AP116,"")</f>
        <v/>
      </c>
      <c r="AS116" s="16">
        <f>50*AB116</f>
        <v/>
      </c>
      <c r="AT116" s="30">
        <f>MAX(BM116:BW116)</f>
        <v/>
      </c>
      <c r="AU116" s="31">
        <f>AI116*(MATCH(AT116,BM116:BW116,0)-1)/10</f>
        <v/>
      </c>
      <c r="AV116" s="31">
        <f>INDEX(BB116:BL116,1,(MATCH(AT116,BM116:BW116,0)-1)+1)</f>
        <v/>
      </c>
      <c r="AW116" s="31">
        <f>AB116*AU116</f>
        <v/>
      </c>
      <c r="AX116" s="30">
        <f>AC116*AU116</f>
        <v/>
      </c>
      <c r="AY116" s="31">
        <f>AD116*AU116+AE116*AV116</f>
        <v/>
      </c>
      <c r="AZ116" s="32">
        <f>TRIM(IF(AND(AU116&gt;0,ABS(AU116-AF116)&lt;1E-6),"F1 ","")&amp;IF(AND(AU116&gt;0,ABS(AU116-AG116)&lt;1E-6),"F2 ","")&amp;IF(AY116&gt;=in_f3-1E-6,"F3 ","")&amp;IF(AV116&gt;=in_cap-1E-9,"rate cap",""))</f>
        <v/>
      </c>
      <c r="BA116" s="31">
        <f>Q116*AT116/100</f>
        <v/>
      </c>
      <c r="BB116" s="16">
        <f>MAX(0,MIN(in_cap,IF(AE116&gt;0,(in_f3-AD116*AI116*0/10)/AE116,in_cap)))</f>
        <v/>
      </c>
      <c r="BC116" s="16">
        <f>MAX(0,MIN(in_cap,IF(AE116&gt;0,(in_f3-AD116*AI116*1/10)/AE116,in_cap)))</f>
        <v/>
      </c>
      <c r="BD116" s="16">
        <f>MAX(0,MIN(in_cap,IF(AE116&gt;0,(in_f3-AD116*AI116*2/10)/AE116,in_cap)))</f>
        <v/>
      </c>
      <c r="BE116" s="16">
        <f>MAX(0,MIN(in_cap,IF(AE116&gt;0,(in_f3-AD116*AI116*3/10)/AE116,in_cap)))</f>
        <v/>
      </c>
      <c r="BF116" s="16">
        <f>MAX(0,MIN(in_cap,IF(AE116&gt;0,(in_f3-AD116*AI116*4/10)/AE116,in_cap)))</f>
        <v/>
      </c>
      <c r="BG116" s="16">
        <f>MAX(0,MIN(in_cap,IF(AE116&gt;0,(in_f3-AD116*AI116*5/10)/AE116,in_cap)))</f>
        <v/>
      </c>
      <c r="BH116" s="16">
        <f>MAX(0,MIN(in_cap,IF(AE116&gt;0,(in_f3-AD116*AI116*6/10)/AE116,in_cap)))</f>
        <v/>
      </c>
      <c r="BI116" s="16">
        <f>MAX(0,MIN(in_cap,IF(AE116&gt;0,(in_f3-AD116*AI116*7/10)/AE116,in_cap)))</f>
        <v/>
      </c>
      <c r="BJ116" s="16">
        <f>MAX(0,MIN(in_cap,IF(AE116&gt;0,(in_f3-AD116*AI116*8/10)/AE116,in_cap)))</f>
        <v/>
      </c>
      <c r="BK116" s="16">
        <f>MAX(0,MIN(in_cap,IF(AE116&gt;0,(in_f3-AD116*AI116*9/10)/AE116,in_cap)))</f>
        <v/>
      </c>
      <c r="BL116" s="16">
        <f>MAX(0,MIN(in_cap,IF(AE116&gt;0,(in_f3-AD116*AI116*10/10)/AE116,in_cap)))</f>
        <v/>
      </c>
      <c r="BM116" s="15">
        <f>100*(1-(1-X116*(1-EXP(-((AI116*0/10)+(BB116))/Y116)))*(1-MIN(ABS(in_elas)*W116*R116*(AI116*0/10)/V116,1)))</f>
        <v/>
      </c>
      <c r="BN116" s="15">
        <f>100*(1-(1-X116*(1-EXP(-((AI116*1/10)+(BC116))/Y116)))*(1-MIN(ABS(in_elas)*W116*R116*(AI116*1/10)/V116,1)))</f>
        <v/>
      </c>
      <c r="BO116" s="15">
        <f>100*(1-(1-X116*(1-EXP(-((AI116*2/10)+(BD116))/Y116)))*(1-MIN(ABS(in_elas)*W116*R116*(AI116*2/10)/V116,1)))</f>
        <v/>
      </c>
      <c r="BP116" s="15">
        <f>100*(1-(1-X116*(1-EXP(-((AI116*3/10)+(BE116))/Y116)))*(1-MIN(ABS(in_elas)*W116*R116*(AI116*3/10)/V116,1)))</f>
        <v/>
      </c>
      <c r="BQ116" s="15">
        <f>100*(1-(1-X116*(1-EXP(-((AI116*4/10)+(BF116))/Y116)))*(1-MIN(ABS(in_elas)*W116*R116*(AI116*4/10)/V116,1)))</f>
        <v/>
      </c>
      <c r="BR116" s="15">
        <f>100*(1-(1-X116*(1-EXP(-((AI116*5/10)+(BG116))/Y116)))*(1-MIN(ABS(in_elas)*W116*R116*(AI116*5/10)/V116,1)))</f>
        <v/>
      </c>
      <c r="BS116" s="15">
        <f>100*(1-(1-X116*(1-EXP(-((AI116*6/10)+(BH116))/Y116)))*(1-MIN(ABS(in_elas)*W116*R116*(AI116*6/10)/V116,1)))</f>
        <v/>
      </c>
      <c r="BT116" s="15">
        <f>100*(1-(1-X116*(1-EXP(-((AI116*7/10)+(BI116))/Y116)))*(1-MIN(ABS(in_elas)*W116*R116*(AI116*7/10)/V116,1)))</f>
        <v/>
      </c>
      <c r="BU116" s="15">
        <f>100*(1-(1-X116*(1-EXP(-((AI116*8/10)+(BJ116))/Y116)))*(1-MIN(ABS(in_elas)*W116*R116*(AI116*8/10)/V116,1)))</f>
        <v/>
      </c>
      <c r="BV116" s="15">
        <f>100*(1-(1-X116*(1-EXP(-((AI116*9/10)+(BK116))/Y116)))*(1-MIN(ABS(in_elas)*W116*R116*(AI116*9/10)/V116,1)))</f>
        <v/>
      </c>
      <c r="BW116" s="15">
        <f>100*(1-(1-X116*(1-EXP(-((AI116*10/10)+(BL116))/Y116)))*(1-MIN(ABS(in_elas)*W116*R116*(AI116*10/10)/V116,1)))</f>
        <v/>
      </c>
    </row>
    <row r="117">
      <c r="A117" s="17" t="inlineStr">
        <is>
          <t>NGA</t>
        </is>
      </c>
      <c r="B117" s="17">
        <f>INDEX(Data!$B:$B,MATCH($A117,Data!$A:$A,0))</f>
        <v/>
      </c>
      <c r="C117" s="17">
        <f>INDEX(Data!$D:$D,MATCH($A117,Data!$A:$A,0))</f>
        <v/>
      </c>
      <c r="D117" s="16">
        <f>SUMIFS(Data!$G:$G,Data!$A:$A,$A117,Data!$F:$F,"gen_coal_twh")</f>
        <v/>
      </c>
      <c r="E117" s="16">
        <f>SUMIFS(Data!$G:$G,Data!$A:$A,$A117,Data!$F:$F,"gen_gas_twh")</f>
        <v/>
      </c>
      <c r="F117" s="16">
        <f>SUMIFS(Data!$G:$G,Data!$A:$A,$A117,Data!$F:$F,"gen_oil_twh")</f>
        <v/>
      </c>
      <c r="G117" s="16">
        <f>SUMIFS(Data!$G:$G,Data!$A:$A,$A117,Data!$F:$F,"gen_total_twh")</f>
        <v/>
      </c>
      <c r="H117" s="16">
        <f>SUMIFS(Data!$G:$G,Data!$A:$A,$A117,Data!$F:$F,"em_coal_mt")</f>
        <v/>
      </c>
      <c r="I117" s="16">
        <f>SUMIFS(Data!$G:$G,Data!$A:$A,$A117,Data!$F:$F,"em_gas_mt")</f>
        <v/>
      </c>
      <c r="J117" s="16">
        <f>SUMIFS(Data!$G:$G,Data!$A:$A,$A117,Data!$F:$F,"em_oil_mt")</f>
        <v/>
      </c>
      <c r="K117" s="28">
        <f>IF(COUNTIFS(Data!$A:$A,$A117,Data!$F:$F,"price_electricity_residential_usd_kwh")=0,"",SUMIFS(Data!$G:$G,Data!$A:$A,$A117,Data!$F:$F,"price_electricity_residential_usd_kwh"))</f>
        <v/>
      </c>
      <c r="L117" s="28">
        <f>IF(COUNTIFS(Data!$A:$A,$A117,Data!$F:$F,"price_coal_power_usd_gj")=0,"",SUMIFS(Data!$G:$G,Data!$A:$A,$A117,Data!$F:$F,"price_coal_power_usd_gj"))</f>
        <v/>
      </c>
      <c r="M117" s="28">
        <f>IF(COUNTIFS(Data!$A:$A,$A117,Data!$F:$F,"price_gas_power_usd_gj")=0,"",SUMIFS(Data!$G:$G,Data!$A:$A,$A117,Data!$F:$F,"price_gas_power_usd_gj"))</f>
        <v/>
      </c>
      <c r="N117" s="28">
        <f>IF(COUNTIFS(Data!$A:$A,$A117,Data!$F:$F,"price_gas_industry_usd_gj")=0,"",SUMIFS(Data!$G:$G,Data!$A:$A,$A117,Data!$F:$F,"price_gas_industry_usd_gj"))</f>
        <v/>
      </c>
      <c r="O117" s="28">
        <f>IF(COUNTIFS(Data!$A:$A,$A117,Data!$F:$F,"power_market_structure")=0,"",SUMIFS(Data!$G:$G,Data!$A:$A,$A117,Data!$F:$F,"power_market_structure"))</f>
        <v/>
      </c>
      <c r="P117" s="28">
        <f>IF(COUNTIFS(Data!$A:$A,$A117,Data!$F:$F,"rise_renewable_energy_score")=0,"",SUMIFS(Data!$G:$G,Data!$A:$A,$A117,Data!$F:$F,"rise_renewable_energy_score"))</f>
        <v/>
      </c>
      <c r="Q117" s="16">
        <f>H117+I117+J117</f>
        <v/>
      </c>
      <c r="R117" s="28">
        <f>Q117/G117</f>
        <v/>
      </c>
      <c r="S117" s="28">
        <f>IF(D117&gt;0,H117/D117,0.85)</f>
        <v/>
      </c>
      <c r="T117" s="28">
        <f>IF(E117&gt;0,I117/E117,0.4)</f>
        <v/>
      </c>
      <c r="U117" s="28">
        <f>IF(D117+F117&gt;0,(H117+J117)/(D117+F117),0)</f>
        <v/>
      </c>
      <c r="V117" s="16">
        <f>K117*1000</f>
        <v/>
      </c>
      <c r="W117" s="15">
        <f>IF(O117=3,in_pt3,IF(O117=2,in_pt2,IF(O117=1,in_pt1,IF(C117="High income",in_pt_hi,in_pt_oth))))</f>
        <v/>
      </c>
      <c r="X117" s="28">
        <f>IF(Q117&gt;0,in_kappa*(in_rise_lo+(in_rise_hi-in_rise_lo)*IF(P117="",in_rise_miss,P117)/100)*(D117+F117)*MAX(U117-in_gas_rep*T117,0)/Q117,0)</f>
        <v/>
      </c>
      <c r="Y117" s="16">
        <f>IF(IF(M117="",N117,M117)="",MAX(in_sw_floor,in_sw_miss),MAX(in_sw_floor,(IF(M117="",N117,M117)*in_hr_gas-L117*in_hr_coal)/MAX(S117-T117,0.1)))</f>
        <v/>
      </c>
      <c r="Z117" s="28">
        <f>IF(C117="Low income",in_b40_li,IF(C117="Lower middle income",in_b40_lmi,IF(C117="Upper middle income",in_b40_umi,IF(C117="High income",in_b40_hi,0.03))))</f>
        <v/>
      </c>
      <c r="AA117" s="15">
        <f>(D117+F117)/G117</f>
        <v/>
      </c>
      <c r="AB117" s="28">
        <f>100*W117*R117/V117/in_phase</f>
        <v/>
      </c>
      <c r="AC117" s="29">
        <f>100*Z117*W117*R117/V117*(1-IF(W117&gt;0,MIN(in_rebate/(W117*in_res_sh*in_q40),1),1))</f>
        <v/>
      </c>
      <c r="AD117" s="28">
        <f>IF(AA117&gt;0,100*U117*(1-W117)/(in_whole_sh*V117),0)</f>
        <v/>
      </c>
      <c r="AE117" s="28">
        <f>IF(AA117&gt;0,100*MAX(U117-R117,0)/(in_whole_sh*V117),0)</f>
        <v/>
      </c>
      <c r="AF117" s="16">
        <f>IF(AB117&gt;0,in_f1/AB117,in_cap)</f>
        <v/>
      </c>
      <c r="AG117" s="16">
        <f>IF(AC117&gt;0,in_f2/AC117,in_cap)</f>
        <v/>
      </c>
      <c r="AH117" s="16">
        <f>IF(AD117&gt;0,in_f3/AD117,in_cap)</f>
        <v/>
      </c>
      <c r="AI117" s="16">
        <f>MIN(in_cap,AF117,AG117,AH117)</f>
        <v/>
      </c>
      <c r="AJ117" s="30">
        <f>100*(1-(1-X117*(1-EXP(-((AI117)+(0))/Y117)))*(1-MIN(ABS(in_elas)*W117*R117*(AI117)/V117,1)))</f>
        <v/>
      </c>
      <c r="AK117" s="17">
        <f>IF(AI117&gt;=in_cap-1E-9,"rate cap",TRIM(IF(ABS(AI117-AF117)&lt;1E-9,"F1 ","")&amp;IF(ABS(AI117-AG117)&lt;1E-9,"F2 ","")&amp;IF(ABS(AI117-AH117)&lt;1E-9,"F3","")))</f>
        <v/>
      </c>
      <c r="AL117" s="15">
        <f>100*(1-(1-X117*(1-EXP(-((MIN(in_cap,IF(AB117&gt;0,(in_f1+1)/AB117,in_cap),AG117,AH117))+(0))/Y117)))*(1-MIN(ABS(in_elas)*W117*R117*(MIN(in_cap,IF(AB117&gt;0,(in_f1+1)/AB117,in_cap),AG117,AH117))/V117,1)))-AJ117</f>
        <v/>
      </c>
      <c r="AM117" s="16">
        <f>MIN(in_cap,IF(AE117&gt;0,in_f3/AE117,in_cap))</f>
        <v/>
      </c>
      <c r="AN117" s="30">
        <f>100*(1-(1-X117*(1-EXP(-((0)+(AM117))/Y117)))*(1-MIN(ABS(in_elas)*W117*R117*(0)/V117,1)))</f>
        <v/>
      </c>
      <c r="AO117" s="17">
        <f>IF(AM117&gt;=in_cap-1E-9,"rate cap","F3")</f>
        <v/>
      </c>
      <c r="AP117" s="15">
        <f>100*(1-(1-X117*(1-EXP(-((50)+(0))/Y117)))*(1-MIN(ABS(in_elas)*W117*R117*(50)/V117,1)))</f>
        <v/>
      </c>
      <c r="AQ117" s="15">
        <f>100*(1-(1-X117*(1-EXP(-((0)+(50))/Y117)))*(1-MIN(ABS(in_elas)*W117*R117*(0)/V117,1)))</f>
        <v/>
      </c>
      <c r="AR117" s="15">
        <f>IF(AP117&gt;0,AQ117/AP117,"")</f>
        <v/>
      </c>
      <c r="AS117" s="16">
        <f>50*AB117</f>
        <v/>
      </c>
      <c r="AT117" s="30">
        <f>MAX(BM117:BW117)</f>
        <v/>
      </c>
      <c r="AU117" s="31">
        <f>AI117*(MATCH(AT117,BM117:BW117,0)-1)/10</f>
        <v/>
      </c>
      <c r="AV117" s="31">
        <f>INDEX(BB117:BL117,1,(MATCH(AT117,BM117:BW117,0)-1)+1)</f>
        <v/>
      </c>
      <c r="AW117" s="31">
        <f>AB117*AU117</f>
        <v/>
      </c>
      <c r="AX117" s="30">
        <f>AC117*AU117</f>
        <v/>
      </c>
      <c r="AY117" s="31">
        <f>AD117*AU117+AE117*AV117</f>
        <v/>
      </c>
      <c r="AZ117" s="32">
        <f>TRIM(IF(AND(AU117&gt;0,ABS(AU117-AF117)&lt;1E-6),"F1 ","")&amp;IF(AND(AU117&gt;0,ABS(AU117-AG117)&lt;1E-6),"F2 ","")&amp;IF(AY117&gt;=in_f3-1E-6,"F3 ","")&amp;IF(AV117&gt;=in_cap-1E-9,"rate cap",""))</f>
        <v/>
      </c>
      <c r="BA117" s="31">
        <f>Q117*AT117/100</f>
        <v/>
      </c>
      <c r="BB117" s="16">
        <f>MAX(0,MIN(in_cap,IF(AE117&gt;0,(in_f3-AD117*AI117*0/10)/AE117,in_cap)))</f>
        <v/>
      </c>
      <c r="BC117" s="16">
        <f>MAX(0,MIN(in_cap,IF(AE117&gt;0,(in_f3-AD117*AI117*1/10)/AE117,in_cap)))</f>
        <v/>
      </c>
      <c r="BD117" s="16">
        <f>MAX(0,MIN(in_cap,IF(AE117&gt;0,(in_f3-AD117*AI117*2/10)/AE117,in_cap)))</f>
        <v/>
      </c>
      <c r="BE117" s="16">
        <f>MAX(0,MIN(in_cap,IF(AE117&gt;0,(in_f3-AD117*AI117*3/10)/AE117,in_cap)))</f>
        <v/>
      </c>
      <c r="BF117" s="16">
        <f>MAX(0,MIN(in_cap,IF(AE117&gt;0,(in_f3-AD117*AI117*4/10)/AE117,in_cap)))</f>
        <v/>
      </c>
      <c r="BG117" s="16">
        <f>MAX(0,MIN(in_cap,IF(AE117&gt;0,(in_f3-AD117*AI117*5/10)/AE117,in_cap)))</f>
        <v/>
      </c>
      <c r="BH117" s="16">
        <f>MAX(0,MIN(in_cap,IF(AE117&gt;0,(in_f3-AD117*AI117*6/10)/AE117,in_cap)))</f>
        <v/>
      </c>
      <c r="BI117" s="16">
        <f>MAX(0,MIN(in_cap,IF(AE117&gt;0,(in_f3-AD117*AI117*7/10)/AE117,in_cap)))</f>
        <v/>
      </c>
      <c r="BJ117" s="16">
        <f>MAX(0,MIN(in_cap,IF(AE117&gt;0,(in_f3-AD117*AI117*8/10)/AE117,in_cap)))</f>
        <v/>
      </c>
      <c r="BK117" s="16">
        <f>MAX(0,MIN(in_cap,IF(AE117&gt;0,(in_f3-AD117*AI117*9/10)/AE117,in_cap)))</f>
        <v/>
      </c>
      <c r="BL117" s="16">
        <f>MAX(0,MIN(in_cap,IF(AE117&gt;0,(in_f3-AD117*AI117*10/10)/AE117,in_cap)))</f>
        <v/>
      </c>
      <c r="BM117" s="15">
        <f>100*(1-(1-X117*(1-EXP(-((AI117*0/10)+(BB117))/Y117)))*(1-MIN(ABS(in_elas)*W117*R117*(AI117*0/10)/V117,1)))</f>
        <v/>
      </c>
      <c r="BN117" s="15">
        <f>100*(1-(1-X117*(1-EXP(-((AI117*1/10)+(BC117))/Y117)))*(1-MIN(ABS(in_elas)*W117*R117*(AI117*1/10)/V117,1)))</f>
        <v/>
      </c>
      <c r="BO117" s="15">
        <f>100*(1-(1-X117*(1-EXP(-((AI117*2/10)+(BD117))/Y117)))*(1-MIN(ABS(in_elas)*W117*R117*(AI117*2/10)/V117,1)))</f>
        <v/>
      </c>
      <c r="BP117" s="15">
        <f>100*(1-(1-X117*(1-EXP(-((AI117*3/10)+(BE117))/Y117)))*(1-MIN(ABS(in_elas)*W117*R117*(AI117*3/10)/V117,1)))</f>
        <v/>
      </c>
      <c r="BQ117" s="15">
        <f>100*(1-(1-X117*(1-EXP(-((AI117*4/10)+(BF117))/Y117)))*(1-MIN(ABS(in_elas)*W117*R117*(AI117*4/10)/V117,1)))</f>
        <v/>
      </c>
      <c r="BR117" s="15">
        <f>100*(1-(1-X117*(1-EXP(-((AI117*5/10)+(BG117))/Y117)))*(1-MIN(ABS(in_elas)*W117*R117*(AI117*5/10)/V117,1)))</f>
        <v/>
      </c>
      <c r="BS117" s="15">
        <f>100*(1-(1-X117*(1-EXP(-((AI117*6/10)+(BH117))/Y117)))*(1-MIN(ABS(in_elas)*W117*R117*(AI117*6/10)/V117,1)))</f>
        <v/>
      </c>
      <c r="BT117" s="15">
        <f>100*(1-(1-X117*(1-EXP(-((AI117*7/10)+(BI117))/Y117)))*(1-MIN(ABS(in_elas)*W117*R117*(AI117*7/10)/V117,1)))</f>
        <v/>
      </c>
      <c r="BU117" s="15">
        <f>100*(1-(1-X117*(1-EXP(-((AI117*8/10)+(BJ117))/Y117)))*(1-MIN(ABS(in_elas)*W117*R117*(AI117*8/10)/V117,1)))</f>
        <v/>
      </c>
      <c r="BV117" s="15">
        <f>100*(1-(1-X117*(1-EXP(-((AI117*9/10)+(BK117))/Y117)))*(1-MIN(ABS(in_elas)*W117*R117*(AI117*9/10)/V117,1)))</f>
        <v/>
      </c>
      <c r="BW117" s="15">
        <f>100*(1-(1-X117*(1-EXP(-((AI117*10/10)+(BL117))/Y117)))*(1-MIN(ABS(in_elas)*W117*R117*(AI117*10/10)/V117,1)))</f>
        <v/>
      </c>
    </row>
    <row r="118">
      <c r="A118" s="17" t="inlineStr">
        <is>
          <t>NIC</t>
        </is>
      </c>
      <c r="B118" s="17">
        <f>INDEX(Data!$B:$B,MATCH($A118,Data!$A:$A,0))</f>
        <v/>
      </c>
      <c r="C118" s="17">
        <f>INDEX(Data!$D:$D,MATCH($A118,Data!$A:$A,0))</f>
        <v/>
      </c>
      <c r="D118" s="16">
        <f>SUMIFS(Data!$G:$G,Data!$A:$A,$A118,Data!$F:$F,"gen_coal_twh")</f>
        <v/>
      </c>
      <c r="E118" s="16">
        <f>SUMIFS(Data!$G:$G,Data!$A:$A,$A118,Data!$F:$F,"gen_gas_twh")</f>
        <v/>
      </c>
      <c r="F118" s="16">
        <f>SUMIFS(Data!$G:$G,Data!$A:$A,$A118,Data!$F:$F,"gen_oil_twh")</f>
        <v/>
      </c>
      <c r="G118" s="16">
        <f>SUMIFS(Data!$G:$G,Data!$A:$A,$A118,Data!$F:$F,"gen_total_twh")</f>
        <v/>
      </c>
      <c r="H118" s="16">
        <f>SUMIFS(Data!$G:$G,Data!$A:$A,$A118,Data!$F:$F,"em_coal_mt")</f>
        <v/>
      </c>
      <c r="I118" s="16">
        <f>SUMIFS(Data!$G:$G,Data!$A:$A,$A118,Data!$F:$F,"em_gas_mt")</f>
        <v/>
      </c>
      <c r="J118" s="16">
        <f>SUMIFS(Data!$G:$G,Data!$A:$A,$A118,Data!$F:$F,"em_oil_mt")</f>
        <v/>
      </c>
      <c r="K118" s="28">
        <f>IF(COUNTIFS(Data!$A:$A,$A118,Data!$F:$F,"price_electricity_residential_usd_kwh")=0,"",SUMIFS(Data!$G:$G,Data!$A:$A,$A118,Data!$F:$F,"price_electricity_residential_usd_kwh"))</f>
        <v/>
      </c>
      <c r="L118" s="28">
        <f>IF(COUNTIFS(Data!$A:$A,$A118,Data!$F:$F,"price_coal_power_usd_gj")=0,"",SUMIFS(Data!$G:$G,Data!$A:$A,$A118,Data!$F:$F,"price_coal_power_usd_gj"))</f>
        <v/>
      </c>
      <c r="M118" s="28">
        <f>IF(COUNTIFS(Data!$A:$A,$A118,Data!$F:$F,"price_gas_power_usd_gj")=0,"",SUMIFS(Data!$G:$G,Data!$A:$A,$A118,Data!$F:$F,"price_gas_power_usd_gj"))</f>
        <v/>
      </c>
      <c r="N118" s="28">
        <f>IF(COUNTIFS(Data!$A:$A,$A118,Data!$F:$F,"price_gas_industry_usd_gj")=0,"",SUMIFS(Data!$G:$G,Data!$A:$A,$A118,Data!$F:$F,"price_gas_industry_usd_gj"))</f>
        <v/>
      </c>
      <c r="O118" s="28">
        <f>IF(COUNTIFS(Data!$A:$A,$A118,Data!$F:$F,"power_market_structure")=0,"",SUMIFS(Data!$G:$G,Data!$A:$A,$A118,Data!$F:$F,"power_market_structure"))</f>
        <v/>
      </c>
      <c r="P118" s="28">
        <f>IF(COUNTIFS(Data!$A:$A,$A118,Data!$F:$F,"rise_renewable_energy_score")=0,"",SUMIFS(Data!$G:$G,Data!$A:$A,$A118,Data!$F:$F,"rise_renewable_energy_score"))</f>
        <v/>
      </c>
      <c r="Q118" s="16">
        <f>H118+I118+J118</f>
        <v/>
      </c>
      <c r="R118" s="28">
        <f>Q118/G118</f>
        <v/>
      </c>
      <c r="S118" s="28">
        <f>IF(D118&gt;0,H118/D118,0.85)</f>
        <v/>
      </c>
      <c r="T118" s="28">
        <f>IF(E118&gt;0,I118/E118,0.4)</f>
        <v/>
      </c>
      <c r="U118" s="28">
        <f>IF(D118+F118&gt;0,(H118+J118)/(D118+F118),0)</f>
        <v/>
      </c>
      <c r="V118" s="16">
        <f>K118*1000</f>
        <v/>
      </c>
      <c r="W118" s="15">
        <f>IF(O118=3,in_pt3,IF(O118=2,in_pt2,IF(O118=1,in_pt1,IF(C118="High income",in_pt_hi,in_pt_oth))))</f>
        <v/>
      </c>
      <c r="X118" s="28">
        <f>IF(Q118&gt;0,in_kappa*(in_rise_lo+(in_rise_hi-in_rise_lo)*IF(P118="",in_rise_miss,P118)/100)*(D118+F118)*MAX(U118-in_gas_rep*T118,0)/Q118,0)</f>
        <v/>
      </c>
      <c r="Y118" s="16">
        <f>IF(IF(M118="",N118,M118)="",MAX(in_sw_floor,in_sw_miss),MAX(in_sw_floor,(IF(M118="",N118,M118)*in_hr_gas-L118*in_hr_coal)/MAX(S118-T118,0.1)))</f>
        <v/>
      </c>
      <c r="Z118" s="28">
        <f>IF(C118="Low income",in_b40_li,IF(C118="Lower middle income",in_b40_lmi,IF(C118="Upper middle income",in_b40_umi,IF(C118="High income",in_b40_hi,0.03))))</f>
        <v/>
      </c>
      <c r="AA118" s="15">
        <f>(D118+F118)/G118</f>
        <v/>
      </c>
      <c r="AB118" s="28">
        <f>100*W118*R118/V118/in_phase</f>
        <v/>
      </c>
      <c r="AC118" s="29">
        <f>100*Z118*W118*R118/V118*(1-IF(W118&gt;0,MIN(in_rebate/(W118*in_res_sh*in_q40),1),1))</f>
        <v/>
      </c>
      <c r="AD118" s="28">
        <f>IF(AA118&gt;0,100*U118*(1-W118)/(in_whole_sh*V118),0)</f>
        <v/>
      </c>
      <c r="AE118" s="28">
        <f>IF(AA118&gt;0,100*MAX(U118-R118,0)/(in_whole_sh*V118),0)</f>
        <v/>
      </c>
      <c r="AF118" s="16">
        <f>IF(AB118&gt;0,in_f1/AB118,in_cap)</f>
        <v/>
      </c>
      <c r="AG118" s="16">
        <f>IF(AC118&gt;0,in_f2/AC118,in_cap)</f>
        <v/>
      </c>
      <c r="AH118" s="16">
        <f>IF(AD118&gt;0,in_f3/AD118,in_cap)</f>
        <v/>
      </c>
      <c r="AI118" s="16">
        <f>MIN(in_cap,AF118,AG118,AH118)</f>
        <v/>
      </c>
      <c r="AJ118" s="30">
        <f>100*(1-(1-X118*(1-EXP(-((AI118)+(0))/Y118)))*(1-MIN(ABS(in_elas)*W118*R118*(AI118)/V118,1)))</f>
        <v/>
      </c>
      <c r="AK118" s="17">
        <f>IF(AI118&gt;=in_cap-1E-9,"rate cap",TRIM(IF(ABS(AI118-AF118)&lt;1E-9,"F1 ","")&amp;IF(ABS(AI118-AG118)&lt;1E-9,"F2 ","")&amp;IF(ABS(AI118-AH118)&lt;1E-9,"F3","")))</f>
        <v/>
      </c>
      <c r="AL118" s="15">
        <f>100*(1-(1-X118*(1-EXP(-((MIN(in_cap,IF(AB118&gt;0,(in_f1+1)/AB118,in_cap),AG118,AH118))+(0))/Y118)))*(1-MIN(ABS(in_elas)*W118*R118*(MIN(in_cap,IF(AB118&gt;0,(in_f1+1)/AB118,in_cap),AG118,AH118))/V118,1)))-AJ118</f>
        <v/>
      </c>
      <c r="AM118" s="16">
        <f>MIN(in_cap,IF(AE118&gt;0,in_f3/AE118,in_cap))</f>
        <v/>
      </c>
      <c r="AN118" s="30">
        <f>100*(1-(1-X118*(1-EXP(-((0)+(AM118))/Y118)))*(1-MIN(ABS(in_elas)*W118*R118*(0)/V118,1)))</f>
        <v/>
      </c>
      <c r="AO118" s="17">
        <f>IF(AM118&gt;=in_cap-1E-9,"rate cap","F3")</f>
        <v/>
      </c>
      <c r="AP118" s="15">
        <f>100*(1-(1-X118*(1-EXP(-((50)+(0))/Y118)))*(1-MIN(ABS(in_elas)*W118*R118*(50)/V118,1)))</f>
        <v/>
      </c>
      <c r="AQ118" s="15">
        <f>100*(1-(1-X118*(1-EXP(-((0)+(50))/Y118)))*(1-MIN(ABS(in_elas)*W118*R118*(0)/V118,1)))</f>
        <v/>
      </c>
      <c r="AR118" s="15">
        <f>IF(AP118&gt;0,AQ118/AP118,"")</f>
        <v/>
      </c>
      <c r="AS118" s="16">
        <f>50*AB118</f>
        <v/>
      </c>
      <c r="AT118" s="30">
        <f>MAX(BM118:BW118)</f>
        <v/>
      </c>
      <c r="AU118" s="31">
        <f>AI118*(MATCH(AT118,BM118:BW118,0)-1)/10</f>
        <v/>
      </c>
      <c r="AV118" s="31">
        <f>INDEX(BB118:BL118,1,(MATCH(AT118,BM118:BW118,0)-1)+1)</f>
        <v/>
      </c>
      <c r="AW118" s="31">
        <f>AB118*AU118</f>
        <v/>
      </c>
      <c r="AX118" s="30">
        <f>AC118*AU118</f>
        <v/>
      </c>
      <c r="AY118" s="31">
        <f>AD118*AU118+AE118*AV118</f>
        <v/>
      </c>
      <c r="AZ118" s="32">
        <f>TRIM(IF(AND(AU118&gt;0,ABS(AU118-AF118)&lt;1E-6),"F1 ","")&amp;IF(AND(AU118&gt;0,ABS(AU118-AG118)&lt;1E-6),"F2 ","")&amp;IF(AY118&gt;=in_f3-1E-6,"F3 ","")&amp;IF(AV118&gt;=in_cap-1E-9,"rate cap",""))</f>
        <v/>
      </c>
      <c r="BA118" s="31">
        <f>Q118*AT118/100</f>
        <v/>
      </c>
      <c r="BB118" s="16">
        <f>MAX(0,MIN(in_cap,IF(AE118&gt;0,(in_f3-AD118*AI118*0/10)/AE118,in_cap)))</f>
        <v/>
      </c>
      <c r="BC118" s="16">
        <f>MAX(0,MIN(in_cap,IF(AE118&gt;0,(in_f3-AD118*AI118*1/10)/AE118,in_cap)))</f>
        <v/>
      </c>
      <c r="BD118" s="16">
        <f>MAX(0,MIN(in_cap,IF(AE118&gt;0,(in_f3-AD118*AI118*2/10)/AE118,in_cap)))</f>
        <v/>
      </c>
      <c r="BE118" s="16">
        <f>MAX(0,MIN(in_cap,IF(AE118&gt;0,(in_f3-AD118*AI118*3/10)/AE118,in_cap)))</f>
        <v/>
      </c>
      <c r="BF118" s="16">
        <f>MAX(0,MIN(in_cap,IF(AE118&gt;0,(in_f3-AD118*AI118*4/10)/AE118,in_cap)))</f>
        <v/>
      </c>
      <c r="BG118" s="16">
        <f>MAX(0,MIN(in_cap,IF(AE118&gt;0,(in_f3-AD118*AI118*5/10)/AE118,in_cap)))</f>
        <v/>
      </c>
      <c r="BH118" s="16">
        <f>MAX(0,MIN(in_cap,IF(AE118&gt;0,(in_f3-AD118*AI118*6/10)/AE118,in_cap)))</f>
        <v/>
      </c>
      <c r="BI118" s="16">
        <f>MAX(0,MIN(in_cap,IF(AE118&gt;0,(in_f3-AD118*AI118*7/10)/AE118,in_cap)))</f>
        <v/>
      </c>
      <c r="BJ118" s="16">
        <f>MAX(0,MIN(in_cap,IF(AE118&gt;0,(in_f3-AD118*AI118*8/10)/AE118,in_cap)))</f>
        <v/>
      </c>
      <c r="BK118" s="16">
        <f>MAX(0,MIN(in_cap,IF(AE118&gt;0,(in_f3-AD118*AI118*9/10)/AE118,in_cap)))</f>
        <v/>
      </c>
      <c r="BL118" s="16">
        <f>MAX(0,MIN(in_cap,IF(AE118&gt;0,(in_f3-AD118*AI118*10/10)/AE118,in_cap)))</f>
        <v/>
      </c>
      <c r="BM118" s="15">
        <f>100*(1-(1-X118*(1-EXP(-((AI118*0/10)+(BB118))/Y118)))*(1-MIN(ABS(in_elas)*W118*R118*(AI118*0/10)/V118,1)))</f>
        <v/>
      </c>
      <c r="BN118" s="15">
        <f>100*(1-(1-X118*(1-EXP(-((AI118*1/10)+(BC118))/Y118)))*(1-MIN(ABS(in_elas)*W118*R118*(AI118*1/10)/V118,1)))</f>
        <v/>
      </c>
      <c r="BO118" s="15">
        <f>100*(1-(1-X118*(1-EXP(-((AI118*2/10)+(BD118))/Y118)))*(1-MIN(ABS(in_elas)*W118*R118*(AI118*2/10)/V118,1)))</f>
        <v/>
      </c>
      <c r="BP118" s="15">
        <f>100*(1-(1-X118*(1-EXP(-((AI118*3/10)+(BE118))/Y118)))*(1-MIN(ABS(in_elas)*W118*R118*(AI118*3/10)/V118,1)))</f>
        <v/>
      </c>
      <c r="BQ118" s="15">
        <f>100*(1-(1-X118*(1-EXP(-((AI118*4/10)+(BF118))/Y118)))*(1-MIN(ABS(in_elas)*W118*R118*(AI118*4/10)/V118,1)))</f>
        <v/>
      </c>
      <c r="BR118" s="15">
        <f>100*(1-(1-X118*(1-EXP(-((AI118*5/10)+(BG118))/Y118)))*(1-MIN(ABS(in_elas)*W118*R118*(AI118*5/10)/V118,1)))</f>
        <v/>
      </c>
      <c r="BS118" s="15">
        <f>100*(1-(1-X118*(1-EXP(-((AI118*6/10)+(BH118))/Y118)))*(1-MIN(ABS(in_elas)*W118*R118*(AI118*6/10)/V118,1)))</f>
        <v/>
      </c>
      <c r="BT118" s="15">
        <f>100*(1-(1-X118*(1-EXP(-((AI118*7/10)+(BI118))/Y118)))*(1-MIN(ABS(in_elas)*W118*R118*(AI118*7/10)/V118,1)))</f>
        <v/>
      </c>
      <c r="BU118" s="15">
        <f>100*(1-(1-X118*(1-EXP(-((AI118*8/10)+(BJ118))/Y118)))*(1-MIN(ABS(in_elas)*W118*R118*(AI118*8/10)/V118,1)))</f>
        <v/>
      </c>
      <c r="BV118" s="15">
        <f>100*(1-(1-X118*(1-EXP(-((AI118*9/10)+(BK118))/Y118)))*(1-MIN(ABS(in_elas)*W118*R118*(AI118*9/10)/V118,1)))</f>
        <v/>
      </c>
      <c r="BW118" s="15">
        <f>100*(1-(1-X118*(1-EXP(-((AI118*10/10)+(BL118))/Y118)))*(1-MIN(ABS(in_elas)*W118*R118*(AI118*10/10)/V118,1)))</f>
        <v/>
      </c>
    </row>
    <row r="119">
      <c r="A119" s="17" t="inlineStr">
        <is>
          <t>NLD</t>
        </is>
      </c>
      <c r="B119" s="17">
        <f>INDEX(Data!$B:$B,MATCH($A119,Data!$A:$A,0))</f>
        <v/>
      </c>
      <c r="C119" s="17">
        <f>INDEX(Data!$D:$D,MATCH($A119,Data!$A:$A,0))</f>
        <v/>
      </c>
      <c r="D119" s="16">
        <f>SUMIFS(Data!$G:$G,Data!$A:$A,$A119,Data!$F:$F,"gen_coal_twh")</f>
        <v/>
      </c>
      <c r="E119" s="16">
        <f>SUMIFS(Data!$G:$G,Data!$A:$A,$A119,Data!$F:$F,"gen_gas_twh")</f>
        <v/>
      </c>
      <c r="F119" s="16">
        <f>SUMIFS(Data!$G:$G,Data!$A:$A,$A119,Data!$F:$F,"gen_oil_twh")</f>
        <v/>
      </c>
      <c r="G119" s="16">
        <f>SUMIFS(Data!$G:$G,Data!$A:$A,$A119,Data!$F:$F,"gen_total_twh")</f>
        <v/>
      </c>
      <c r="H119" s="16">
        <f>SUMIFS(Data!$G:$G,Data!$A:$A,$A119,Data!$F:$F,"em_coal_mt")</f>
        <v/>
      </c>
      <c r="I119" s="16">
        <f>SUMIFS(Data!$G:$G,Data!$A:$A,$A119,Data!$F:$F,"em_gas_mt")</f>
        <v/>
      </c>
      <c r="J119" s="16">
        <f>SUMIFS(Data!$G:$G,Data!$A:$A,$A119,Data!$F:$F,"em_oil_mt")</f>
        <v/>
      </c>
      <c r="K119" s="28">
        <f>IF(COUNTIFS(Data!$A:$A,$A119,Data!$F:$F,"price_electricity_residential_usd_kwh")=0,"",SUMIFS(Data!$G:$G,Data!$A:$A,$A119,Data!$F:$F,"price_electricity_residential_usd_kwh"))</f>
        <v/>
      </c>
      <c r="L119" s="28">
        <f>IF(COUNTIFS(Data!$A:$A,$A119,Data!$F:$F,"price_coal_power_usd_gj")=0,"",SUMIFS(Data!$G:$G,Data!$A:$A,$A119,Data!$F:$F,"price_coal_power_usd_gj"))</f>
        <v/>
      </c>
      <c r="M119" s="28">
        <f>IF(COUNTIFS(Data!$A:$A,$A119,Data!$F:$F,"price_gas_power_usd_gj")=0,"",SUMIFS(Data!$G:$G,Data!$A:$A,$A119,Data!$F:$F,"price_gas_power_usd_gj"))</f>
        <v/>
      </c>
      <c r="N119" s="28">
        <f>IF(COUNTIFS(Data!$A:$A,$A119,Data!$F:$F,"price_gas_industry_usd_gj")=0,"",SUMIFS(Data!$G:$G,Data!$A:$A,$A119,Data!$F:$F,"price_gas_industry_usd_gj"))</f>
        <v/>
      </c>
      <c r="O119" s="28">
        <f>IF(COUNTIFS(Data!$A:$A,$A119,Data!$F:$F,"power_market_structure")=0,"",SUMIFS(Data!$G:$G,Data!$A:$A,$A119,Data!$F:$F,"power_market_structure"))</f>
        <v/>
      </c>
      <c r="P119" s="28">
        <f>IF(COUNTIFS(Data!$A:$A,$A119,Data!$F:$F,"rise_renewable_energy_score")=0,"",SUMIFS(Data!$G:$G,Data!$A:$A,$A119,Data!$F:$F,"rise_renewable_energy_score"))</f>
        <v/>
      </c>
      <c r="Q119" s="16">
        <f>H119+I119+J119</f>
        <v/>
      </c>
      <c r="R119" s="28">
        <f>Q119/G119</f>
        <v/>
      </c>
      <c r="S119" s="28">
        <f>IF(D119&gt;0,H119/D119,0.85)</f>
        <v/>
      </c>
      <c r="T119" s="28">
        <f>IF(E119&gt;0,I119/E119,0.4)</f>
        <v/>
      </c>
      <c r="U119" s="28">
        <f>IF(D119+F119&gt;0,(H119+J119)/(D119+F119),0)</f>
        <v/>
      </c>
      <c r="V119" s="16">
        <f>K119*1000</f>
        <v/>
      </c>
      <c r="W119" s="15">
        <f>IF(O119=3,in_pt3,IF(O119=2,in_pt2,IF(O119=1,in_pt1,IF(C119="High income",in_pt_hi,in_pt_oth))))</f>
        <v/>
      </c>
      <c r="X119" s="28">
        <f>IF(Q119&gt;0,in_kappa*(in_rise_lo+(in_rise_hi-in_rise_lo)*IF(P119="",in_rise_miss,P119)/100)*(D119+F119)*MAX(U119-in_gas_rep*T119,0)/Q119,0)</f>
        <v/>
      </c>
      <c r="Y119" s="16">
        <f>IF(IF(M119="",N119,M119)="",MAX(in_sw_floor,in_sw_miss),MAX(in_sw_floor,(IF(M119="",N119,M119)*in_hr_gas-L119*in_hr_coal)/MAX(S119-T119,0.1)))</f>
        <v/>
      </c>
      <c r="Z119" s="28">
        <f>IF(C119="Low income",in_b40_li,IF(C119="Lower middle income",in_b40_lmi,IF(C119="Upper middle income",in_b40_umi,IF(C119="High income",in_b40_hi,0.03))))</f>
        <v/>
      </c>
      <c r="AA119" s="15">
        <f>(D119+F119)/G119</f>
        <v/>
      </c>
      <c r="AB119" s="28">
        <f>100*W119*R119/V119/in_phase</f>
        <v/>
      </c>
      <c r="AC119" s="29">
        <f>100*Z119*W119*R119/V119*(1-IF(W119&gt;0,MIN(in_rebate/(W119*in_res_sh*in_q40),1),1))</f>
        <v/>
      </c>
      <c r="AD119" s="28">
        <f>IF(AA119&gt;0,100*U119*(1-W119)/(in_whole_sh*V119),0)</f>
        <v/>
      </c>
      <c r="AE119" s="28">
        <f>IF(AA119&gt;0,100*MAX(U119-R119,0)/(in_whole_sh*V119),0)</f>
        <v/>
      </c>
      <c r="AF119" s="16">
        <f>IF(AB119&gt;0,in_f1/AB119,in_cap)</f>
        <v/>
      </c>
      <c r="AG119" s="16">
        <f>IF(AC119&gt;0,in_f2/AC119,in_cap)</f>
        <v/>
      </c>
      <c r="AH119" s="16">
        <f>IF(AD119&gt;0,in_f3/AD119,in_cap)</f>
        <v/>
      </c>
      <c r="AI119" s="16">
        <f>MIN(in_cap,AF119,AG119,AH119)</f>
        <v/>
      </c>
      <c r="AJ119" s="30">
        <f>100*(1-(1-X119*(1-EXP(-((AI119)+(0))/Y119)))*(1-MIN(ABS(in_elas)*W119*R119*(AI119)/V119,1)))</f>
        <v/>
      </c>
      <c r="AK119" s="17">
        <f>IF(AI119&gt;=in_cap-1E-9,"rate cap",TRIM(IF(ABS(AI119-AF119)&lt;1E-9,"F1 ","")&amp;IF(ABS(AI119-AG119)&lt;1E-9,"F2 ","")&amp;IF(ABS(AI119-AH119)&lt;1E-9,"F3","")))</f>
        <v/>
      </c>
      <c r="AL119" s="15">
        <f>100*(1-(1-X119*(1-EXP(-((MIN(in_cap,IF(AB119&gt;0,(in_f1+1)/AB119,in_cap),AG119,AH119))+(0))/Y119)))*(1-MIN(ABS(in_elas)*W119*R119*(MIN(in_cap,IF(AB119&gt;0,(in_f1+1)/AB119,in_cap),AG119,AH119))/V119,1)))-AJ119</f>
        <v/>
      </c>
      <c r="AM119" s="16">
        <f>MIN(in_cap,IF(AE119&gt;0,in_f3/AE119,in_cap))</f>
        <v/>
      </c>
      <c r="AN119" s="30">
        <f>100*(1-(1-X119*(1-EXP(-((0)+(AM119))/Y119)))*(1-MIN(ABS(in_elas)*W119*R119*(0)/V119,1)))</f>
        <v/>
      </c>
      <c r="AO119" s="17">
        <f>IF(AM119&gt;=in_cap-1E-9,"rate cap","F3")</f>
        <v/>
      </c>
      <c r="AP119" s="15">
        <f>100*(1-(1-X119*(1-EXP(-((50)+(0))/Y119)))*(1-MIN(ABS(in_elas)*W119*R119*(50)/V119,1)))</f>
        <v/>
      </c>
      <c r="AQ119" s="15">
        <f>100*(1-(1-X119*(1-EXP(-((0)+(50))/Y119)))*(1-MIN(ABS(in_elas)*W119*R119*(0)/V119,1)))</f>
        <v/>
      </c>
      <c r="AR119" s="15">
        <f>IF(AP119&gt;0,AQ119/AP119,"")</f>
        <v/>
      </c>
      <c r="AS119" s="16">
        <f>50*AB119</f>
        <v/>
      </c>
      <c r="AT119" s="30">
        <f>MAX(BM119:BW119)</f>
        <v/>
      </c>
      <c r="AU119" s="31">
        <f>AI119*(MATCH(AT119,BM119:BW119,0)-1)/10</f>
        <v/>
      </c>
      <c r="AV119" s="31">
        <f>INDEX(BB119:BL119,1,(MATCH(AT119,BM119:BW119,0)-1)+1)</f>
        <v/>
      </c>
      <c r="AW119" s="31">
        <f>AB119*AU119</f>
        <v/>
      </c>
      <c r="AX119" s="30">
        <f>AC119*AU119</f>
        <v/>
      </c>
      <c r="AY119" s="31">
        <f>AD119*AU119+AE119*AV119</f>
        <v/>
      </c>
      <c r="AZ119" s="32">
        <f>TRIM(IF(AND(AU119&gt;0,ABS(AU119-AF119)&lt;1E-6),"F1 ","")&amp;IF(AND(AU119&gt;0,ABS(AU119-AG119)&lt;1E-6),"F2 ","")&amp;IF(AY119&gt;=in_f3-1E-6,"F3 ","")&amp;IF(AV119&gt;=in_cap-1E-9,"rate cap",""))</f>
        <v/>
      </c>
      <c r="BA119" s="31">
        <f>Q119*AT119/100</f>
        <v/>
      </c>
      <c r="BB119" s="16">
        <f>MAX(0,MIN(in_cap,IF(AE119&gt;0,(in_f3-AD119*AI119*0/10)/AE119,in_cap)))</f>
        <v/>
      </c>
      <c r="BC119" s="16">
        <f>MAX(0,MIN(in_cap,IF(AE119&gt;0,(in_f3-AD119*AI119*1/10)/AE119,in_cap)))</f>
        <v/>
      </c>
      <c r="BD119" s="16">
        <f>MAX(0,MIN(in_cap,IF(AE119&gt;0,(in_f3-AD119*AI119*2/10)/AE119,in_cap)))</f>
        <v/>
      </c>
      <c r="BE119" s="16">
        <f>MAX(0,MIN(in_cap,IF(AE119&gt;0,(in_f3-AD119*AI119*3/10)/AE119,in_cap)))</f>
        <v/>
      </c>
      <c r="BF119" s="16">
        <f>MAX(0,MIN(in_cap,IF(AE119&gt;0,(in_f3-AD119*AI119*4/10)/AE119,in_cap)))</f>
        <v/>
      </c>
      <c r="BG119" s="16">
        <f>MAX(0,MIN(in_cap,IF(AE119&gt;0,(in_f3-AD119*AI119*5/10)/AE119,in_cap)))</f>
        <v/>
      </c>
      <c r="BH119" s="16">
        <f>MAX(0,MIN(in_cap,IF(AE119&gt;0,(in_f3-AD119*AI119*6/10)/AE119,in_cap)))</f>
        <v/>
      </c>
      <c r="BI119" s="16">
        <f>MAX(0,MIN(in_cap,IF(AE119&gt;0,(in_f3-AD119*AI119*7/10)/AE119,in_cap)))</f>
        <v/>
      </c>
      <c r="BJ119" s="16">
        <f>MAX(0,MIN(in_cap,IF(AE119&gt;0,(in_f3-AD119*AI119*8/10)/AE119,in_cap)))</f>
        <v/>
      </c>
      <c r="BK119" s="16">
        <f>MAX(0,MIN(in_cap,IF(AE119&gt;0,(in_f3-AD119*AI119*9/10)/AE119,in_cap)))</f>
        <v/>
      </c>
      <c r="BL119" s="16">
        <f>MAX(0,MIN(in_cap,IF(AE119&gt;0,(in_f3-AD119*AI119*10/10)/AE119,in_cap)))</f>
        <v/>
      </c>
      <c r="BM119" s="15">
        <f>100*(1-(1-X119*(1-EXP(-((AI119*0/10)+(BB119))/Y119)))*(1-MIN(ABS(in_elas)*W119*R119*(AI119*0/10)/V119,1)))</f>
        <v/>
      </c>
      <c r="BN119" s="15">
        <f>100*(1-(1-X119*(1-EXP(-((AI119*1/10)+(BC119))/Y119)))*(1-MIN(ABS(in_elas)*W119*R119*(AI119*1/10)/V119,1)))</f>
        <v/>
      </c>
      <c r="BO119" s="15">
        <f>100*(1-(1-X119*(1-EXP(-((AI119*2/10)+(BD119))/Y119)))*(1-MIN(ABS(in_elas)*W119*R119*(AI119*2/10)/V119,1)))</f>
        <v/>
      </c>
      <c r="BP119" s="15">
        <f>100*(1-(1-X119*(1-EXP(-((AI119*3/10)+(BE119))/Y119)))*(1-MIN(ABS(in_elas)*W119*R119*(AI119*3/10)/V119,1)))</f>
        <v/>
      </c>
      <c r="BQ119" s="15">
        <f>100*(1-(1-X119*(1-EXP(-((AI119*4/10)+(BF119))/Y119)))*(1-MIN(ABS(in_elas)*W119*R119*(AI119*4/10)/V119,1)))</f>
        <v/>
      </c>
      <c r="BR119" s="15">
        <f>100*(1-(1-X119*(1-EXP(-((AI119*5/10)+(BG119))/Y119)))*(1-MIN(ABS(in_elas)*W119*R119*(AI119*5/10)/V119,1)))</f>
        <v/>
      </c>
      <c r="BS119" s="15">
        <f>100*(1-(1-X119*(1-EXP(-((AI119*6/10)+(BH119))/Y119)))*(1-MIN(ABS(in_elas)*W119*R119*(AI119*6/10)/V119,1)))</f>
        <v/>
      </c>
      <c r="BT119" s="15">
        <f>100*(1-(1-X119*(1-EXP(-((AI119*7/10)+(BI119))/Y119)))*(1-MIN(ABS(in_elas)*W119*R119*(AI119*7/10)/V119,1)))</f>
        <v/>
      </c>
      <c r="BU119" s="15">
        <f>100*(1-(1-X119*(1-EXP(-((AI119*8/10)+(BJ119))/Y119)))*(1-MIN(ABS(in_elas)*W119*R119*(AI119*8/10)/V119,1)))</f>
        <v/>
      </c>
      <c r="BV119" s="15">
        <f>100*(1-(1-X119*(1-EXP(-((AI119*9/10)+(BK119))/Y119)))*(1-MIN(ABS(in_elas)*W119*R119*(AI119*9/10)/V119,1)))</f>
        <v/>
      </c>
      <c r="BW119" s="15">
        <f>100*(1-(1-X119*(1-EXP(-((AI119*10/10)+(BL119))/Y119)))*(1-MIN(ABS(in_elas)*W119*R119*(AI119*10/10)/V119,1)))</f>
        <v/>
      </c>
    </row>
    <row r="120">
      <c r="A120" s="17" t="inlineStr">
        <is>
          <t>NOR</t>
        </is>
      </c>
      <c r="B120" s="17">
        <f>INDEX(Data!$B:$B,MATCH($A120,Data!$A:$A,0))</f>
        <v/>
      </c>
      <c r="C120" s="17">
        <f>INDEX(Data!$D:$D,MATCH($A120,Data!$A:$A,0))</f>
        <v/>
      </c>
      <c r="D120" s="16">
        <f>SUMIFS(Data!$G:$G,Data!$A:$A,$A120,Data!$F:$F,"gen_coal_twh")</f>
        <v/>
      </c>
      <c r="E120" s="16">
        <f>SUMIFS(Data!$G:$G,Data!$A:$A,$A120,Data!$F:$F,"gen_gas_twh")</f>
        <v/>
      </c>
      <c r="F120" s="16">
        <f>SUMIFS(Data!$G:$G,Data!$A:$A,$A120,Data!$F:$F,"gen_oil_twh")</f>
        <v/>
      </c>
      <c r="G120" s="16">
        <f>SUMIFS(Data!$G:$G,Data!$A:$A,$A120,Data!$F:$F,"gen_total_twh")</f>
        <v/>
      </c>
      <c r="H120" s="16">
        <f>SUMIFS(Data!$G:$G,Data!$A:$A,$A120,Data!$F:$F,"em_coal_mt")</f>
        <v/>
      </c>
      <c r="I120" s="16">
        <f>SUMIFS(Data!$G:$G,Data!$A:$A,$A120,Data!$F:$F,"em_gas_mt")</f>
        <v/>
      </c>
      <c r="J120" s="16">
        <f>SUMIFS(Data!$G:$G,Data!$A:$A,$A120,Data!$F:$F,"em_oil_mt")</f>
        <v/>
      </c>
      <c r="K120" s="28">
        <f>IF(COUNTIFS(Data!$A:$A,$A120,Data!$F:$F,"price_electricity_residential_usd_kwh")=0,"",SUMIFS(Data!$G:$G,Data!$A:$A,$A120,Data!$F:$F,"price_electricity_residential_usd_kwh"))</f>
        <v/>
      </c>
      <c r="L120" s="28">
        <f>IF(COUNTIFS(Data!$A:$A,$A120,Data!$F:$F,"price_coal_power_usd_gj")=0,"",SUMIFS(Data!$G:$G,Data!$A:$A,$A120,Data!$F:$F,"price_coal_power_usd_gj"))</f>
        <v/>
      </c>
      <c r="M120" s="28">
        <f>IF(COUNTIFS(Data!$A:$A,$A120,Data!$F:$F,"price_gas_power_usd_gj")=0,"",SUMIFS(Data!$G:$G,Data!$A:$A,$A120,Data!$F:$F,"price_gas_power_usd_gj"))</f>
        <v/>
      </c>
      <c r="N120" s="28">
        <f>IF(COUNTIFS(Data!$A:$A,$A120,Data!$F:$F,"price_gas_industry_usd_gj")=0,"",SUMIFS(Data!$G:$G,Data!$A:$A,$A120,Data!$F:$F,"price_gas_industry_usd_gj"))</f>
        <v/>
      </c>
      <c r="O120" s="28">
        <f>IF(COUNTIFS(Data!$A:$A,$A120,Data!$F:$F,"power_market_structure")=0,"",SUMIFS(Data!$G:$G,Data!$A:$A,$A120,Data!$F:$F,"power_market_structure"))</f>
        <v/>
      </c>
      <c r="P120" s="28">
        <f>IF(COUNTIFS(Data!$A:$A,$A120,Data!$F:$F,"rise_renewable_energy_score")=0,"",SUMIFS(Data!$G:$G,Data!$A:$A,$A120,Data!$F:$F,"rise_renewable_energy_score"))</f>
        <v/>
      </c>
      <c r="Q120" s="16">
        <f>H120+I120+J120</f>
        <v/>
      </c>
      <c r="R120" s="28">
        <f>Q120/G120</f>
        <v/>
      </c>
      <c r="S120" s="28">
        <f>IF(D120&gt;0,H120/D120,0.85)</f>
        <v/>
      </c>
      <c r="T120" s="28">
        <f>IF(E120&gt;0,I120/E120,0.4)</f>
        <v/>
      </c>
      <c r="U120" s="28">
        <f>IF(D120+F120&gt;0,(H120+J120)/(D120+F120),0)</f>
        <v/>
      </c>
      <c r="V120" s="16">
        <f>K120*1000</f>
        <v/>
      </c>
      <c r="W120" s="15">
        <f>IF(O120=3,in_pt3,IF(O120=2,in_pt2,IF(O120=1,in_pt1,IF(C120="High income",in_pt_hi,in_pt_oth))))</f>
        <v/>
      </c>
      <c r="X120" s="28">
        <f>IF(Q120&gt;0,in_kappa*(in_rise_lo+(in_rise_hi-in_rise_lo)*IF(P120="",in_rise_miss,P120)/100)*(D120+F120)*MAX(U120-in_gas_rep*T120,0)/Q120,0)</f>
        <v/>
      </c>
      <c r="Y120" s="16">
        <f>IF(IF(M120="",N120,M120)="",MAX(in_sw_floor,in_sw_miss),MAX(in_sw_floor,(IF(M120="",N120,M120)*in_hr_gas-L120*in_hr_coal)/MAX(S120-T120,0.1)))</f>
        <v/>
      </c>
      <c r="Z120" s="28">
        <f>IF(C120="Low income",in_b40_li,IF(C120="Lower middle income",in_b40_lmi,IF(C120="Upper middle income",in_b40_umi,IF(C120="High income",in_b40_hi,0.03))))</f>
        <v/>
      </c>
      <c r="AA120" s="15">
        <f>(D120+F120)/G120</f>
        <v/>
      </c>
      <c r="AB120" s="28">
        <f>100*W120*R120/V120/in_phase</f>
        <v/>
      </c>
      <c r="AC120" s="29">
        <f>100*Z120*W120*R120/V120*(1-IF(W120&gt;0,MIN(in_rebate/(W120*in_res_sh*in_q40),1),1))</f>
        <v/>
      </c>
      <c r="AD120" s="28">
        <f>IF(AA120&gt;0,100*U120*(1-W120)/(in_whole_sh*V120),0)</f>
        <v/>
      </c>
      <c r="AE120" s="28">
        <f>IF(AA120&gt;0,100*MAX(U120-R120,0)/(in_whole_sh*V120),0)</f>
        <v/>
      </c>
      <c r="AF120" s="16">
        <f>IF(AB120&gt;0,in_f1/AB120,in_cap)</f>
        <v/>
      </c>
      <c r="AG120" s="16">
        <f>IF(AC120&gt;0,in_f2/AC120,in_cap)</f>
        <v/>
      </c>
      <c r="AH120" s="16">
        <f>IF(AD120&gt;0,in_f3/AD120,in_cap)</f>
        <v/>
      </c>
      <c r="AI120" s="16">
        <f>MIN(in_cap,AF120,AG120,AH120)</f>
        <v/>
      </c>
      <c r="AJ120" s="30">
        <f>100*(1-(1-X120*(1-EXP(-((AI120)+(0))/Y120)))*(1-MIN(ABS(in_elas)*W120*R120*(AI120)/V120,1)))</f>
        <v/>
      </c>
      <c r="AK120" s="17">
        <f>IF(AI120&gt;=in_cap-1E-9,"rate cap",TRIM(IF(ABS(AI120-AF120)&lt;1E-9,"F1 ","")&amp;IF(ABS(AI120-AG120)&lt;1E-9,"F2 ","")&amp;IF(ABS(AI120-AH120)&lt;1E-9,"F3","")))</f>
        <v/>
      </c>
      <c r="AL120" s="15">
        <f>100*(1-(1-X120*(1-EXP(-((MIN(in_cap,IF(AB120&gt;0,(in_f1+1)/AB120,in_cap),AG120,AH120))+(0))/Y120)))*(1-MIN(ABS(in_elas)*W120*R120*(MIN(in_cap,IF(AB120&gt;0,(in_f1+1)/AB120,in_cap),AG120,AH120))/V120,1)))-AJ120</f>
        <v/>
      </c>
      <c r="AM120" s="16">
        <f>MIN(in_cap,IF(AE120&gt;0,in_f3/AE120,in_cap))</f>
        <v/>
      </c>
      <c r="AN120" s="30">
        <f>100*(1-(1-X120*(1-EXP(-((0)+(AM120))/Y120)))*(1-MIN(ABS(in_elas)*W120*R120*(0)/V120,1)))</f>
        <v/>
      </c>
      <c r="AO120" s="17">
        <f>IF(AM120&gt;=in_cap-1E-9,"rate cap","F3")</f>
        <v/>
      </c>
      <c r="AP120" s="15">
        <f>100*(1-(1-X120*(1-EXP(-((50)+(0))/Y120)))*(1-MIN(ABS(in_elas)*W120*R120*(50)/V120,1)))</f>
        <v/>
      </c>
      <c r="AQ120" s="15">
        <f>100*(1-(1-X120*(1-EXP(-((0)+(50))/Y120)))*(1-MIN(ABS(in_elas)*W120*R120*(0)/V120,1)))</f>
        <v/>
      </c>
      <c r="AR120" s="15">
        <f>IF(AP120&gt;0,AQ120/AP120,"")</f>
        <v/>
      </c>
      <c r="AS120" s="16">
        <f>50*AB120</f>
        <v/>
      </c>
      <c r="AT120" s="30">
        <f>MAX(BM120:BW120)</f>
        <v/>
      </c>
      <c r="AU120" s="31">
        <f>AI120*(MATCH(AT120,BM120:BW120,0)-1)/10</f>
        <v/>
      </c>
      <c r="AV120" s="31">
        <f>INDEX(BB120:BL120,1,(MATCH(AT120,BM120:BW120,0)-1)+1)</f>
        <v/>
      </c>
      <c r="AW120" s="31">
        <f>AB120*AU120</f>
        <v/>
      </c>
      <c r="AX120" s="30">
        <f>AC120*AU120</f>
        <v/>
      </c>
      <c r="AY120" s="31">
        <f>AD120*AU120+AE120*AV120</f>
        <v/>
      </c>
      <c r="AZ120" s="32">
        <f>TRIM(IF(AND(AU120&gt;0,ABS(AU120-AF120)&lt;1E-6),"F1 ","")&amp;IF(AND(AU120&gt;0,ABS(AU120-AG120)&lt;1E-6),"F2 ","")&amp;IF(AY120&gt;=in_f3-1E-6,"F3 ","")&amp;IF(AV120&gt;=in_cap-1E-9,"rate cap",""))</f>
        <v/>
      </c>
      <c r="BA120" s="31">
        <f>Q120*AT120/100</f>
        <v/>
      </c>
      <c r="BB120" s="16">
        <f>MAX(0,MIN(in_cap,IF(AE120&gt;0,(in_f3-AD120*AI120*0/10)/AE120,in_cap)))</f>
        <v/>
      </c>
      <c r="BC120" s="16">
        <f>MAX(0,MIN(in_cap,IF(AE120&gt;0,(in_f3-AD120*AI120*1/10)/AE120,in_cap)))</f>
        <v/>
      </c>
      <c r="BD120" s="16">
        <f>MAX(0,MIN(in_cap,IF(AE120&gt;0,(in_f3-AD120*AI120*2/10)/AE120,in_cap)))</f>
        <v/>
      </c>
      <c r="BE120" s="16">
        <f>MAX(0,MIN(in_cap,IF(AE120&gt;0,(in_f3-AD120*AI120*3/10)/AE120,in_cap)))</f>
        <v/>
      </c>
      <c r="BF120" s="16">
        <f>MAX(0,MIN(in_cap,IF(AE120&gt;0,(in_f3-AD120*AI120*4/10)/AE120,in_cap)))</f>
        <v/>
      </c>
      <c r="BG120" s="16">
        <f>MAX(0,MIN(in_cap,IF(AE120&gt;0,(in_f3-AD120*AI120*5/10)/AE120,in_cap)))</f>
        <v/>
      </c>
      <c r="BH120" s="16">
        <f>MAX(0,MIN(in_cap,IF(AE120&gt;0,(in_f3-AD120*AI120*6/10)/AE120,in_cap)))</f>
        <v/>
      </c>
      <c r="BI120" s="16">
        <f>MAX(0,MIN(in_cap,IF(AE120&gt;0,(in_f3-AD120*AI120*7/10)/AE120,in_cap)))</f>
        <v/>
      </c>
      <c r="BJ120" s="16">
        <f>MAX(0,MIN(in_cap,IF(AE120&gt;0,(in_f3-AD120*AI120*8/10)/AE120,in_cap)))</f>
        <v/>
      </c>
      <c r="BK120" s="16">
        <f>MAX(0,MIN(in_cap,IF(AE120&gt;0,(in_f3-AD120*AI120*9/10)/AE120,in_cap)))</f>
        <v/>
      </c>
      <c r="BL120" s="16">
        <f>MAX(0,MIN(in_cap,IF(AE120&gt;0,(in_f3-AD120*AI120*10/10)/AE120,in_cap)))</f>
        <v/>
      </c>
      <c r="BM120" s="15">
        <f>100*(1-(1-X120*(1-EXP(-((AI120*0/10)+(BB120))/Y120)))*(1-MIN(ABS(in_elas)*W120*R120*(AI120*0/10)/V120,1)))</f>
        <v/>
      </c>
      <c r="BN120" s="15">
        <f>100*(1-(1-X120*(1-EXP(-((AI120*1/10)+(BC120))/Y120)))*(1-MIN(ABS(in_elas)*W120*R120*(AI120*1/10)/V120,1)))</f>
        <v/>
      </c>
      <c r="BO120" s="15">
        <f>100*(1-(1-X120*(1-EXP(-((AI120*2/10)+(BD120))/Y120)))*(1-MIN(ABS(in_elas)*W120*R120*(AI120*2/10)/V120,1)))</f>
        <v/>
      </c>
      <c r="BP120" s="15">
        <f>100*(1-(1-X120*(1-EXP(-((AI120*3/10)+(BE120))/Y120)))*(1-MIN(ABS(in_elas)*W120*R120*(AI120*3/10)/V120,1)))</f>
        <v/>
      </c>
      <c r="BQ120" s="15">
        <f>100*(1-(1-X120*(1-EXP(-((AI120*4/10)+(BF120))/Y120)))*(1-MIN(ABS(in_elas)*W120*R120*(AI120*4/10)/V120,1)))</f>
        <v/>
      </c>
      <c r="BR120" s="15">
        <f>100*(1-(1-X120*(1-EXP(-((AI120*5/10)+(BG120))/Y120)))*(1-MIN(ABS(in_elas)*W120*R120*(AI120*5/10)/V120,1)))</f>
        <v/>
      </c>
      <c r="BS120" s="15">
        <f>100*(1-(1-X120*(1-EXP(-((AI120*6/10)+(BH120))/Y120)))*(1-MIN(ABS(in_elas)*W120*R120*(AI120*6/10)/V120,1)))</f>
        <v/>
      </c>
      <c r="BT120" s="15">
        <f>100*(1-(1-X120*(1-EXP(-((AI120*7/10)+(BI120))/Y120)))*(1-MIN(ABS(in_elas)*W120*R120*(AI120*7/10)/V120,1)))</f>
        <v/>
      </c>
      <c r="BU120" s="15">
        <f>100*(1-(1-X120*(1-EXP(-((AI120*8/10)+(BJ120))/Y120)))*(1-MIN(ABS(in_elas)*W120*R120*(AI120*8/10)/V120,1)))</f>
        <v/>
      </c>
      <c r="BV120" s="15">
        <f>100*(1-(1-X120*(1-EXP(-((AI120*9/10)+(BK120))/Y120)))*(1-MIN(ABS(in_elas)*W120*R120*(AI120*9/10)/V120,1)))</f>
        <v/>
      </c>
      <c r="BW120" s="15">
        <f>100*(1-(1-X120*(1-EXP(-((AI120*10/10)+(BL120))/Y120)))*(1-MIN(ABS(in_elas)*W120*R120*(AI120*10/10)/V120,1)))</f>
        <v/>
      </c>
    </row>
    <row r="121">
      <c r="A121" s="17" t="inlineStr">
        <is>
          <t>NRU</t>
        </is>
      </c>
      <c r="B121" s="17">
        <f>INDEX(Data!$B:$B,MATCH($A121,Data!$A:$A,0))</f>
        <v/>
      </c>
      <c r="C121" s="17">
        <f>INDEX(Data!$D:$D,MATCH($A121,Data!$A:$A,0))</f>
        <v/>
      </c>
      <c r="D121" s="16">
        <f>SUMIFS(Data!$G:$G,Data!$A:$A,$A121,Data!$F:$F,"gen_coal_twh")</f>
        <v/>
      </c>
      <c r="E121" s="16">
        <f>SUMIFS(Data!$G:$G,Data!$A:$A,$A121,Data!$F:$F,"gen_gas_twh")</f>
        <v/>
      </c>
      <c r="F121" s="16">
        <f>SUMIFS(Data!$G:$G,Data!$A:$A,$A121,Data!$F:$F,"gen_oil_twh")</f>
        <v/>
      </c>
      <c r="G121" s="16">
        <f>SUMIFS(Data!$G:$G,Data!$A:$A,$A121,Data!$F:$F,"gen_total_twh")</f>
        <v/>
      </c>
      <c r="H121" s="16">
        <f>SUMIFS(Data!$G:$G,Data!$A:$A,$A121,Data!$F:$F,"em_coal_mt")</f>
        <v/>
      </c>
      <c r="I121" s="16">
        <f>SUMIFS(Data!$G:$G,Data!$A:$A,$A121,Data!$F:$F,"em_gas_mt")</f>
        <v/>
      </c>
      <c r="J121" s="16">
        <f>SUMIFS(Data!$G:$G,Data!$A:$A,$A121,Data!$F:$F,"em_oil_mt")</f>
        <v/>
      </c>
      <c r="K121" s="28">
        <f>IF(COUNTIFS(Data!$A:$A,$A121,Data!$F:$F,"price_electricity_residential_usd_kwh")=0,"",SUMIFS(Data!$G:$G,Data!$A:$A,$A121,Data!$F:$F,"price_electricity_residential_usd_kwh"))</f>
        <v/>
      </c>
      <c r="L121" s="28">
        <f>IF(COUNTIFS(Data!$A:$A,$A121,Data!$F:$F,"price_coal_power_usd_gj")=0,"",SUMIFS(Data!$G:$G,Data!$A:$A,$A121,Data!$F:$F,"price_coal_power_usd_gj"))</f>
        <v/>
      </c>
      <c r="M121" s="28">
        <f>IF(COUNTIFS(Data!$A:$A,$A121,Data!$F:$F,"price_gas_power_usd_gj")=0,"",SUMIFS(Data!$G:$G,Data!$A:$A,$A121,Data!$F:$F,"price_gas_power_usd_gj"))</f>
        <v/>
      </c>
      <c r="N121" s="28">
        <f>IF(COUNTIFS(Data!$A:$A,$A121,Data!$F:$F,"price_gas_industry_usd_gj")=0,"",SUMIFS(Data!$G:$G,Data!$A:$A,$A121,Data!$F:$F,"price_gas_industry_usd_gj"))</f>
        <v/>
      </c>
      <c r="O121" s="28">
        <f>IF(COUNTIFS(Data!$A:$A,$A121,Data!$F:$F,"power_market_structure")=0,"",SUMIFS(Data!$G:$G,Data!$A:$A,$A121,Data!$F:$F,"power_market_structure"))</f>
        <v/>
      </c>
      <c r="P121" s="28">
        <f>IF(COUNTIFS(Data!$A:$A,$A121,Data!$F:$F,"rise_renewable_energy_score")=0,"",SUMIFS(Data!$G:$G,Data!$A:$A,$A121,Data!$F:$F,"rise_renewable_energy_score"))</f>
        <v/>
      </c>
      <c r="Q121" s="16">
        <f>H121+I121+J121</f>
        <v/>
      </c>
      <c r="R121" s="28">
        <f>Q121/G121</f>
        <v/>
      </c>
      <c r="S121" s="28">
        <f>IF(D121&gt;0,H121/D121,0.85)</f>
        <v/>
      </c>
      <c r="T121" s="28">
        <f>IF(E121&gt;0,I121/E121,0.4)</f>
        <v/>
      </c>
      <c r="U121" s="28">
        <f>IF(D121+F121&gt;0,(H121+J121)/(D121+F121),0)</f>
        <v/>
      </c>
      <c r="V121" s="16">
        <f>K121*1000</f>
        <v/>
      </c>
      <c r="W121" s="15">
        <f>IF(O121=3,in_pt3,IF(O121=2,in_pt2,IF(O121=1,in_pt1,IF(C121="High income",in_pt_hi,in_pt_oth))))</f>
        <v/>
      </c>
      <c r="X121" s="28">
        <f>IF(Q121&gt;0,in_kappa*(in_rise_lo+(in_rise_hi-in_rise_lo)*IF(P121="",in_rise_miss,P121)/100)*(D121+F121)*MAX(U121-in_gas_rep*T121,0)/Q121,0)</f>
        <v/>
      </c>
      <c r="Y121" s="16">
        <f>IF(IF(M121="",N121,M121)="",MAX(in_sw_floor,in_sw_miss),MAX(in_sw_floor,(IF(M121="",N121,M121)*in_hr_gas-L121*in_hr_coal)/MAX(S121-T121,0.1)))</f>
        <v/>
      </c>
      <c r="Z121" s="28">
        <f>IF(C121="Low income",in_b40_li,IF(C121="Lower middle income",in_b40_lmi,IF(C121="Upper middle income",in_b40_umi,IF(C121="High income",in_b40_hi,0.03))))</f>
        <v/>
      </c>
      <c r="AA121" s="15">
        <f>(D121+F121)/G121</f>
        <v/>
      </c>
      <c r="AB121" s="28">
        <f>100*W121*R121/V121/in_phase</f>
        <v/>
      </c>
      <c r="AC121" s="29">
        <f>100*Z121*W121*R121/V121*(1-IF(W121&gt;0,MIN(in_rebate/(W121*in_res_sh*in_q40),1),1))</f>
        <v/>
      </c>
      <c r="AD121" s="28">
        <f>IF(AA121&gt;0,100*U121*(1-W121)/(in_whole_sh*V121),0)</f>
        <v/>
      </c>
      <c r="AE121" s="28">
        <f>IF(AA121&gt;0,100*MAX(U121-R121,0)/(in_whole_sh*V121),0)</f>
        <v/>
      </c>
      <c r="AF121" s="16">
        <f>IF(AB121&gt;0,in_f1/AB121,in_cap)</f>
        <v/>
      </c>
      <c r="AG121" s="16">
        <f>IF(AC121&gt;0,in_f2/AC121,in_cap)</f>
        <v/>
      </c>
      <c r="AH121" s="16">
        <f>IF(AD121&gt;0,in_f3/AD121,in_cap)</f>
        <v/>
      </c>
      <c r="AI121" s="16">
        <f>MIN(in_cap,AF121,AG121,AH121)</f>
        <v/>
      </c>
      <c r="AJ121" s="30">
        <f>100*(1-(1-X121*(1-EXP(-((AI121)+(0))/Y121)))*(1-MIN(ABS(in_elas)*W121*R121*(AI121)/V121,1)))</f>
        <v/>
      </c>
      <c r="AK121" s="17">
        <f>IF(AI121&gt;=in_cap-1E-9,"rate cap",TRIM(IF(ABS(AI121-AF121)&lt;1E-9,"F1 ","")&amp;IF(ABS(AI121-AG121)&lt;1E-9,"F2 ","")&amp;IF(ABS(AI121-AH121)&lt;1E-9,"F3","")))</f>
        <v/>
      </c>
      <c r="AL121" s="15">
        <f>100*(1-(1-X121*(1-EXP(-((MIN(in_cap,IF(AB121&gt;0,(in_f1+1)/AB121,in_cap),AG121,AH121))+(0))/Y121)))*(1-MIN(ABS(in_elas)*W121*R121*(MIN(in_cap,IF(AB121&gt;0,(in_f1+1)/AB121,in_cap),AG121,AH121))/V121,1)))-AJ121</f>
        <v/>
      </c>
      <c r="AM121" s="16">
        <f>MIN(in_cap,IF(AE121&gt;0,in_f3/AE121,in_cap))</f>
        <v/>
      </c>
      <c r="AN121" s="30">
        <f>100*(1-(1-X121*(1-EXP(-((0)+(AM121))/Y121)))*(1-MIN(ABS(in_elas)*W121*R121*(0)/V121,1)))</f>
        <v/>
      </c>
      <c r="AO121" s="17">
        <f>IF(AM121&gt;=in_cap-1E-9,"rate cap","F3")</f>
        <v/>
      </c>
      <c r="AP121" s="15">
        <f>100*(1-(1-X121*(1-EXP(-((50)+(0))/Y121)))*(1-MIN(ABS(in_elas)*W121*R121*(50)/V121,1)))</f>
        <v/>
      </c>
      <c r="AQ121" s="15">
        <f>100*(1-(1-X121*(1-EXP(-((0)+(50))/Y121)))*(1-MIN(ABS(in_elas)*W121*R121*(0)/V121,1)))</f>
        <v/>
      </c>
      <c r="AR121" s="15">
        <f>IF(AP121&gt;0,AQ121/AP121,"")</f>
        <v/>
      </c>
      <c r="AS121" s="16">
        <f>50*AB121</f>
        <v/>
      </c>
      <c r="AT121" s="30">
        <f>MAX(BM121:BW121)</f>
        <v/>
      </c>
      <c r="AU121" s="31">
        <f>AI121*(MATCH(AT121,BM121:BW121,0)-1)/10</f>
        <v/>
      </c>
      <c r="AV121" s="31">
        <f>INDEX(BB121:BL121,1,(MATCH(AT121,BM121:BW121,0)-1)+1)</f>
        <v/>
      </c>
      <c r="AW121" s="31">
        <f>AB121*AU121</f>
        <v/>
      </c>
      <c r="AX121" s="30">
        <f>AC121*AU121</f>
        <v/>
      </c>
      <c r="AY121" s="31">
        <f>AD121*AU121+AE121*AV121</f>
        <v/>
      </c>
      <c r="AZ121" s="32">
        <f>TRIM(IF(AND(AU121&gt;0,ABS(AU121-AF121)&lt;1E-6),"F1 ","")&amp;IF(AND(AU121&gt;0,ABS(AU121-AG121)&lt;1E-6),"F2 ","")&amp;IF(AY121&gt;=in_f3-1E-6,"F3 ","")&amp;IF(AV121&gt;=in_cap-1E-9,"rate cap",""))</f>
        <v/>
      </c>
      <c r="BA121" s="31">
        <f>Q121*AT121/100</f>
        <v/>
      </c>
      <c r="BB121" s="16">
        <f>MAX(0,MIN(in_cap,IF(AE121&gt;0,(in_f3-AD121*AI121*0/10)/AE121,in_cap)))</f>
        <v/>
      </c>
      <c r="BC121" s="16">
        <f>MAX(0,MIN(in_cap,IF(AE121&gt;0,(in_f3-AD121*AI121*1/10)/AE121,in_cap)))</f>
        <v/>
      </c>
      <c r="BD121" s="16">
        <f>MAX(0,MIN(in_cap,IF(AE121&gt;0,(in_f3-AD121*AI121*2/10)/AE121,in_cap)))</f>
        <v/>
      </c>
      <c r="BE121" s="16">
        <f>MAX(0,MIN(in_cap,IF(AE121&gt;0,(in_f3-AD121*AI121*3/10)/AE121,in_cap)))</f>
        <v/>
      </c>
      <c r="BF121" s="16">
        <f>MAX(0,MIN(in_cap,IF(AE121&gt;0,(in_f3-AD121*AI121*4/10)/AE121,in_cap)))</f>
        <v/>
      </c>
      <c r="BG121" s="16">
        <f>MAX(0,MIN(in_cap,IF(AE121&gt;0,(in_f3-AD121*AI121*5/10)/AE121,in_cap)))</f>
        <v/>
      </c>
      <c r="BH121" s="16">
        <f>MAX(0,MIN(in_cap,IF(AE121&gt;0,(in_f3-AD121*AI121*6/10)/AE121,in_cap)))</f>
        <v/>
      </c>
      <c r="BI121" s="16">
        <f>MAX(0,MIN(in_cap,IF(AE121&gt;0,(in_f3-AD121*AI121*7/10)/AE121,in_cap)))</f>
        <v/>
      </c>
      <c r="BJ121" s="16">
        <f>MAX(0,MIN(in_cap,IF(AE121&gt;0,(in_f3-AD121*AI121*8/10)/AE121,in_cap)))</f>
        <v/>
      </c>
      <c r="BK121" s="16">
        <f>MAX(0,MIN(in_cap,IF(AE121&gt;0,(in_f3-AD121*AI121*9/10)/AE121,in_cap)))</f>
        <v/>
      </c>
      <c r="BL121" s="16">
        <f>MAX(0,MIN(in_cap,IF(AE121&gt;0,(in_f3-AD121*AI121*10/10)/AE121,in_cap)))</f>
        <v/>
      </c>
      <c r="BM121" s="15">
        <f>100*(1-(1-X121*(1-EXP(-((AI121*0/10)+(BB121))/Y121)))*(1-MIN(ABS(in_elas)*W121*R121*(AI121*0/10)/V121,1)))</f>
        <v/>
      </c>
      <c r="BN121" s="15">
        <f>100*(1-(1-X121*(1-EXP(-((AI121*1/10)+(BC121))/Y121)))*(1-MIN(ABS(in_elas)*W121*R121*(AI121*1/10)/V121,1)))</f>
        <v/>
      </c>
      <c r="BO121" s="15">
        <f>100*(1-(1-X121*(1-EXP(-((AI121*2/10)+(BD121))/Y121)))*(1-MIN(ABS(in_elas)*W121*R121*(AI121*2/10)/V121,1)))</f>
        <v/>
      </c>
      <c r="BP121" s="15">
        <f>100*(1-(1-X121*(1-EXP(-((AI121*3/10)+(BE121))/Y121)))*(1-MIN(ABS(in_elas)*W121*R121*(AI121*3/10)/V121,1)))</f>
        <v/>
      </c>
      <c r="BQ121" s="15">
        <f>100*(1-(1-X121*(1-EXP(-((AI121*4/10)+(BF121))/Y121)))*(1-MIN(ABS(in_elas)*W121*R121*(AI121*4/10)/V121,1)))</f>
        <v/>
      </c>
      <c r="BR121" s="15">
        <f>100*(1-(1-X121*(1-EXP(-((AI121*5/10)+(BG121))/Y121)))*(1-MIN(ABS(in_elas)*W121*R121*(AI121*5/10)/V121,1)))</f>
        <v/>
      </c>
      <c r="BS121" s="15">
        <f>100*(1-(1-X121*(1-EXP(-((AI121*6/10)+(BH121))/Y121)))*(1-MIN(ABS(in_elas)*W121*R121*(AI121*6/10)/V121,1)))</f>
        <v/>
      </c>
      <c r="BT121" s="15">
        <f>100*(1-(1-X121*(1-EXP(-((AI121*7/10)+(BI121))/Y121)))*(1-MIN(ABS(in_elas)*W121*R121*(AI121*7/10)/V121,1)))</f>
        <v/>
      </c>
      <c r="BU121" s="15">
        <f>100*(1-(1-X121*(1-EXP(-((AI121*8/10)+(BJ121))/Y121)))*(1-MIN(ABS(in_elas)*W121*R121*(AI121*8/10)/V121,1)))</f>
        <v/>
      </c>
      <c r="BV121" s="15">
        <f>100*(1-(1-X121*(1-EXP(-((AI121*9/10)+(BK121))/Y121)))*(1-MIN(ABS(in_elas)*W121*R121*(AI121*9/10)/V121,1)))</f>
        <v/>
      </c>
      <c r="BW121" s="15">
        <f>100*(1-(1-X121*(1-EXP(-((AI121*10/10)+(BL121))/Y121)))*(1-MIN(ABS(in_elas)*W121*R121*(AI121*10/10)/V121,1)))</f>
        <v/>
      </c>
    </row>
    <row r="122">
      <c r="A122" s="17" t="inlineStr">
        <is>
          <t>NZL</t>
        </is>
      </c>
      <c r="B122" s="17">
        <f>INDEX(Data!$B:$B,MATCH($A122,Data!$A:$A,0))</f>
        <v/>
      </c>
      <c r="C122" s="17">
        <f>INDEX(Data!$D:$D,MATCH($A122,Data!$A:$A,0))</f>
        <v/>
      </c>
      <c r="D122" s="16">
        <f>SUMIFS(Data!$G:$G,Data!$A:$A,$A122,Data!$F:$F,"gen_coal_twh")</f>
        <v/>
      </c>
      <c r="E122" s="16">
        <f>SUMIFS(Data!$G:$G,Data!$A:$A,$A122,Data!$F:$F,"gen_gas_twh")</f>
        <v/>
      </c>
      <c r="F122" s="16">
        <f>SUMIFS(Data!$G:$G,Data!$A:$A,$A122,Data!$F:$F,"gen_oil_twh")</f>
        <v/>
      </c>
      <c r="G122" s="16">
        <f>SUMIFS(Data!$G:$G,Data!$A:$A,$A122,Data!$F:$F,"gen_total_twh")</f>
        <v/>
      </c>
      <c r="H122" s="16">
        <f>SUMIFS(Data!$G:$G,Data!$A:$A,$A122,Data!$F:$F,"em_coal_mt")</f>
        <v/>
      </c>
      <c r="I122" s="16">
        <f>SUMIFS(Data!$G:$G,Data!$A:$A,$A122,Data!$F:$F,"em_gas_mt")</f>
        <v/>
      </c>
      <c r="J122" s="16">
        <f>SUMIFS(Data!$G:$G,Data!$A:$A,$A122,Data!$F:$F,"em_oil_mt")</f>
        <v/>
      </c>
      <c r="K122" s="28">
        <f>IF(COUNTIFS(Data!$A:$A,$A122,Data!$F:$F,"price_electricity_residential_usd_kwh")=0,"",SUMIFS(Data!$G:$G,Data!$A:$A,$A122,Data!$F:$F,"price_electricity_residential_usd_kwh"))</f>
        <v/>
      </c>
      <c r="L122" s="28">
        <f>IF(COUNTIFS(Data!$A:$A,$A122,Data!$F:$F,"price_coal_power_usd_gj")=0,"",SUMIFS(Data!$G:$G,Data!$A:$A,$A122,Data!$F:$F,"price_coal_power_usd_gj"))</f>
        <v/>
      </c>
      <c r="M122" s="28">
        <f>IF(COUNTIFS(Data!$A:$A,$A122,Data!$F:$F,"price_gas_power_usd_gj")=0,"",SUMIFS(Data!$G:$G,Data!$A:$A,$A122,Data!$F:$F,"price_gas_power_usd_gj"))</f>
        <v/>
      </c>
      <c r="N122" s="28">
        <f>IF(COUNTIFS(Data!$A:$A,$A122,Data!$F:$F,"price_gas_industry_usd_gj")=0,"",SUMIFS(Data!$G:$G,Data!$A:$A,$A122,Data!$F:$F,"price_gas_industry_usd_gj"))</f>
        <v/>
      </c>
      <c r="O122" s="28">
        <f>IF(COUNTIFS(Data!$A:$A,$A122,Data!$F:$F,"power_market_structure")=0,"",SUMIFS(Data!$G:$G,Data!$A:$A,$A122,Data!$F:$F,"power_market_structure"))</f>
        <v/>
      </c>
      <c r="P122" s="28">
        <f>IF(COUNTIFS(Data!$A:$A,$A122,Data!$F:$F,"rise_renewable_energy_score")=0,"",SUMIFS(Data!$G:$G,Data!$A:$A,$A122,Data!$F:$F,"rise_renewable_energy_score"))</f>
        <v/>
      </c>
      <c r="Q122" s="16">
        <f>H122+I122+J122</f>
        <v/>
      </c>
      <c r="R122" s="28">
        <f>Q122/G122</f>
        <v/>
      </c>
      <c r="S122" s="28">
        <f>IF(D122&gt;0,H122/D122,0.85)</f>
        <v/>
      </c>
      <c r="T122" s="28">
        <f>IF(E122&gt;0,I122/E122,0.4)</f>
        <v/>
      </c>
      <c r="U122" s="28">
        <f>IF(D122+F122&gt;0,(H122+J122)/(D122+F122),0)</f>
        <v/>
      </c>
      <c r="V122" s="16">
        <f>K122*1000</f>
        <v/>
      </c>
      <c r="W122" s="15">
        <f>IF(O122=3,in_pt3,IF(O122=2,in_pt2,IF(O122=1,in_pt1,IF(C122="High income",in_pt_hi,in_pt_oth))))</f>
        <v/>
      </c>
      <c r="X122" s="28">
        <f>IF(Q122&gt;0,in_kappa*(in_rise_lo+(in_rise_hi-in_rise_lo)*IF(P122="",in_rise_miss,P122)/100)*(D122+F122)*MAX(U122-in_gas_rep*T122,0)/Q122,0)</f>
        <v/>
      </c>
      <c r="Y122" s="16">
        <f>IF(IF(M122="",N122,M122)="",MAX(in_sw_floor,in_sw_miss),MAX(in_sw_floor,(IF(M122="",N122,M122)*in_hr_gas-L122*in_hr_coal)/MAX(S122-T122,0.1)))</f>
        <v/>
      </c>
      <c r="Z122" s="28">
        <f>IF(C122="Low income",in_b40_li,IF(C122="Lower middle income",in_b40_lmi,IF(C122="Upper middle income",in_b40_umi,IF(C122="High income",in_b40_hi,0.03))))</f>
        <v/>
      </c>
      <c r="AA122" s="15">
        <f>(D122+F122)/G122</f>
        <v/>
      </c>
      <c r="AB122" s="28">
        <f>100*W122*R122/V122/in_phase</f>
        <v/>
      </c>
      <c r="AC122" s="29">
        <f>100*Z122*W122*R122/V122*(1-IF(W122&gt;0,MIN(in_rebate/(W122*in_res_sh*in_q40),1),1))</f>
        <v/>
      </c>
      <c r="AD122" s="28">
        <f>IF(AA122&gt;0,100*U122*(1-W122)/(in_whole_sh*V122),0)</f>
        <v/>
      </c>
      <c r="AE122" s="28">
        <f>IF(AA122&gt;0,100*MAX(U122-R122,0)/(in_whole_sh*V122),0)</f>
        <v/>
      </c>
      <c r="AF122" s="16">
        <f>IF(AB122&gt;0,in_f1/AB122,in_cap)</f>
        <v/>
      </c>
      <c r="AG122" s="16">
        <f>IF(AC122&gt;0,in_f2/AC122,in_cap)</f>
        <v/>
      </c>
      <c r="AH122" s="16">
        <f>IF(AD122&gt;0,in_f3/AD122,in_cap)</f>
        <v/>
      </c>
      <c r="AI122" s="16">
        <f>MIN(in_cap,AF122,AG122,AH122)</f>
        <v/>
      </c>
      <c r="AJ122" s="30">
        <f>100*(1-(1-X122*(1-EXP(-((AI122)+(0))/Y122)))*(1-MIN(ABS(in_elas)*W122*R122*(AI122)/V122,1)))</f>
        <v/>
      </c>
      <c r="AK122" s="17">
        <f>IF(AI122&gt;=in_cap-1E-9,"rate cap",TRIM(IF(ABS(AI122-AF122)&lt;1E-9,"F1 ","")&amp;IF(ABS(AI122-AG122)&lt;1E-9,"F2 ","")&amp;IF(ABS(AI122-AH122)&lt;1E-9,"F3","")))</f>
        <v/>
      </c>
      <c r="AL122" s="15">
        <f>100*(1-(1-X122*(1-EXP(-((MIN(in_cap,IF(AB122&gt;0,(in_f1+1)/AB122,in_cap),AG122,AH122))+(0))/Y122)))*(1-MIN(ABS(in_elas)*W122*R122*(MIN(in_cap,IF(AB122&gt;0,(in_f1+1)/AB122,in_cap),AG122,AH122))/V122,1)))-AJ122</f>
        <v/>
      </c>
      <c r="AM122" s="16">
        <f>MIN(in_cap,IF(AE122&gt;0,in_f3/AE122,in_cap))</f>
        <v/>
      </c>
      <c r="AN122" s="30">
        <f>100*(1-(1-X122*(1-EXP(-((0)+(AM122))/Y122)))*(1-MIN(ABS(in_elas)*W122*R122*(0)/V122,1)))</f>
        <v/>
      </c>
      <c r="AO122" s="17">
        <f>IF(AM122&gt;=in_cap-1E-9,"rate cap","F3")</f>
        <v/>
      </c>
      <c r="AP122" s="15">
        <f>100*(1-(1-X122*(1-EXP(-((50)+(0))/Y122)))*(1-MIN(ABS(in_elas)*W122*R122*(50)/V122,1)))</f>
        <v/>
      </c>
      <c r="AQ122" s="15">
        <f>100*(1-(1-X122*(1-EXP(-((0)+(50))/Y122)))*(1-MIN(ABS(in_elas)*W122*R122*(0)/V122,1)))</f>
        <v/>
      </c>
      <c r="AR122" s="15">
        <f>IF(AP122&gt;0,AQ122/AP122,"")</f>
        <v/>
      </c>
      <c r="AS122" s="16">
        <f>50*AB122</f>
        <v/>
      </c>
      <c r="AT122" s="30">
        <f>MAX(BM122:BW122)</f>
        <v/>
      </c>
      <c r="AU122" s="31">
        <f>AI122*(MATCH(AT122,BM122:BW122,0)-1)/10</f>
        <v/>
      </c>
      <c r="AV122" s="31">
        <f>INDEX(BB122:BL122,1,(MATCH(AT122,BM122:BW122,0)-1)+1)</f>
        <v/>
      </c>
      <c r="AW122" s="31">
        <f>AB122*AU122</f>
        <v/>
      </c>
      <c r="AX122" s="30">
        <f>AC122*AU122</f>
        <v/>
      </c>
      <c r="AY122" s="31">
        <f>AD122*AU122+AE122*AV122</f>
        <v/>
      </c>
      <c r="AZ122" s="32">
        <f>TRIM(IF(AND(AU122&gt;0,ABS(AU122-AF122)&lt;1E-6),"F1 ","")&amp;IF(AND(AU122&gt;0,ABS(AU122-AG122)&lt;1E-6),"F2 ","")&amp;IF(AY122&gt;=in_f3-1E-6,"F3 ","")&amp;IF(AV122&gt;=in_cap-1E-9,"rate cap",""))</f>
        <v/>
      </c>
      <c r="BA122" s="31">
        <f>Q122*AT122/100</f>
        <v/>
      </c>
      <c r="BB122" s="16">
        <f>MAX(0,MIN(in_cap,IF(AE122&gt;0,(in_f3-AD122*AI122*0/10)/AE122,in_cap)))</f>
        <v/>
      </c>
      <c r="BC122" s="16">
        <f>MAX(0,MIN(in_cap,IF(AE122&gt;0,(in_f3-AD122*AI122*1/10)/AE122,in_cap)))</f>
        <v/>
      </c>
      <c r="BD122" s="16">
        <f>MAX(0,MIN(in_cap,IF(AE122&gt;0,(in_f3-AD122*AI122*2/10)/AE122,in_cap)))</f>
        <v/>
      </c>
      <c r="BE122" s="16">
        <f>MAX(0,MIN(in_cap,IF(AE122&gt;0,(in_f3-AD122*AI122*3/10)/AE122,in_cap)))</f>
        <v/>
      </c>
      <c r="BF122" s="16">
        <f>MAX(0,MIN(in_cap,IF(AE122&gt;0,(in_f3-AD122*AI122*4/10)/AE122,in_cap)))</f>
        <v/>
      </c>
      <c r="BG122" s="16">
        <f>MAX(0,MIN(in_cap,IF(AE122&gt;0,(in_f3-AD122*AI122*5/10)/AE122,in_cap)))</f>
        <v/>
      </c>
      <c r="BH122" s="16">
        <f>MAX(0,MIN(in_cap,IF(AE122&gt;0,(in_f3-AD122*AI122*6/10)/AE122,in_cap)))</f>
        <v/>
      </c>
      <c r="BI122" s="16">
        <f>MAX(0,MIN(in_cap,IF(AE122&gt;0,(in_f3-AD122*AI122*7/10)/AE122,in_cap)))</f>
        <v/>
      </c>
      <c r="BJ122" s="16">
        <f>MAX(0,MIN(in_cap,IF(AE122&gt;0,(in_f3-AD122*AI122*8/10)/AE122,in_cap)))</f>
        <v/>
      </c>
      <c r="BK122" s="16">
        <f>MAX(0,MIN(in_cap,IF(AE122&gt;0,(in_f3-AD122*AI122*9/10)/AE122,in_cap)))</f>
        <v/>
      </c>
      <c r="BL122" s="16">
        <f>MAX(0,MIN(in_cap,IF(AE122&gt;0,(in_f3-AD122*AI122*10/10)/AE122,in_cap)))</f>
        <v/>
      </c>
      <c r="BM122" s="15">
        <f>100*(1-(1-X122*(1-EXP(-((AI122*0/10)+(BB122))/Y122)))*(1-MIN(ABS(in_elas)*W122*R122*(AI122*0/10)/V122,1)))</f>
        <v/>
      </c>
      <c r="BN122" s="15">
        <f>100*(1-(1-X122*(1-EXP(-((AI122*1/10)+(BC122))/Y122)))*(1-MIN(ABS(in_elas)*W122*R122*(AI122*1/10)/V122,1)))</f>
        <v/>
      </c>
      <c r="BO122" s="15">
        <f>100*(1-(1-X122*(1-EXP(-((AI122*2/10)+(BD122))/Y122)))*(1-MIN(ABS(in_elas)*W122*R122*(AI122*2/10)/V122,1)))</f>
        <v/>
      </c>
      <c r="BP122" s="15">
        <f>100*(1-(1-X122*(1-EXP(-((AI122*3/10)+(BE122))/Y122)))*(1-MIN(ABS(in_elas)*W122*R122*(AI122*3/10)/V122,1)))</f>
        <v/>
      </c>
      <c r="BQ122" s="15">
        <f>100*(1-(1-X122*(1-EXP(-((AI122*4/10)+(BF122))/Y122)))*(1-MIN(ABS(in_elas)*W122*R122*(AI122*4/10)/V122,1)))</f>
        <v/>
      </c>
      <c r="BR122" s="15">
        <f>100*(1-(1-X122*(1-EXP(-((AI122*5/10)+(BG122))/Y122)))*(1-MIN(ABS(in_elas)*W122*R122*(AI122*5/10)/V122,1)))</f>
        <v/>
      </c>
      <c r="BS122" s="15">
        <f>100*(1-(1-X122*(1-EXP(-((AI122*6/10)+(BH122))/Y122)))*(1-MIN(ABS(in_elas)*W122*R122*(AI122*6/10)/V122,1)))</f>
        <v/>
      </c>
      <c r="BT122" s="15">
        <f>100*(1-(1-X122*(1-EXP(-((AI122*7/10)+(BI122))/Y122)))*(1-MIN(ABS(in_elas)*W122*R122*(AI122*7/10)/V122,1)))</f>
        <v/>
      </c>
      <c r="BU122" s="15">
        <f>100*(1-(1-X122*(1-EXP(-((AI122*8/10)+(BJ122))/Y122)))*(1-MIN(ABS(in_elas)*W122*R122*(AI122*8/10)/V122,1)))</f>
        <v/>
      </c>
      <c r="BV122" s="15">
        <f>100*(1-(1-X122*(1-EXP(-((AI122*9/10)+(BK122))/Y122)))*(1-MIN(ABS(in_elas)*W122*R122*(AI122*9/10)/V122,1)))</f>
        <v/>
      </c>
      <c r="BW122" s="15">
        <f>100*(1-(1-X122*(1-EXP(-((AI122*10/10)+(BL122))/Y122)))*(1-MIN(ABS(in_elas)*W122*R122*(AI122*10/10)/V122,1)))</f>
        <v/>
      </c>
    </row>
    <row r="123">
      <c r="A123" s="17" t="inlineStr">
        <is>
          <t>OMN</t>
        </is>
      </c>
      <c r="B123" s="17">
        <f>INDEX(Data!$B:$B,MATCH($A123,Data!$A:$A,0))</f>
        <v/>
      </c>
      <c r="C123" s="17">
        <f>INDEX(Data!$D:$D,MATCH($A123,Data!$A:$A,0))</f>
        <v/>
      </c>
      <c r="D123" s="16">
        <f>SUMIFS(Data!$G:$G,Data!$A:$A,$A123,Data!$F:$F,"gen_coal_twh")</f>
        <v/>
      </c>
      <c r="E123" s="16">
        <f>SUMIFS(Data!$G:$G,Data!$A:$A,$A123,Data!$F:$F,"gen_gas_twh")</f>
        <v/>
      </c>
      <c r="F123" s="16">
        <f>SUMIFS(Data!$G:$G,Data!$A:$A,$A123,Data!$F:$F,"gen_oil_twh")</f>
        <v/>
      </c>
      <c r="G123" s="16">
        <f>SUMIFS(Data!$G:$G,Data!$A:$A,$A123,Data!$F:$F,"gen_total_twh")</f>
        <v/>
      </c>
      <c r="H123" s="16">
        <f>SUMIFS(Data!$G:$G,Data!$A:$A,$A123,Data!$F:$F,"em_coal_mt")</f>
        <v/>
      </c>
      <c r="I123" s="16">
        <f>SUMIFS(Data!$G:$G,Data!$A:$A,$A123,Data!$F:$F,"em_gas_mt")</f>
        <v/>
      </c>
      <c r="J123" s="16">
        <f>SUMIFS(Data!$G:$G,Data!$A:$A,$A123,Data!$F:$F,"em_oil_mt")</f>
        <v/>
      </c>
      <c r="K123" s="28">
        <f>IF(COUNTIFS(Data!$A:$A,$A123,Data!$F:$F,"price_electricity_residential_usd_kwh")=0,"",SUMIFS(Data!$G:$G,Data!$A:$A,$A123,Data!$F:$F,"price_electricity_residential_usd_kwh"))</f>
        <v/>
      </c>
      <c r="L123" s="28">
        <f>IF(COUNTIFS(Data!$A:$A,$A123,Data!$F:$F,"price_coal_power_usd_gj")=0,"",SUMIFS(Data!$G:$G,Data!$A:$A,$A123,Data!$F:$F,"price_coal_power_usd_gj"))</f>
        <v/>
      </c>
      <c r="M123" s="28">
        <f>IF(COUNTIFS(Data!$A:$A,$A123,Data!$F:$F,"price_gas_power_usd_gj")=0,"",SUMIFS(Data!$G:$G,Data!$A:$A,$A123,Data!$F:$F,"price_gas_power_usd_gj"))</f>
        <v/>
      </c>
      <c r="N123" s="28">
        <f>IF(COUNTIFS(Data!$A:$A,$A123,Data!$F:$F,"price_gas_industry_usd_gj")=0,"",SUMIFS(Data!$G:$G,Data!$A:$A,$A123,Data!$F:$F,"price_gas_industry_usd_gj"))</f>
        <v/>
      </c>
      <c r="O123" s="28">
        <f>IF(COUNTIFS(Data!$A:$A,$A123,Data!$F:$F,"power_market_structure")=0,"",SUMIFS(Data!$G:$G,Data!$A:$A,$A123,Data!$F:$F,"power_market_structure"))</f>
        <v/>
      </c>
      <c r="P123" s="28">
        <f>IF(COUNTIFS(Data!$A:$A,$A123,Data!$F:$F,"rise_renewable_energy_score")=0,"",SUMIFS(Data!$G:$G,Data!$A:$A,$A123,Data!$F:$F,"rise_renewable_energy_score"))</f>
        <v/>
      </c>
      <c r="Q123" s="16">
        <f>H123+I123+J123</f>
        <v/>
      </c>
      <c r="R123" s="28">
        <f>Q123/G123</f>
        <v/>
      </c>
      <c r="S123" s="28">
        <f>IF(D123&gt;0,H123/D123,0.85)</f>
        <v/>
      </c>
      <c r="T123" s="28">
        <f>IF(E123&gt;0,I123/E123,0.4)</f>
        <v/>
      </c>
      <c r="U123" s="28">
        <f>IF(D123+F123&gt;0,(H123+J123)/(D123+F123),0)</f>
        <v/>
      </c>
      <c r="V123" s="16">
        <f>K123*1000</f>
        <v/>
      </c>
      <c r="W123" s="15">
        <f>IF(O123=3,in_pt3,IF(O123=2,in_pt2,IF(O123=1,in_pt1,IF(C123="High income",in_pt_hi,in_pt_oth))))</f>
        <v/>
      </c>
      <c r="X123" s="28">
        <f>IF(Q123&gt;0,in_kappa*(in_rise_lo+(in_rise_hi-in_rise_lo)*IF(P123="",in_rise_miss,P123)/100)*(D123+F123)*MAX(U123-in_gas_rep*T123,0)/Q123,0)</f>
        <v/>
      </c>
      <c r="Y123" s="16">
        <f>IF(IF(M123="",N123,M123)="",MAX(in_sw_floor,in_sw_miss),MAX(in_sw_floor,(IF(M123="",N123,M123)*in_hr_gas-L123*in_hr_coal)/MAX(S123-T123,0.1)))</f>
        <v/>
      </c>
      <c r="Z123" s="28">
        <f>IF(C123="Low income",in_b40_li,IF(C123="Lower middle income",in_b40_lmi,IF(C123="Upper middle income",in_b40_umi,IF(C123="High income",in_b40_hi,0.03))))</f>
        <v/>
      </c>
      <c r="AA123" s="15">
        <f>(D123+F123)/G123</f>
        <v/>
      </c>
      <c r="AB123" s="28">
        <f>100*W123*R123/V123/in_phase</f>
        <v/>
      </c>
      <c r="AC123" s="29">
        <f>100*Z123*W123*R123/V123*(1-IF(W123&gt;0,MIN(in_rebate/(W123*in_res_sh*in_q40),1),1))</f>
        <v/>
      </c>
      <c r="AD123" s="28">
        <f>IF(AA123&gt;0,100*U123*(1-W123)/(in_whole_sh*V123),0)</f>
        <v/>
      </c>
      <c r="AE123" s="28">
        <f>IF(AA123&gt;0,100*MAX(U123-R123,0)/(in_whole_sh*V123),0)</f>
        <v/>
      </c>
      <c r="AF123" s="16">
        <f>IF(AB123&gt;0,in_f1/AB123,in_cap)</f>
        <v/>
      </c>
      <c r="AG123" s="16">
        <f>IF(AC123&gt;0,in_f2/AC123,in_cap)</f>
        <v/>
      </c>
      <c r="AH123" s="16">
        <f>IF(AD123&gt;0,in_f3/AD123,in_cap)</f>
        <v/>
      </c>
      <c r="AI123" s="16">
        <f>MIN(in_cap,AF123,AG123,AH123)</f>
        <v/>
      </c>
      <c r="AJ123" s="30">
        <f>100*(1-(1-X123*(1-EXP(-((AI123)+(0))/Y123)))*(1-MIN(ABS(in_elas)*W123*R123*(AI123)/V123,1)))</f>
        <v/>
      </c>
      <c r="AK123" s="17">
        <f>IF(AI123&gt;=in_cap-1E-9,"rate cap",TRIM(IF(ABS(AI123-AF123)&lt;1E-9,"F1 ","")&amp;IF(ABS(AI123-AG123)&lt;1E-9,"F2 ","")&amp;IF(ABS(AI123-AH123)&lt;1E-9,"F3","")))</f>
        <v/>
      </c>
      <c r="AL123" s="15">
        <f>100*(1-(1-X123*(1-EXP(-((MIN(in_cap,IF(AB123&gt;0,(in_f1+1)/AB123,in_cap),AG123,AH123))+(0))/Y123)))*(1-MIN(ABS(in_elas)*W123*R123*(MIN(in_cap,IF(AB123&gt;0,(in_f1+1)/AB123,in_cap),AG123,AH123))/V123,1)))-AJ123</f>
        <v/>
      </c>
      <c r="AM123" s="16">
        <f>MIN(in_cap,IF(AE123&gt;0,in_f3/AE123,in_cap))</f>
        <v/>
      </c>
      <c r="AN123" s="30">
        <f>100*(1-(1-X123*(1-EXP(-((0)+(AM123))/Y123)))*(1-MIN(ABS(in_elas)*W123*R123*(0)/V123,1)))</f>
        <v/>
      </c>
      <c r="AO123" s="17">
        <f>IF(AM123&gt;=in_cap-1E-9,"rate cap","F3")</f>
        <v/>
      </c>
      <c r="AP123" s="15">
        <f>100*(1-(1-X123*(1-EXP(-((50)+(0))/Y123)))*(1-MIN(ABS(in_elas)*W123*R123*(50)/V123,1)))</f>
        <v/>
      </c>
      <c r="AQ123" s="15">
        <f>100*(1-(1-X123*(1-EXP(-((0)+(50))/Y123)))*(1-MIN(ABS(in_elas)*W123*R123*(0)/V123,1)))</f>
        <v/>
      </c>
      <c r="AR123" s="15">
        <f>IF(AP123&gt;0,AQ123/AP123,"")</f>
        <v/>
      </c>
      <c r="AS123" s="16">
        <f>50*AB123</f>
        <v/>
      </c>
      <c r="AT123" s="30">
        <f>MAX(BM123:BW123)</f>
        <v/>
      </c>
      <c r="AU123" s="31">
        <f>AI123*(MATCH(AT123,BM123:BW123,0)-1)/10</f>
        <v/>
      </c>
      <c r="AV123" s="31">
        <f>INDEX(BB123:BL123,1,(MATCH(AT123,BM123:BW123,0)-1)+1)</f>
        <v/>
      </c>
      <c r="AW123" s="31">
        <f>AB123*AU123</f>
        <v/>
      </c>
      <c r="AX123" s="30">
        <f>AC123*AU123</f>
        <v/>
      </c>
      <c r="AY123" s="31">
        <f>AD123*AU123+AE123*AV123</f>
        <v/>
      </c>
      <c r="AZ123" s="32">
        <f>TRIM(IF(AND(AU123&gt;0,ABS(AU123-AF123)&lt;1E-6),"F1 ","")&amp;IF(AND(AU123&gt;0,ABS(AU123-AG123)&lt;1E-6),"F2 ","")&amp;IF(AY123&gt;=in_f3-1E-6,"F3 ","")&amp;IF(AV123&gt;=in_cap-1E-9,"rate cap",""))</f>
        <v/>
      </c>
      <c r="BA123" s="31">
        <f>Q123*AT123/100</f>
        <v/>
      </c>
      <c r="BB123" s="16">
        <f>MAX(0,MIN(in_cap,IF(AE123&gt;0,(in_f3-AD123*AI123*0/10)/AE123,in_cap)))</f>
        <v/>
      </c>
      <c r="BC123" s="16">
        <f>MAX(0,MIN(in_cap,IF(AE123&gt;0,(in_f3-AD123*AI123*1/10)/AE123,in_cap)))</f>
        <v/>
      </c>
      <c r="BD123" s="16">
        <f>MAX(0,MIN(in_cap,IF(AE123&gt;0,(in_f3-AD123*AI123*2/10)/AE123,in_cap)))</f>
        <v/>
      </c>
      <c r="BE123" s="16">
        <f>MAX(0,MIN(in_cap,IF(AE123&gt;0,(in_f3-AD123*AI123*3/10)/AE123,in_cap)))</f>
        <v/>
      </c>
      <c r="BF123" s="16">
        <f>MAX(0,MIN(in_cap,IF(AE123&gt;0,(in_f3-AD123*AI123*4/10)/AE123,in_cap)))</f>
        <v/>
      </c>
      <c r="BG123" s="16">
        <f>MAX(0,MIN(in_cap,IF(AE123&gt;0,(in_f3-AD123*AI123*5/10)/AE123,in_cap)))</f>
        <v/>
      </c>
      <c r="BH123" s="16">
        <f>MAX(0,MIN(in_cap,IF(AE123&gt;0,(in_f3-AD123*AI123*6/10)/AE123,in_cap)))</f>
        <v/>
      </c>
      <c r="BI123" s="16">
        <f>MAX(0,MIN(in_cap,IF(AE123&gt;0,(in_f3-AD123*AI123*7/10)/AE123,in_cap)))</f>
        <v/>
      </c>
      <c r="BJ123" s="16">
        <f>MAX(0,MIN(in_cap,IF(AE123&gt;0,(in_f3-AD123*AI123*8/10)/AE123,in_cap)))</f>
        <v/>
      </c>
      <c r="BK123" s="16">
        <f>MAX(0,MIN(in_cap,IF(AE123&gt;0,(in_f3-AD123*AI123*9/10)/AE123,in_cap)))</f>
        <v/>
      </c>
      <c r="BL123" s="16">
        <f>MAX(0,MIN(in_cap,IF(AE123&gt;0,(in_f3-AD123*AI123*10/10)/AE123,in_cap)))</f>
        <v/>
      </c>
      <c r="BM123" s="15">
        <f>100*(1-(1-X123*(1-EXP(-((AI123*0/10)+(BB123))/Y123)))*(1-MIN(ABS(in_elas)*W123*R123*(AI123*0/10)/V123,1)))</f>
        <v/>
      </c>
      <c r="BN123" s="15">
        <f>100*(1-(1-X123*(1-EXP(-((AI123*1/10)+(BC123))/Y123)))*(1-MIN(ABS(in_elas)*W123*R123*(AI123*1/10)/V123,1)))</f>
        <v/>
      </c>
      <c r="BO123" s="15">
        <f>100*(1-(1-X123*(1-EXP(-((AI123*2/10)+(BD123))/Y123)))*(1-MIN(ABS(in_elas)*W123*R123*(AI123*2/10)/V123,1)))</f>
        <v/>
      </c>
      <c r="BP123" s="15">
        <f>100*(1-(1-X123*(1-EXP(-((AI123*3/10)+(BE123))/Y123)))*(1-MIN(ABS(in_elas)*W123*R123*(AI123*3/10)/V123,1)))</f>
        <v/>
      </c>
      <c r="BQ123" s="15">
        <f>100*(1-(1-X123*(1-EXP(-((AI123*4/10)+(BF123))/Y123)))*(1-MIN(ABS(in_elas)*W123*R123*(AI123*4/10)/V123,1)))</f>
        <v/>
      </c>
      <c r="BR123" s="15">
        <f>100*(1-(1-X123*(1-EXP(-((AI123*5/10)+(BG123))/Y123)))*(1-MIN(ABS(in_elas)*W123*R123*(AI123*5/10)/V123,1)))</f>
        <v/>
      </c>
      <c r="BS123" s="15">
        <f>100*(1-(1-X123*(1-EXP(-((AI123*6/10)+(BH123))/Y123)))*(1-MIN(ABS(in_elas)*W123*R123*(AI123*6/10)/V123,1)))</f>
        <v/>
      </c>
      <c r="BT123" s="15">
        <f>100*(1-(1-X123*(1-EXP(-((AI123*7/10)+(BI123))/Y123)))*(1-MIN(ABS(in_elas)*W123*R123*(AI123*7/10)/V123,1)))</f>
        <v/>
      </c>
      <c r="BU123" s="15">
        <f>100*(1-(1-X123*(1-EXP(-((AI123*8/10)+(BJ123))/Y123)))*(1-MIN(ABS(in_elas)*W123*R123*(AI123*8/10)/V123,1)))</f>
        <v/>
      </c>
      <c r="BV123" s="15">
        <f>100*(1-(1-X123*(1-EXP(-((AI123*9/10)+(BK123))/Y123)))*(1-MIN(ABS(in_elas)*W123*R123*(AI123*9/10)/V123,1)))</f>
        <v/>
      </c>
      <c r="BW123" s="15">
        <f>100*(1-(1-X123*(1-EXP(-((AI123*10/10)+(BL123))/Y123)))*(1-MIN(ABS(in_elas)*W123*R123*(AI123*10/10)/V123,1)))</f>
        <v/>
      </c>
    </row>
    <row r="124">
      <c r="A124" s="17" t="inlineStr">
        <is>
          <t>PAK</t>
        </is>
      </c>
      <c r="B124" s="17">
        <f>INDEX(Data!$B:$B,MATCH($A124,Data!$A:$A,0))</f>
        <v/>
      </c>
      <c r="C124" s="17">
        <f>INDEX(Data!$D:$D,MATCH($A124,Data!$A:$A,0))</f>
        <v/>
      </c>
      <c r="D124" s="16">
        <f>SUMIFS(Data!$G:$G,Data!$A:$A,$A124,Data!$F:$F,"gen_coal_twh")</f>
        <v/>
      </c>
      <c r="E124" s="16">
        <f>SUMIFS(Data!$G:$G,Data!$A:$A,$A124,Data!$F:$F,"gen_gas_twh")</f>
        <v/>
      </c>
      <c r="F124" s="16">
        <f>SUMIFS(Data!$G:$G,Data!$A:$A,$A124,Data!$F:$F,"gen_oil_twh")</f>
        <v/>
      </c>
      <c r="G124" s="16">
        <f>SUMIFS(Data!$G:$G,Data!$A:$A,$A124,Data!$F:$F,"gen_total_twh")</f>
        <v/>
      </c>
      <c r="H124" s="16">
        <f>SUMIFS(Data!$G:$G,Data!$A:$A,$A124,Data!$F:$F,"em_coal_mt")</f>
        <v/>
      </c>
      <c r="I124" s="16">
        <f>SUMIFS(Data!$G:$G,Data!$A:$A,$A124,Data!$F:$F,"em_gas_mt")</f>
        <v/>
      </c>
      <c r="J124" s="16">
        <f>SUMIFS(Data!$G:$G,Data!$A:$A,$A124,Data!$F:$F,"em_oil_mt")</f>
        <v/>
      </c>
      <c r="K124" s="28">
        <f>IF(COUNTIFS(Data!$A:$A,$A124,Data!$F:$F,"price_electricity_residential_usd_kwh")=0,"",SUMIFS(Data!$G:$G,Data!$A:$A,$A124,Data!$F:$F,"price_electricity_residential_usd_kwh"))</f>
        <v/>
      </c>
      <c r="L124" s="28">
        <f>IF(COUNTIFS(Data!$A:$A,$A124,Data!$F:$F,"price_coal_power_usd_gj")=0,"",SUMIFS(Data!$G:$G,Data!$A:$A,$A124,Data!$F:$F,"price_coal_power_usd_gj"))</f>
        <v/>
      </c>
      <c r="M124" s="28">
        <f>IF(COUNTIFS(Data!$A:$A,$A124,Data!$F:$F,"price_gas_power_usd_gj")=0,"",SUMIFS(Data!$G:$G,Data!$A:$A,$A124,Data!$F:$F,"price_gas_power_usd_gj"))</f>
        <v/>
      </c>
      <c r="N124" s="28">
        <f>IF(COUNTIFS(Data!$A:$A,$A124,Data!$F:$F,"price_gas_industry_usd_gj")=0,"",SUMIFS(Data!$G:$G,Data!$A:$A,$A124,Data!$F:$F,"price_gas_industry_usd_gj"))</f>
        <v/>
      </c>
      <c r="O124" s="28">
        <f>IF(COUNTIFS(Data!$A:$A,$A124,Data!$F:$F,"power_market_structure")=0,"",SUMIFS(Data!$G:$G,Data!$A:$A,$A124,Data!$F:$F,"power_market_structure"))</f>
        <v/>
      </c>
      <c r="P124" s="28">
        <f>IF(COUNTIFS(Data!$A:$A,$A124,Data!$F:$F,"rise_renewable_energy_score")=0,"",SUMIFS(Data!$G:$G,Data!$A:$A,$A124,Data!$F:$F,"rise_renewable_energy_score"))</f>
        <v/>
      </c>
      <c r="Q124" s="16">
        <f>H124+I124+J124</f>
        <v/>
      </c>
      <c r="R124" s="28">
        <f>Q124/G124</f>
        <v/>
      </c>
      <c r="S124" s="28">
        <f>IF(D124&gt;0,H124/D124,0.85)</f>
        <v/>
      </c>
      <c r="T124" s="28">
        <f>IF(E124&gt;0,I124/E124,0.4)</f>
        <v/>
      </c>
      <c r="U124" s="28">
        <f>IF(D124+F124&gt;0,(H124+J124)/(D124+F124),0)</f>
        <v/>
      </c>
      <c r="V124" s="16">
        <f>K124*1000</f>
        <v/>
      </c>
      <c r="W124" s="15">
        <f>IF(O124=3,in_pt3,IF(O124=2,in_pt2,IF(O124=1,in_pt1,IF(C124="High income",in_pt_hi,in_pt_oth))))</f>
        <v/>
      </c>
      <c r="X124" s="28">
        <f>IF(Q124&gt;0,in_kappa*(in_rise_lo+(in_rise_hi-in_rise_lo)*IF(P124="",in_rise_miss,P124)/100)*(D124+F124)*MAX(U124-in_gas_rep*T124,0)/Q124,0)</f>
        <v/>
      </c>
      <c r="Y124" s="16">
        <f>IF(IF(M124="",N124,M124)="",MAX(in_sw_floor,in_sw_miss),MAX(in_sw_floor,(IF(M124="",N124,M124)*in_hr_gas-L124*in_hr_coal)/MAX(S124-T124,0.1)))</f>
        <v/>
      </c>
      <c r="Z124" s="28">
        <f>IF(C124="Low income",in_b40_li,IF(C124="Lower middle income",in_b40_lmi,IF(C124="Upper middle income",in_b40_umi,IF(C124="High income",in_b40_hi,0.03))))</f>
        <v/>
      </c>
      <c r="AA124" s="15">
        <f>(D124+F124)/G124</f>
        <v/>
      </c>
      <c r="AB124" s="28">
        <f>100*W124*R124/V124/in_phase</f>
        <v/>
      </c>
      <c r="AC124" s="29">
        <f>100*Z124*W124*R124/V124*(1-IF(W124&gt;0,MIN(in_rebate/(W124*in_res_sh*in_q40),1),1))</f>
        <v/>
      </c>
      <c r="AD124" s="28">
        <f>IF(AA124&gt;0,100*U124*(1-W124)/(in_whole_sh*V124),0)</f>
        <v/>
      </c>
      <c r="AE124" s="28">
        <f>IF(AA124&gt;0,100*MAX(U124-R124,0)/(in_whole_sh*V124),0)</f>
        <v/>
      </c>
      <c r="AF124" s="16">
        <f>IF(AB124&gt;0,in_f1/AB124,in_cap)</f>
        <v/>
      </c>
      <c r="AG124" s="16">
        <f>IF(AC124&gt;0,in_f2/AC124,in_cap)</f>
        <v/>
      </c>
      <c r="AH124" s="16">
        <f>IF(AD124&gt;0,in_f3/AD124,in_cap)</f>
        <v/>
      </c>
      <c r="AI124" s="16">
        <f>MIN(in_cap,AF124,AG124,AH124)</f>
        <v/>
      </c>
      <c r="AJ124" s="30">
        <f>100*(1-(1-X124*(1-EXP(-((AI124)+(0))/Y124)))*(1-MIN(ABS(in_elas)*W124*R124*(AI124)/V124,1)))</f>
        <v/>
      </c>
      <c r="AK124" s="17">
        <f>IF(AI124&gt;=in_cap-1E-9,"rate cap",TRIM(IF(ABS(AI124-AF124)&lt;1E-9,"F1 ","")&amp;IF(ABS(AI124-AG124)&lt;1E-9,"F2 ","")&amp;IF(ABS(AI124-AH124)&lt;1E-9,"F3","")))</f>
        <v/>
      </c>
      <c r="AL124" s="15">
        <f>100*(1-(1-X124*(1-EXP(-((MIN(in_cap,IF(AB124&gt;0,(in_f1+1)/AB124,in_cap),AG124,AH124))+(0))/Y124)))*(1-MIN(ABS(in_elas)*W124*R124*(MIN(in_cap,IF(AB124&gt;0,(in_f1+1)/AB124,in_cap),AG124,AH124))/V124,1)))-AJ124</f>
        <v/>
      </c>
      <c r="AM124" s="16">
        <f>MIN(in_cap,IF(AE124&gt;0,in_f3/AE124,in_cap))</f>
        <v/>
      </c>
      <c r="AN124" s="30">
        <f>100*(1-(1-X124*(1-EXP(-((0)+(AM124))/Y124)))*(1-MIN(ABS(in_elas)*W124*R124*(0)/V124,1)))</f>
        <v/>
      </c>
      <c r="AO124" s="17">
        <f>IF(AM124&gt;=in_cap-1E-9,"rate cap","F3")</f>
        <v/>
      </c>
      <c r="AP124" s="15">
        <f>100*(1-(1-X124*(1-EXP(-((50)+(0))/Y124)))*(1-MIN(ABS(in_elas)*W124*R124*(50)/V124,1)))</f>
        <v/>
      </c>
      <c r="AQ124" s="15">
        <f>100*(1-(1-X124*(1-EXP(-((0)+(50))/Y124)))*(1-MIN(ABS(in_elas)*W124*R124*(0)/V124,1)))</f>
        <v/>
      </c>
      <c r="AR124" s="15">
        <f>IF(AP124&gt;0,AQ124/AP124,"")</f>
        <v/>
      </c>
      <c r="AS124" s="16">
        <f>50*AB124</f>
        <v/>
      </c>
      <c r="AT124" s="30">
        <f>MAX(BM124:BW124)</f>
        <v/>
      </c>
      <c r="AU124" s="31">
        <f>AI124*(MATCH(AT124,BM124:BW124,0)-1)/10</f>
        <v/>
      </c>
      <c r="AV124" s="31">
        <f>INDEX(BB124:BL124,1,(MATCH(AT124,BM124:BW124,0)-1)+1)</f>
        <v/>
      </c>
      <c r="AW124" s="31">
        <f>AB124*AU124</f>
        <v/>
      </c>
      <c r="AX124" s="30">
        <f>AC124*AU124</f>
        <v/>
      </c>
      <c r="AY124" s="31">
        <f>AD124*AU124+AE124*AV124</f>
        <v/>
      </c>
      <c r="AZ124" s="32">
        <f>TRIM(IF(AND(AU124&gt;0,ABS(AU124-AF124)&lt;1E-6),"F1 ","")&amp;IF(AND(AU124&gt;0,ABS(AU124-AG124)&lt;1E-6),"F2 ","")&amp;IF(AY124&gt;=in_f3-1E-6,"F3 ","")&amp;IF(AV124&gt;=in_cap-1E-9,"rate cap",""))</f>
        <v/>
      </c>
      <c r="BA124" s="31">
        <f>Q124*AT124/100</f>
        <v/>
      </c>
      <c r="BB124" s="16">
        <f>MAX(0,MIN(in_cap,IF(AE124&gt;0,(in_f3-AD124*AI124*0/10)/AE124,in_cap)))</f>
        <v/>
      </c>
      <c r="BC124" s="16">
        <f>MAX(0,MIN(in_cap,IF(AE124&gt;0,(in_f3-AD124*AI124*1/10)/AE124,in_cap)))</f>
        <v/>
      </c>
      <c r="BD124" s="16">
        <f>MAX(0,MIN(in_cap,IF(AE124&gt;0,(in_f3-AD124*AI124*2/10)/AE124,in_cap)))</f>
        <v/>
      </c>
      <c r="BE124" s="16">
        <f>MAX(0,MIN(in_cap,IF(AE124&gt;0,(in_f3-AD124*AI124*3/10)/AE124,in_cap)))</f>
        <v/>
      </c>
      <c r="BF124" s="16">
        <f>MAX(0,MIN(in_cap,IF(AE124&gt;0,(in_f3-AD124*AI124*4/10)/AE124,in_cap)))</f>
        <v/>
      </c>
      <c r="BG124" s="16">
        <f>MAX(0,MIN(in_cap,IF(AE124&gt;0,(in_f3-AD124*AI124*5/10)/AE124,in_cap)))</f>
        <v/>
      </c>
      <c r="BH124" s="16">
        <f>MAX(0,MIN(in_cap,IF(AE124&gt;0,(in_f3-AD124*AI124*6/10)/AE124,in_cap)))</f>
        <v/>
      </c>
      <c r="BI124" s="16">
        <f>MAX(0,MIN(in_cap,IF(AE124&gt;0,(in_f3-AD124*AI124*7/10)/AE124,in_cap)))</f>
        <v/>
      </c>
      <c r="BJ124" s="16">
        <f>MAX(0,MIN(in_cap,IF(AE124&gt;0,(in_f3-AD124*AI124*8/10)/AE124,in_cap)))</f>
        <v/>
      </c>
      <c r="BK124" s="16">
        <f>MAX(0,MIN(in_cap,IF(AE124&gt;0,(in_f3-AD124*AI124*9/10)/AE124,in_cap)))</f>
        <v/>
      </c>
      <c r="BL124" s="16">
        <f>MAX(0,MIN(in_cap,IF(AE124&gt;0,(in_f3-AD124*AI124*10/10)/AE124,in_cap)))</f>
        <v/>
      </c>
      <c r="BM124" s="15">
        <f>100*(1-(1-X124*(1-EXP(-((AI124*0/10)+(BB124))/Y124)))*(1-MIN(ABS(in_elas)*W124*R124*(AI124*0/10)/V124,1)))</f>
        <v/>
      </c>
      <c r="BN124" s="15">
        <f>100*(1-(1-X124*(1-EXP(-((AI124*1/10)+(BC124))/Y124)))*(1-MIN(ABS(in_elas)*W124*R124*(AI124*1/10)/V124,1)))</f>
        <v/>
      </c>
      <c r="BO124" s="15">
        <f>100*(1-(1-X124*(1-EXP(-((AI124*2/10)+(BD124))/Y124)))*(1-MIN(ABS(in_elas)*W124*R124*(AI124*2/10)/V124,1)))</f>
        <v/>
      </c>
      <c r="BP124" s="15">
        <f>100*(1-(1-X124*(1-EXP(-((AI124*3/10)+(BE124))/Y124)))*(1-MIN(ABS(in_elas)*W124*R124*(AI124*3/10)/V124,1)))</f>
        <v/>
      </c>
      <c r="BQ124" s="15">
        <f>100*(1-(1-X124*(1-EXP(-((AI124*4/10)+(BF124))/Y124)))*(1-MIN(ABS(in_elas)*W124*R124*(AI124*4/10)/V124,1)))</f>
        <v/>
      </c>
      <c r="BR124" s="15">
        <f>100*(1-(1-X124*(1-EXP(-((AI124*5/10)+(BG124))/Y124)))*(1-MIN(ABS(in_elas)*W124*R124*(AI124*5/10)/V124,1)))</f>
        <v/>
      </c>
      <c r="BS124" s="15">
        <f>100*(1-(1-X124*(1-EXP(-((AI124*6/10)+(BH124))/Y124)))*(1-MIN(ABS(in_elas)*W124*R124*(AI124*6/10)/V124,1)))</f>
        <v/>
      </c>
      <c r="BT124" s="15">
        <f>100*(1-(1-X124*(1-EXP(-((AI124*7/10)+(BI124))/Y124)))*(1-MIN(ABS(in_elas)*W124*R124*(AI124*7/10)/V124,1)))</f>
        <v/>
      </c>
      <c r="BU124" s="15">
        <f>100*(1-(1-X124*(1-EXP(-((AI124*8/10)+(BJ124))/Y124)))*(1-MIN(ABS(in_elas)*W124*R124*(AI124*8/10)/V124,1)))</f>
        <v/>
      </c>
      <c r="BV124" s="15">
        <f>100*(1-(1-X124*(1-EXP(-((AI124*9/10)+(BK124))/Y124)))*(1-MIN(ABS(in_elas)*W124*R124*(AI124*9/10)/V124,1)))</f>
        <v/>
      </c>
      <c r="BW124" s="15">
        <f>100*(1-(1-X124*(1-EXP(-((AI124*10/10)+(BL124))/Y124)))*(1-MIN(ABS(in_elas)*W124*R124*(AI124*10/10)/V124,1)))</f>
        <v/>
      </c>
    </row>
    <row r="125">
      <c r="A125" s="17" t="inlineStr">
        <is>
          <t>PAN</t>
        </is>
      </c>
      <c r="B125" s="17">
        <f>INDEX(Data!$B:$B,MATCH($A125,Data!$A:$A,0))</f>
        <v/>
      </c>
      <c r="C125" s="17">
        <f>INDEX(Data!$D:$D,MATCH($A125,Data!$A:$A,0))</f>
        <v/>
      </c>
      <c r="D125" s="16">
        <f>SUMIFS(Data!$G:$G,Data!$A:$A,$A125,Data!$F:$F,"gen_coal_twh")</f>
        <v/>
      </c>
      <c r="E125" s="16">
        <f>SUMIFS(Data!$G:$G,Data!$A:$A,$A125,Data!$F:$F,"gen_gas_twh")</f>
        <v/>
      </c>
      <c r="F125" s="16">
        <f>SUMIFS(Data!$G:$G,Data!$A:$A,$A125,Data!$F:$F,"gen_oil_twh")</f>
        <v/>
      </c>
      <c r="G125" s="16">
        <f>SUMIFS(Data!$G:$G,Data!$A:$A,$A125,Data!$F:$F,"gen_total_twh")</f>
        <v/>
      </c>
      <c r="H125" s="16">
        <f>SUMIFS(Data!$G:$G,Data!$A:$A,$A125,Data!$F:$F,"em_coal_mt")</f>
        <v/>
      </c>
      <c r="I125" s="16">
        <f>SUMIFS(Data!$G:$G,Data!$A:$A,$A125,Data!$F:$F,"em_gas_mt")</f>
        <v/>
      </c>
      <c r="J125" s="16">
        <f>SUMIFS(Data!$G:$G,Data!$A:$A,$A125,Data!$F:$F,"em_oil_mt")</f>
        <v/>
      </c>
      <c r="K125" s="28">
        <f>IF(COUNTIFS(Data!$A:$A,$A125,Data!$F:$F,"price_electricity_residential_usd_kwh")=0,"",SUMIFS(Data!$G:$G,Data!$A:$A,$A125,Data!$F:$F,"price_electricity_residential_usd_kwh"))</f>
        <v/>
      </c>
      <c r="L125" s="28">
        <f>IF(COUNTIFS(Data!$A:$A,$A125,Data!$F:$F,"price_coal_power_usd_gj")=0,"",SUMIFS(Data!$G:$G,Data!$A:$A,$A125,Data!$F:$F,"price_coal_power_usd_gj"))</f>
        <v/>
      </c>
      <c r="M125" s="28">
        <f>IF(COUNTIFS(Data!$A:$A,$A125,Data!$F:$F,"price_gas_power_usd_gj")=0,"",SUMIFS(Data!$G:$G,Data!$A:$A,$A125,Data!$F:$F,"price_gas_power_usd_gj"))</f>
        <v/>
      </c>
      <c r="N125" s="28">
        <f>IF(COUNTIFS(Data!$A:$A,$A125,Data!$F:$F,"price_gas_industry_usd_gj")=0,"",SUMIFS(Data!$G:$G,Data!$A:$A,$A125,Data!$F:$F,"price_gas_industry_usd_gj"))</f>
        <v/>
      </c>
      <c r="O125" s="28">
        <f>IF(COUNTIFS(Data!$A:$A,$A125,Data!$F:$F,"power_market_structure")=0,"",SUMIFS(Data!$G:$G,Data!$A:$A,$A125,Data!$F:$F,"power_market_structure"))</f>
        <v/>
      </c>
      <c r="P125" s="28">
        <f>IF(COUNTIFS(Data!$A:$A,$A125,Data!$F:$F,"rise_renewable_energy_score")=0,"",SUMIFS(Data!$G:$G,Data!$A:$A,$A125,Data!$F:$F,"rise_renewable_energy_score"))</f>
        <v/>
      </c>
      <c r="Q125" s="16">
        <f>H125+I125+J125</f>
        <v/>
      </c>
      <c r="R125" s="28">
        <f>Q125/G125</f>
        <v/>
      </c>
      <c r="S125" s="28">
        <f>IF(D125&gt;0,H125/D125,0.85)</f>
        <v/>
      </c>
      <c r="T125" s="28">
        <f>IF(E125&gt;0,I125/E125,0.4)</f>
        <v/>
      </c>
      <c r="U125" s="28">
        <f>IF(D125+F125&gt;0,(H125+J125)/(D125+F125),0)</f>
        <v/>
      </c>
      <c r="V125" s="16">
        <f>K125*1000</f>
        <v/>
      </c>
      <c r="W125" s="15">
        <f>IF(O125=3,in_pt3,IF(O125=2,in_pt2,IF(O125=1,in_pt1,IF(C125="High income",in_pt_hi,in_pt_oth))))</f>
        <v/>
      </c>
      <c r="X125" s="28">
        <f>IF(Q125&gt;0,in_kappa*(in_rise_lo+(in_rise_hi-in_rise_lo)*IF(P125="",in_rise_miss,P125)/100)*(D125+F125)*MAX(U125-in_gas_rep*T125,0)/Q125,0)</f>
        <v/>
      </c>
      <c r="Y125" s="16">
        <f>IF(IF(M125="",N125,M125)="",MAX(in_sw_floor,in_sw_miss),MAX(in_sw_floor,(IF(M125="",N125,M125)*in_hr_gas-L125*in_hr_coal)/MAX(S125-T125,0.1)))</f>
        <v/>
      </c>
      <c r="Z125" s="28">
        <f>IF(C125="Low income",in_b40_li,IF(C125="Lower middle income",in_b40_lmi,IF(C125="Upper middle income",in_b40_umi,IF(C125="High income",in_b40_hi,0.03))))</f>
        <v/>
      </c>
      <c r="AA125" s="15">
        <f>(D125+F125)/G125</f>
        <v/>
      </c>
      <c r="AB125" s="28">
        <f>100*W125*R125/V125/in_phase</f>
        <v/>
      </c>
      <c r="AC125" s="29">
        <f>100*Z125*W125*R125/V125*(1-IF(W125&gt;0,MIN(in_rebate/(W125*in_res_sh*in_q40),1),1))</f>
        <v/>
      </c>
      <c r="AD125" s="28">
        <f>IF(AA125&gt;0,100*U125*(1-W125)/(in_whole_sh*V125),0)</f>
        <v/>
      </c>
      <c r="AE125" s="28">
        <f>IF(AA125&gt;0,100*MAX(U125-R125,0)/(in_whole_sh*V125),0)</f>
        <v/>
      </c>
      <c r="AF125" s="16">
        <f>IF(AB125&gt;0,in_f1/AB125,in_cap)</f>
        <v/>
      </c>
      <c r="AG125" s="16">
        <f>IF(AC125&gt;0,in_f2/AC125,in_cap)</f>
        <v/>
      </c>
      <c r="AH125" s="16">
        <f>IF(AD125&gt;0,in_f3/AD125,in_cap)</f>
        <v/>
      </c>
      <c r="AI125" s="16">
        <f>MIN(in_cap,AF125,AG125,AH125)</f>
        <v/>
      </c>
      <c r="AJ125" s="30">
        <f>100*(1-(1-X125*(1-EXP(-((AI125)+(0))/Y125)))*(1-MIN(ABS(in_elas)*W125*R125*(AI125)/V125,1)))</f>
        <v/>
      </c>
      <c r="AK125" s="17">
        <f>IF(AI125&gt;=in_cap-1E-9,"rate cap",TRIM(IF(ABS(AI125-AF125)&lt;1E-9,"F1 ","")&amp;IF(ABS(AI125-AG125)&lt;1E-9,"F2 ","")&amp;IF(ABS(AI125-AH125)&lt;1E-9,"F3","")))</f>
        <v/>
      </c>
      <c r="AL125" s="15">
        <f>100*(1-(1-X125*(1-EXP(-((MIN(in_cap,IF(AB125&gt;0,(in_f1+1)/AB125,in_cap),AG125,AH125))+(0))/Y125)))*(1-MIN(ABS(in_elas)*W125*R125*(MIN(in_cap,IF(AB125&gt;0,(in_f1+1)/AB125,in_cap),AG125,AH125))/V125,1)))-AJ125</f>
        <v/>
      </c>
      <c r="AM125" s="16">
        <f>MIN(in_cap,IF(AE125&gt;0,in_f3/AE125,in_cap))</f>
        <v/>
      </c>
      <c r="AN125" s="30">
        <f>100*(1-(1-X125*(1-EXP(-((0)+(AM125))/Y125)))*(1-MIN(ABS(in_elas)*W125*R125*(0)/V125,1)))</f>
        <v/>
      </c>
      <c r="AO125" s="17">
        <f>IF(AM125&gt;=in_cap-1E-9,"rate cap","F3")</f>
        <v/>
      </c>
      <c r="AP125" s="15">
        <f>100*(1-(1-X125*(1-EXP(-((50)+(0))/Y125)))*(1-MIN(ABS(in_elas)*W125*R125*(50)/V125,1)))</f>
        <v/>
      </c>
      <c r="AQ125" s="15">
        <f>100*(1-(1-X125*(1-EXP(-((0)+(50))/Y125)))*(1-MIN(ABS(in_elas)*W125*R125*(0)/V125,1)))</f>
        <v/>
      </c>
      <c r="AR125" s="15">
        <f>IF(AP125&gt;0,AQ125/AP125,"")</f>
        <v/>
      </c>
      <c r="AS125" s="16">
        <f>50*AB125</f>
        <v/>
      </c>
      <c r="AT125" s="30">
        <f>MAX(BM125:BW125)</f>
        <v/>
      </c>
      <c r="AU125" s="31">
        <f>AI125*(MATCH(AT125,BM125:BW125,0)-1)/10</f>
        <v/>
      </c>
      <c r="AV125" s="31">
        <f>INDEX(BB125:BL125,1,(MATCH(AT125,BM125:BW125,0)-1)+1)</f>
        <v/>
      </c>
      <c r="AW125" s="31">
        <f>AB125*AU125</f>
        <v/>
      </c>
      <c r="AX125" s="30">
        <f>AC125*AU125</f>
        <v/>
      </c>
      <c r="AY125" s="31">
        <f>AD125*AU125+AE125*AV125</f>
        <v/>
      </c>
      <c r="AZ125" s="32">
        <f>TRIM(IF(AND(AU125&gt;0,ABS(AU125-AF125)&lt;1E-6),"F1 ","")&amp;IF(AND(AU125&gt;0,ABS(AU125-AG125)&lt;1E-6),"F2 ","")&amp;IF(AY125&gt;=in_f3-1E-6,"F3 ","")&amp;IF(AV125&gt;=in_cap-1E-9,"rate cap",""))</f>
        <v/>
      </c>
      <c r="BA125" s="31">
        <f>Q125*AT125/100</f>
        <v/>
      </c>
      <c r="BB125" s="16">
        <f>MAX(0,MIN(in_cap,IF(AE125&gt;0,(in_f3-AD125*AI125*0/10)/AE125,in_cap)))</f>
        <v/>
      </c>
      <c r="BC125" s="16">
        <f>MAX(0,MIN(in_cap,IF(AE125&gt;0,(in_f3-AD125*AI125*1/10)/AE125,in_cap)))</f>
        <v/>
      </c>
      <c r="BD125" s="16">
        <f>MAX(0,MIN(in_cap,IF(AE125&gt;0,(in_f3-AD125*AI125*2/10)/AE125,in_cap)))</f>
        <v/>
      </c>
      <c r="BE125" s="16">
        <f>MAX(0,MIN(in_cap,IF(AE125&gt;0,(in_f3-AD125*AI125*3/10)/AE125,in_cap)))</f>
        <v/>
      </c>
      <c r="BF125" s="16">
        <f>MAX(0,MIN(in_cap,IF(AE125&gt;0,(in_f3-AD125*AI125*4/10)/AE125,in_cap)))</f>
        <v/>
      </c>
      <c r="BG125" s="16">
        <f>MAX(0,MIN(in_cap,IF(AE125&gt;0,(in_f3-AD125*AI125*5/10)/AE125,in_cap)))</f>
        <v/>
      </c>
      <c r="BH125" s="16">
        <f>MAX(0,MIN(in_cap,IF(AE125&gt;0,(in_f3-AD125*AI125*6/10)/AE125,in_cap)))</f>
        <v/>
      </c>
      <c r="BI125" s="16">
        <f>MAX(0,MIN(in_cap,IF(AE125&gt;0,(in_f3-AD125*AI125*7/10)/AE125,in_cap)))</f>
        <v/>
      </c>
      <c r="BJ125" s="16">
        <f>MAX(0,MIN(in_cap,IF(AE125&gt;0,(in_f3-AD125*AI125*8/10)/AE125,in_cap)))</f>
        <v/>
      </c>
      <c r="BK125" s="16">
        <f>MAX(0,MIN(in_cap,IF(AE125&gt;0,(in_f3-AD125*AI125*9/10)/AE125,in_cap)))</f>
        <v/>
      </c>
      <c r="BL125" s="16">
        <f>MAX(0,MIN(in_cap,IF(AE125&gt;0,(in_f3-AD125*AI125*10/10)/AE125,in_cap)))</f>
        <v/>
      </c>
      <c r="BM125" s="15">
        <f>100*(1-(1-X125*(1-EXP(-((AI125*0/10)+(BB125))/Y125)))*(1-MIN(ABS(in_elas)*W125*R125*(AI125*0/10)/V125,1)))</f>
        <v/>
      </c>
      <c r="BN125" s="15">
        <f>100*(1-(1-X125*(1-EXP(-((AI125*1/10)+(BC125))/Y125)))*(1-MIN(ABS(in_elas)*W125*R125*(AI125*1/10)/V125,1)))</f>
        <v/>
      </c>
      <c r="BO125" s="15">
        <f>100*(1-(1-X125*(1-EXP(-((AI125*2/10)+(BD125))/Y125)))*(1-MIN(ABS(in_elas)*W125*R125*(AI125*2/10)/V125,1)))</f>
        <v/>
      </c>
      <c r="BP125" s="15">
        <f>100*(1-(1-X125*(1-EXP(-((AI125*3/10)+(BE125))/Y125)))*(1-MIN(ABS(in_elas)*W125*R125*(AI125*3/10)/V125,1)))</f>
        <v/>
      </c>
      <c r="BQ125" s="15">
        <f>100*(1-(1-X125*(1-EXP(-((AI125*4/10)+(BF125))/Y125)))*(1-MIN(ABS(in_elas)*W125*R125*(AI125*4/10)/V125,1)))</f>
        <v/>
      </c>
      <c r="BR125" s="15">
        <f>100*(1-(1-X125*(1-EXP(-((AI125*5/10)+(BG125))/Y125)))*(1-MIN(ABS(in_elas)*W125*R125*(AI125*5/10)/V125,1)))</f>
        <v/>
      </c>
      <c r="BS125" s="15">
        <f>100*(1-(1-X125*(1-EXP(-((AI125*6/10)+(BH125))/Y125)))*(1-MIN(ABS(in_elas)*W125*R125*(AI125*6/10)/V125,1)))</f>
        <v/>
      </c>
      <c r="BT125" s="15">
        <f>100*(1-(1-X125*(1-EXP(-((AI125*7/10)+(BI125))/Y125)))*(1-MIN(ABS(in_elas)*W125*R125*(AI125*7/10)/V125,1)))</f>
        <v/>
      </c>
      <c r="BU125" s="15">
        <f>100*(1-(1-X125*(1-EXP(-((AI125*8/10)+(BJ125))/Y125)))*(1-MIN(ABS(in_elas)*W125*R125*(AI125*8/10)/V125,1)))</f>
        <v/>
      </c>
      <c r="BV125" s="15">
        <f>100*(1-(1-X125*(1-EXP(-((AI125*9/10)+(BK125))/Y125)))*(1-MIN(ABS(in_elas)*W125*R125*(AI125*9/10)/V125,1)))</f>
        <v/>
      </c>
      <c r="BW125" s="15">
        <f>100*(1-(1-X125*(1-EXP(-((AI125*10/10)+(BL125))/Y125)))*(1-MIN(ABS(in_elas)*W125*R125*(AI125*10/10)/V125,1)))</f>
        <v/>
      </c>
    </row>
    <row r="126">
      <c r="A126" s="17" t="inlineStr">
        <is>
          <t>PER</t>
        </is>
      </c>
      <c r="B126" s="17">
        <f>INDEX(Data!$B:$B,MATCH($A126,Data!$A:$A,0))</f>
        <v/>
      </c>
      <c r="C126" s="17">
        <f>INDEX(Data!$D:$D,MATCH($A126,Data!$A:$A,0))</f>
        <v/>
      </c>
      <c r="D126" s="16">
        <f>SUMIFS(Data!$G:$G,Data!$A:$A,$A126,Data!$F:$F,"gen_coal_twh")</f>
        <v/>
      </c>
      <c r="E126" s="16">
        <f>SUMIFS(Data!$G:$G,Data!$A:$A,$A126,Data!$F:$F,"gen_gas_twh")</f>
        <v/>
      </c>
      <c r="F126" s="16">
        <f>SUMIFS(Data!$G:$G,Data!$A:$A,$A126,Data!$F:$F,"gen_oil_twh")</f>
        <v/>
      </c>
      <c r="G126" s="16">
        <f>SUMIFS(Data!$G:$G,Data!$A:$A,$A126,Data!$F:$F,"gen_total_twh")</f>
        <v/>
      </c>
      <c r="H126" s="16">
        <f>SUMIFS(Data!$G:$G,Data!$A:$A,$A126,Data!$F:$F,"em_coal_mt")</f>
        <v/>
      </c>
      <c r="I126" s="16">
        <f>SUMIFS(Data!$G:$G,Data!$A:$A,$A126,Data!$F:$F,"em_gas_mt")</f>
        <v/>
      </c>
      <c r="J126" s="16">
        <f>SUMIFS(Data!$G:$G,Data!$A:$A,$A126,Data!$F:$F,"em_oil_mt")</f>
        <v/>
      </c>
      <c r="K126" s="28">
        <f>IF(COUNTIFS(Data!$A:$A,$A126,Data!$F:$F,"price_electricity_residential_usd_kwh")=0,"",SUMIFS(Data!$G:$G,Data!$A:$A,$A126,Data!$F:$F,"price_electricity_residential_usd_kwh"))</f>
        <v/>
      </c>
      <c r="L126" s="28">
        <f>IF(COUNTIFS(Data!$A:$A,$A126,Data!$F:$F,"price_coal_power_usd_gj")=0,"",SUMIFS(Data!$G:$G,Data!$A:$A,$A126,Data!$F:$F,"price_coal_power_usd_gj"))</f>
        <v/>
      </c>
      <c r="M126" s="28">
        <f>IF(COUNTIFS(Data!$A:$A,$A126,Data!$F:$F,"price_gas_power_usd_gj")=0,"",SUMIFS(Data!$G:$G,Data!$A:$A,$A126,Data!$F:$F,"price_gas_power_usd_gj"))</f>
        <v/>
      </c>
      <c r="N126" s="28">
        <f>IF(COUNTIFS(Data!$A:$A,$A126,Data!$F:$F,"price_gas_industry_usd_gj")=0,"",SUMIFS(Data!$G:$G,Data!$A:$A,$A126,Data!$F:$F,"price_gas_industry_usd_gj"))</f>
        <v/>
      </c>
      <c r="O126" s="28">
        <f>IF(COUNTIFS(Data!$A:$A,$A126,Data!$F:$F,"power_market_structure")=0,"",SUMIFS(Data!$G:$G,Data!$A:$A,$A126,Data!$F:$F,"power_market_structure"))</f>
        <v/>
      </c>
      <c r="P126" s="28">
        <f>IF(COUNTIFS(Data!$A:$A,$A126,Data!$F:$F,"rise_renewable_energy_score")=0,"",SUMIFS(Data!$G:$G,Data!$A:$A,$A126,Data!$F:$F,"rise_renewable_energy_score"))</f>
        <v/>
      </c>
      <c r="Q126" s="16">
        <f>H126+I126+J126</f>
        <v/>
      </c>
      <c r="R126" s="28">
        <f>Q126/G126</f>
        <v/>
      </c>
      <c r="S126" s="28">
        <f>IF(D126&gt;0,H126/D126,0.85)</f>
        <v/>
      </c>
      <c r="T126" s="28">
        <f>IF(E126&gt;0,I126/E126,0.4)</f>
        <v/>
      </c>
      <c r="U126" s="28">
        <f>IF(D126+F126&gt;0,(H126+J126)/(D126+F126),0)</f>
        <v/>
      </c>
      <c r="V126" s="16">
        <f>K126*1000</f>
        <v/>
      </c>
      <c r="W126" s="15">
        <f>IF(O126=3,in_pt3,IF(O126=2,in_pt2,IF(O126=1,in_pt1,IF(C126="High income",in_pt_hi,in_pt_oth))))</f>
        <v/>
      </c>
      <c r="X126" s="28">
        <f>IF(Q126&gt;0,in_kappa*(in_rise_lo+(in_rise_hi-in_rise_lo)*IF(P126="",in_rise_miss,P126)/100)*(D126+F126)*MAX(U126-in_gas_rep*T126,0)/Q126,0)</f>
        <v/>
      </c>
      <c r="Y126" s="16">
        <f>IF(IF(M126="",N126,M126)="",MAX(in_sw_floor,in_sw_miss),MAX(in_sw_floor,(IF(M126="",N126,M126)*in_hr_gas-L126*in_hr_coal)/MAX(S126-T126,0.1)))</f>
        <v/>
      </c>
      <c r="Z126" s="28">
        <f>IF(C126="Low income",in_b40_li,IF(C126="Lower middle income",in_b40_lmi,IF(C126="Upper middle income",in_b40_umi,IF(C126="High income",in_b40_hi,0.03))))</f>
        <v/>
      </c>
      <c r="AA126" s="15">
        <f>(D126+F126)/G126</f>
        <v/>
      </c>
      <c r="AB126" s="28">
        <f>100*W126*R126/V126/in_phase</f>
        <v/>
      </c>
      <c r="AC126" s="29">
        <f>100*Z126*W126*R126/V126*(1-IF(W126&gt;0,MIN(in_rebate/(W126*in_res_sh*in_q40),1),1))</f>
        <v/>
      </c>
      <c r="AD126" s="28">
        <f>IF(AA126&gt;0,100*U126*(1-W126)/(in_whole_sh*V126),0)</f>
        <v/>
      </c>
      <c r="AE126" s="28">
        <f>IF(AA126&gt;0,100*MAX(U126-R126,0)/(in_whole_sh*V126),0)</f>
        <v/>
      </c>
      <c r="AF126" s="16">
        <f>IF(AB126&gt;0,in_f1/AB126,in_cap)</f>
        <v/>
      </c>
      <c r="AG126" s="16">
        <f>IF(AC126&gt;0,in_f2/AC126,in_cap)</f>
        <v/>
      </c>
      <c r="AH126" s="16">
        <f>IF(AD126&gt;0,in_f3/AD126,in_cap)</f>
        <v/>
      </c>
      <c r="AI126" s="16">
        <f>MIN(in_cap,AF126,AG126,AH126)</f>
        <v/>
      </c>
      <c r="AJ126" s="30">
        <f>100*(1-(1-X126*(1-EXP(-((AI126)+(0))/Y126)))*(1-MIN(ABS(in_elas)*W126*R126*(AI126)/V126,1)))</f>
        <v/>
      </c>
      <c r="AK126" s="17">
        <f>IF(AI126&gt;=in_cap-1E-9,"rate cap",TRIM(IF(ABS(AI126-AF126)&lt;1E-9,"F1 ","")&amp;IF(ABS(AI126-AG126)&lt;1E-9,"F2 ","")&amp;IF(ABS(AI126-AH126)&lt;1E-9,"F3","")))</f>
        <v/>
      </c>
      <c r="AL126" s="15">
        <f>100*(1-(1-X126*(1-EXP(-((MIN(in_cap,IF(AB126&gt;0,(in_f1+1)/AB126,in_cap),AG126,AH126))+(0))/Y126)))*(1-MIN(ABS(in_elas)*W126*R126*(MIN(in_cap,IF(AB126&gt;0,(in_f1+1)/AB126,in_cap),AG126,AH126))/V126,1)))-AJ126</f>
        <v/>
      </c>
      <c r="AM126" s="16">
        <f>MIN(in_cap,IF(AE126&gt;0,in_f3/AE126,in_cap))</f>
        <v/>
      </c>
      <c r="AN126" s="30">
        <f>100*(1-(1-X126*(1-EXP(-((0)+(AM126))/Y126)))*(1-MIN(ABS(in_elas)*W126*R126*(0)/V126,1)))</f>
        <v/>
      </c>
      <c r="AO126" s="17">
        <f>IF(AM126&gt;=in_cap-1E-9,"rate cap","F3")</f>
        <v/>
      </c>
      <c r="AP126" s="15">
        <f>100*(1-(1-X126*(1-EXP(-((50)+(0))/Y126)))*(1-MIN(ABS(in_elas)*W126*R126*(50)/V126,1)))</f>
        <v/>
      </c>
      <c r="AQ126" s="15">
        <f>100*(1-(1-X126*(1-EXP(-((0)+(50))/Y126)))*(1-MIN(ABS(in_elas)*W126*R126*(0)/V126,1)))</f>
        <v/>
      </c>
      <c r="AR126" s="15">
        <f>IF(AP126&gt;0,AQ126/AP126,"")</f>
        <v/>
      </c>
      <c r="AS126" s="16">
        <f>50*AB126</f>
        <v/>
      </c>
      <c r="AT126" s="30">
        <f>MAX(BM126:BW126)</f>
        <v/>
      </c>
      <c r="AU126" s="31">
        <f>AI126*(MATCH(AT126,BM126:BW126,0)-1)/10</f>
        <v/>
      </c>
      <c r="AV126" s="31">
        <f>INDEX(BB126:BL126,1,(MATCH(AT126,BM126:BW126,0)-1)+1)</f>
        <v/>
      </c>
      <c r="AW126" s="31">
        <f>AB126*AU126</f>
        <v/>
      </c>
      <c r="AX126" s="30">
        <f>AC126*AU126</f>
        <v/>
      </c>
      <c r="AY126" s="31">
        <f>AD126*AU126+AE126*AV126</f>
        <v/>
      </c>
      <c r="AZ126" s="32">
        <f>TRIM(IF(AND(AU126&gt;0,ABS(AU126-AF126)&lt;1E-6),"F1 ","")&amp;IF(AND(AU126&gt;0,ABS(AU126-AG126)&lt;1E-6),"F2 ","")&amp;IF(AY126&gt;=in_f3-1E-6,"F3 ","")&amp;IF(AV126&gt;=in_cap-1E-9,"rate cap",""))</f>
        <v/>
      </c>
      <c r="BA126" s="31">
        <f>Q126*AT126/100</f>
        <v/>
      </c>
      <c r="BB126" s="16">
        <f>MAX(0,MIN(in_cap,IF(AE126&gt;0,(in_f3-AD126*AI126*0/10)/AE126,in_cap)))</f>
        <v/>
      </c>
      <c r="BC126" s="16">
        <f>MAX(0,MIN(in_cap,IF(AE126&gt;0,(in_f3-AD126*AI126*1/10)/AE126,in_cap)))</f>
        <v/>
      </c>
      <c r="BD126" s="16">
        <f>MAX(0,MIN(in_cap,IF(AE126&gt;0,(in_f3-AD126*AI126*2/10)/AE126,in_cap)))</f>
        <v/>
      </c>
      <c r="BE126" s="16">
        <f>MAX(0,MIN(in_cap,IF(AE126&gt;0,(in_f3-AD126*AI126*3/10)/AE126,in_cap)))</f>
        <v/>
      </c>
      <c r="BF126" s="16">
        <f>MAX(0,MIN(in_cap,IF(AE126&gt;0,(in_f3-AD126*AI126*4/10)/AE126,in_cap)))</f>
        <v/>
      </c>
      <c r="BG126" s="16">
        <f>MAX(0,MIN(in_cap,IF(AE126&gt;0,(in_f3-AD126*AI126*5/10)/AE126,in_cap)))</f>
        <v/>
      </c>
      <c r="BH126" s="16">
        <f>MAX(0,MIN(in_cap,IF(AE126&gt;0,(in_f3-AD126*AI126*6/10)/AE126,in_cap)))</f>
        <v/>
      </c>
      <c r="BI126" s="16">
        <f>MAX(0,MIN(in_cap,IF(AE126&gt;0,(in_f3-AD126*AI126*7/10)/AE126,in_cap)))</f>
        <v/>
      </c>
      <c r="BJ126" s="16">
        <f>MAX(0,MIN(in_cap,IF(AE126&gt;0,(in_f3-AD126*AI126*8/10)/AE126,in_cap)))</f>
        <v/>
      </c>
      <c r="BK126" s="16">
        <f>MAX(0,MIN(in_cap,IF(AE126&gt;0,(in_f3-AD126*AI126*9/10)/AE126,in_cap)))</f>
        <v/>
      </c>
      <c r="BL126" s="16">
        <f>MAX(0,MIN(in_cap,IF(AE126&gt;0,(in_f3-AD126*AI126*10/10)/AE126,in_cap)))</f>
        <v/>
      </c>
      <c r="BM126" s="15">
        <f>100*(1-(1-X126*(1-EXP(-((AI126*0/10)+(BB126))/Y126)))*(1-MIN(ABS(in_elas)*W126*R126*(AI126*0/10)/V126,1)))</f>
        <v/>
      </c>
      <c r="BN126" s="15">
        <f>100*(1-(1-X126*(1-EXP(-((AI126*1/10)+(BC126))/Y126)))*(1-MIN(ABS(in_elas)*W126*R126*(AI126*1/10)/V126,1)))</f>
        <v/>
      </c>
      <c r="BO126" s="15">
        <f>100*(1-(1-X126*(1-EXP(-((AI126*2/10)+(BD126))/Y126)))*(1-MIN(ABS(in_elas)*W126*R126*(AI126*2/10)/V126,1)))</f>
        <v/>
      </c>
      <c r="BP126" s="15">
        <f>100*(1-(1-X126*(1-EXP(-((AI126*3/10)+(BE126))/Y126)))*(1-MIN(ABS(in_elas)*W126*R126*(AI126*3/10)/V126,1)))</f>
        <v/>
      </c>
      <c r="BQ126" s="15">
        <f>100*(1-(1-X126*(1-EXP(-((AI126*4/10)+(BF126))/Y126)))*(1-MIN(ABS(in_elas)*W126*R126*(AI126*4/10)/V126,1)))</f>
        <v/>
      </c>
      <c r="BR126" s="15">
        <f>100*(1-(1-X126*(1-EXP(-((AI126*5/10)+(BG126))/Y126)))*(1-MIN(ABS(in_elas)*W126*R126*(AI126*5/10)/V126,1)))</f>
        <v/>
      </c>
      <c r="BS126" s="15">
        <f>100*(1-(1-X126*(1-EXP(-((AI126*6/10)+(BH126))/Y126)))*(1-MIN(ABS(in_elas)*W126*R126*(AI126*6/10)/V126,1)))</f>
        <v/>
      </c>
      <c r="BT126" s="15">
        <f>100*(1-(1-X126*(1-EXP(-((AI126*7/10)+(BI126))/Y126)))*(1-MIN(ABS(in_elas)*W126*R126*(AI126*7/10)/V126,1)))</f>
        <v/>
      </c>
      <c r="BU126" s="15">
        <f>100*(1-(1-X126*(1-EXP(-((AI126*8/10)+(BJ126))/Y126)))*(1-MIN(ABS(in_elas)*W126*R126*(AI126*8/10)/V126,1)))</f>
        <v/>
      </c>
      <c r="BV126" s="15">
        <f>100*(1-(1-X126*(1-EXP(-((AI126*9/10)+(BK126))/Y126)))*(1-MIN(ABS(in_elas)*W126*R126*(AI126*9/10)/V126,1)))</f>
        <v/>
      </c>
      <c r="BW126" s="15">
        <f>100*(1-(1-X126*(1-EXP(-((AI126*10/10)+(BL126))/Y126)))*(1-MIN(ABS(in_elas)*W126*R126*(AI126*10/10)/V126,1)))</f>
        <v/>
      </c>
    </row>
    <row r="127">
      <c r="A127" s="17" t="inlineStr">
        <is>
          <t>PHL</t>
        </is>
      </c>
      <c r="B127" s="17">
        <f>INDEX(Data!$B:$B,MATCH($A127,Data!$A:$A,0))</f>
        <v/>
      </c>
      <c r="C127" s="17">
        <f>INDEX(Data!$D:$D,MATCH($A127,Data!$A:$A,0))</f>
        <v/>
      </c>
      <c r="D127" s="16">
        <f>SUMIFS(Data!$G:$G,Data!$A:$A,$A127,Data!$F:$F,"gen_coal_twh")</f>
        <v/>
      </c>
      <c r="E127" s="16">
        <f>SUMIFS(Data!$G:$G,Data!$A:$A,$A127,Data!$F:$F,"gen_gas_twh")</f>
        <v/>
      </c>
      <c r="F127" s="16">
        <f>SUMIFS(Data!$G:$G,Data!$A:$A,$A127,Data!$F:$F,"gen_oil_twh")</f>
        <v/>
      </c>
      <c r="G127" s="16">
        <f>SUMIFS(Data!$G:$G,Data!$A:$A,$A127,Data!$F:$F,"gen_total_twh")</f>
        <v/>
      </c>
      <c r="H127" s="16">
        <f>SUMIFS(Data!$G:$G,Data!$A:$A,$A127,Data!$F:$F,"em_coal_mt")</f>
        <v/>
      </c>
      <c r="I127" s="16">
        <f>SUMIFS(Data!$G:$G,Data!$A:$A,$A127,Data!$F:$F,"em_gas_mt")</f>
        <v/>
      </c>
      <c r="J127" s="16">
        <f>SUMIFS(Data!$G:$G,Data!$A:$A,$A127,Data!$F:$F,"em_oil_mt")</f>
        <v/>
      </c>
      <c r="K127" s="28">
        <f>IF(COUNTIFS(Data!$A:$A,$A127,Data!$F:$F,"price_electricity_residential_usd_kwh")=0,"",SUMIFS(Data!$G:$G,Data!$A:$A,$A127,Data!$F:$F,"price_electricity_residential_usd_kwh"))</f>
        <v/>
      </c>
      <c r="L127" s="28">
        <f>IF(COUNTIFS(Data!$A:$A,$A127,Data!$F:$F,"price_coal_power_usd_gj")=0,"",SUMIFS(Data!$G:$G,Data!$A:$A,$A127,Data!$F:$F,"price_coal_power_usd_gj"))</f>
        <v/>
      </c>
      <c r="M127" s="28">
        <f>IF(COUNTIFS(Data!$A:$A,$A127,Data!$F:$F,"price_gas_power_usd_gj")=0,"",SUMIFS(Data!$G:$G,Data!$A:$A,$A127,Data!$F:$F,"price_gas_power_usd_gj"))</f>
        <v/>
      </c>
      <c r="N127" s="28">
        <f>IF(COUNTIFS(Data!$A:$A,$A127,Data!$F:$F,"price_gas_industry_usd_gj")=0,"",SUMIFS(Data!$G:$G,Data!$A:$A,$A127,Data!$F:$F,"price_gas_industry_usd_gj"))</f>
        <v/>
      </c>
      <c r="O127" s="28">
        <f>IF(COUNTIFS(Data!$A:$A,$A127,Data!$F:$F,"power_market_structure")=0,"",SUMIFS(Data!$G:$G,Data!$A:$A,$A127,Data!$F:$F,"power_market_structure"))</f>
        <v/>
      </c>
      <c r="P127" s="28">
        <f>IF(COUNTIFS(Data!$A:$A,$A127,Data!$F:$F,"rise_renewable_energy_score")=0,"",SUMIFS(Data!$G:$G,Data!$A:$A,$A127,Data!$F:$F,"rise_renewable_energy_score"))</f>
        <v/>
      </c>
      <c r="Q127" s="16">
        <f>H127+I127+J127</f>
        <v/>
      </c>
      <c r="R127" s="28">
        <f>Q127/G127</f>
        <v/>
      </c>
      <c r="S127" s="28">
        <f>IF(D127&gt;0,H127/D127,0.85)</f>
        <v/>
      </c>
      <c r="T127" s="28">
        <f>IF(E127&gt;0,I127/E127,0.4)</f>
        <v/>
      </c>
      <c r="U127" s="28">
        <f>IF(D127+F127&gt;0,(H127+J127)/(D127+F127),0)</f>
        <v/>
      </c>
      <c r="V127" s="16">
        <f>K127*1000</f>
        <v/>
      </c>
      <c r="W127" s="15">
        <f>IF(O127=3,in_pt3,IF(O127=2,in_pt2,IF(O127=1,in_pt1,IF(C127="High income",in_pt_hi,in_pt_oth))))</f>
        <v/>
      </c>
      <c r="X127" s="28">
        <f>IF(Q127&gt;0,in_kappa*(in_rise_lo+(in_rise_hi-in_rise_lo)*IF(P127="",in_rise_miss,P127)/100)*(D127+F127)*MAX(U127-in_gas_rep*T127,0)/Q127,0)</f>
        <v/>
      </c>
      <c r="Y127" s="16">
        <f>IF(IF(M127="",N127,M127)="",MAX(in_sw_floor,in_sw_miss),MAX(in_sw_floor,(IF(M127="",N127,M127)*in_hr_gas-L127*in_hr_coal)/MAX(S127-T127,0.1)))</f>
        <v/>
      </c>
      <c r="Z127" s="28">
        <f>IF(C127="Low income",in_b40_li,IF(C127="Lower middle income",in_b40_lmi,IF(C127="Upper middle income",in_b40_umi,IF(C127="High income",in_b40_hi,0.03))))</f>
        <v/>
      </c>
      <c r="AA127" s="15">
        <f>(D127+F127)/G127</f>
        <v/>
      </c>
      <c r="AB127" s="28">
        <f>100*W127*R127/V127/in_phase</f>
        <v/>
      </c>
      <c r="AC127" s="29">
        <f>100*Z127*W127*R127/V127*(1-IF(W127&gt;0,MIN(in_rebate/(W127*in_res_sh*in_q40),1),1))</f>
        <v/>
      </c>
      <c r="AD127" s="28">
        <f>IF(AA127&gt;0,100*U127*(1-W127)/(in_whole_sh*V127),0)</f>
        <v/>
      </c>
      <c r="AE127" s="28">
        <f>IF(AA127&gt;0,100*MAX(U127-R127,0)/(in_whole_sh*V127),0)</f>
        <v/>
      </c>
      <c r="AF127" s="16">
        <f>IF(AB127&gt;0,in_f1/AB127,in_cap)</f>
        <v/>
      </c>
      <c r="AG127" s="16">
        <f>IF(AC127&gt;0,in_f2/AC127,in_cap)</f>
        <v/>
      </c>
      <c r="AH127" s="16">
        <f>IF(AD127&gt;0,in_f3/AD127,in_cap)</f>
        <v/>
      </c>
      <c r="AI127" s="16">
        <f>MIN(in_cap,AF127,AG127,AH127)</f>
        <v/>
      </c>
      <c r="AJ127" s="30">
        <f>100*(1-(1-X127*(1-EXP(-((AI127)+(0))/Y127)))*(1-MIN(ABS(in_elas)*W127*R127*(AI127)/V127,1)))</f>
        <v/>
      </c>
      <c r="AK127" s="17">
        <f>IF(AI127&gt;=in_cap-1E-9,"rate cap",TRIM(IF(ABS(AI127-AF127)&lt;1E-9,"F1 ","")&amp;IF(ABS(AI127-AG127)&lt;1E-9,"F2 ","")&amp;IF(ABS(AI127-AH127)&lt;1E-9,"F3","")))</f>
        <v/>
      </c>
      <c r="AL127" s="15">
        <f>100*(1-(1-X127*(1-EXP(-((MIN(in_cap,IF(AB127&gt;0,(in_f1+1)/AB127,in_cap),AG127,AH127))+(0))/Y127)))*(1-MIN(ABS(in_elas)*W127*R127*(MIN(in_cap,IF(AB127&gt;0,(in_f1+1)/AB127,in_cap),AG127,AH127))/V127,1)))-AJ127</f>
        <v/>
      </c>
      <c r="AM127" s="16">
        <f>MIN(in_cap,IF(AE127&gt;0,in_f3/AE127,in_cap))</f>
        <v/>
      </c>
      <c r="AN127" s="30">
        <f>100*(1-(1-X127*(1-EXP(-((0)+(AM127))/Y127)))*(1-MIN(ABS(in_elas)*W127*R127*(0)/V127,1)))</f>
        <v/>
      </c>
      <c r="AO127" s="17">
        <f>IF(AM127&gt;=in_cap-1E-9,"rate cap","F3")</f>
        <v/>
      </c>
      <c r="AP127" s="15">
        <f>100*(1-(1-X127*(1-EXP(-((50)+(0))/Y127)))*(1-MIN(ABS(in_elas)*W127*R127*(50)/V127,1)))</f>
        <v/>
      </c>
      <c r="AQ127" s="15">
        <f>100*(1-(1-X127*(1-EXP(-((0)+(50))/Y127)))*(1-MIN(ABS(in_elas)*W127*R127*(0)/V127,1)))</f>
        <v/>
      </c>
      <c r="AR127" s="15">
        <f>IF(AP127&gt;0,AQ127/AP127,"")</f>
        <v/>
      </c>
      <c r="AS127" s="16">
        <f>50*AB127</f>
        <v/>
      </c>
      <c r="AT127" s="30">
        <f>MAX(BM127:BW127)</f>
        <v/>
      </c>
      <c r="AU127" s="31">
        <f>AI127*(MATCH(AT127,BM127:BW127,0)-1)/10</f>
        <v/>
      </c>
      <c r="AV127" s="31">
        <f>INDEX(BB127:BL127,1,(MATCH(AT127,BM127:BW127,0)-1)+1)</f>
        <v/>
      </c>
      <c r="AW127" s="31">
        <f>AB127*AU127</f>
        <v/>
      </c>
      <c r="AX127" s="30">
        <f>AC127*AU127</f>
        <v/>
      </c>
      <c r="AY127" s="31">
        <f>AD127*AU127+AE127*AV127</f>
        <v/>
      </c>
      <c r="AZ127" s="32">
        <f>TRIM(IF(AND(AU127&gt;0,ABS(AU127-AF127)&lt;1E-6),"F1 ","")&amp;IF(AND(AU127&gt;0,ABS(AU127-AG127)&lt;1E-6),"F2 ","")&amp;IF(AY127&gt;=in_f3-1E-6,"F3 ","")&amp;IF(AV127&gt;=in_cap-1E-9,"rate cap",""))</f>
        <v/>
      </c>
      <c r="BA127" s="31">
        <f>Q127*AT127/100</f>
        <v/>
      </c>
      <c r="BB127" s="16">
        <f>MAX(0,MIN(in_cap,IF(AE127&gt;0,(in_f3-AD127*AI127*0/10)/AE127,in_cap)))</f>
        <v/>
      </c>
      <c r="BC127" s="16">
        <f>MAX(0,MIN(in_cap,IF(AE127&gt;0,(in_f3-AD127*AI127*1/10)/AE127,in_cap)))</f>
        <v/>
      </c>
      <c r="BD127" s="16">
        <f>MAX(0,MIN(in_cap,IF(AE127&gt;0,(in_f3-AD127*AI127*2/10)/AE127,in_cap)))</f>
        <v/>
      </c>
      <c r="BE127" s="16">
        <f>MAX(0,MIN(in_cap,IF(AE127&gt;0,(in_f3-AD127*AI127*3/10)/AE127,in_cap)))</f>
        <v/>
      </c>
      <c r="BF127" s="16">
        <f>MAX(0,MIN(in_cap,IF(AE127&gt;0,(in_f3-AD127*AI127*4/10)/AE127,in_cap)))</f>
        <v/>
      </c>
      <c r="BG127" s="16">
        <f>MAX(0,MIN(in_cap,IF(AE127&gt;0,(in_f3-AD127*AI127*5/10)/AE127,in_cap)))</f>
        <v/>
      </c>
      <c r="BH127" s="16">
        <f>MAX(0,MIN(in_cap,IF(AE127&gt;0,(in_f3-AD127*AI127*6/10)/AE127,in_cap)))</f>
        <v/>
      </c>
      <c r="BI127" s="16">
        <f>MAX(0,MIN(in_cap,IF(AE127&gt;0,(in_f3-AD127*AI127*7/10)/AE127,in_cap)))</f>
        <v/>
      </c>
      <c r="BJ127" s="16">
        <f>MAX(0,MIN(in_cap,IF(AE127&gt;0,(in_f3-AD127*AI127*8/10)/AE127,in_cap)))</f>
        <v/>
      </c>
      <c r="BK127" s="16">
        <f>MAX(0,MIN(in_cap,IF(AE127&gt;0,(in_f3-AD127*AI127*9/10)/AE127,in_cap)))</f>
        <v/>
      </c>
      <c r="BL127" s="16">
        <f>MAX(0,MIN(in_cap,IF(AE127&gt;0,(in_f3-AD127*AI127*10/10)/AE127,in_cap)))</f>
        <v/>
      </c>
      <c r="BM127" s="15">
        <f>100*(1-(1-X127*(1-EXP(-((AI127*0/10)+(BB127))/Y127)))*(1-MIN(ABS(in_elas)*W127*R127*(AI127*0/10)/V127,1)))</f>
        <v/>
      </c>
      <c r="BN127" s="15">
        <f>100*(1-(1-X127*(1-EXP(-((AI127*1/10)+(BC127))/Y127)))*(1-MIN(ABS(in_elas)*W127*R127*(AI127*1/10)/V127,1)))</f>
        <v/>
      </c>
      <c r="BO127" s="15">
        <f>100*(1-(1-X127*(1-EXP(-((AI127*2/10)+(BD127))/Y127)))*(1-MIN(ABS(in_elas)*W127*R127*(AI127*2/10)/V127,1)))</f>
        <v/>
      </c>
      <c r="BP127" s="15">
        <f>100*(1-(1-X127*(1-EXP(-((AI127*3/10)+(BE127))/Y127)))*(1-MIN(ABS(in_elas)*W127*R127*(AI127*3/10)/V127,1)))</f>
        <v/>
      </c>
      <c r="BQ127" s="15">
        <f>100*(1-(1-X127*(1-EXP(-((AI127*4/10)+(BF127))/Y127)))*(1-MIN(ABS(in_elas)*W127*R127*(AI127*4/10)/V127,1)))</f>
        <v/>
      </c>
      <c r="BR127" s="15">
        <f>100*(1-(1-X127*(1-EXP(-((AI127*5/10)+(BG127))/Y127)))*(1-MIN(ABS(in_elas)*W127*R127*(AI127*5/10)/V127,1)))</f>
        <v/>
      </c>
      <c r="BS127" s="15">
        <f>100*(1-(1-X127*(1-EXP(-((AI127*6/10)+(BH127))/Y127)))*(1-MIN(ABS(in_elas)*W127*R127*(AI127*6/10)/V127,1)))</f>
        <v/>
      </c>
      <c r="BT127" s="15">
        <f>100*(1-(1-X127*(1-EXP(-((AI127*7/10)+(BI127))/Y127)))*(1-MIN(ABS(in_elas)*W127*R127*(AI127*7/10)/V127,1)))</f>
        <v/>
      </c>
      <c r="BU127" s="15">
        <f>100*(1-(1-X127*(1-EXP(-((AI127*8/10)+(BJ127))/Y127)))*(1-MIN(ABS(in_elas)*W127*R127*(AI127*8/10)/V127,1)))</f>
        <v/>
      </c>
      <c r="BV127" s="15">
        <f>100*(1-(1-X127*(1-EXP(-((AI127*9/10)+(BK127))/Y127)))*(1-MIN(ABS(in_elas)*W127*R127*(AI127*9/10)/V127,1)))</f>
        <v/>
      </c>
      <c r="BW127" s="15">
        <f>100*(1-(1-X127*(1-EXP(-((AI127*10/10)+(BL127))/Y127)))*(1-MIN(ABS(in_elas)*W127*R127*(AI127*10/10)/V127,1)))</f>
        <v/>
      </c>
    </row>
    <row r="128">
      <c r="A128" s="17" t="inlineStr">
        <is>
          <t>PNG</t>
        </is>
      </c>
      <c r="B128" s="17">
        <f>INDEX(Data!$B:$B,MATCH($A128,Data!$A:$A,0))</f>
        <v/>
      </c>
      <c r="C128" s="17">
        <f>INDEX(Data!$D:$D,MATCH($A128,Data!$A:$A,0))</f>
        <v/>
      </c>
      <c r="D128" s="16">
        <f>SUMIFS(Data!$G:$G,Data!$A:$A,$A128,Data!$F:$F,"gen_coal_twh")</f>
        <v/>
      </c>
      <c r="E128" s="16">
        <f>SUMIFS(Data!$G:$G,Data!$A:$A,$A128,Data!$F:$F,"gen_gas_twh")</f>
        <v/>
      </c>
      <c r="F128" s="16">
        <f>SUMIFS(Data!$G:$G,Data!$A:$A,$A128,Data!$F:$F,"gen_oil_twh")</f>
        <v/>
      </c>
      <c r="G128" s="16">
        <f>SUMIFS(Data!$G:$G,Data!$A:$A,$A128,Data!$F:$F,"gen_total_twh")</f>
        <v/>
      </c>
      <c r="H128" s="16">
        <f>SUMIFS(Data!$G:$G,Data!$A:$A,$A128,Data!$F:$F,"em_coal_mt")</f>
        <v/>
      </c>
      <c r="I128" s="16">
        <f>SUMIFS(Data!$G:$G,Data!$A:$A,$A128,Data!$F:$F,"em_gas_mt")</f>
        <v/>
      </c>
      <c r="J128" s="16">
        <f>SUMIFS(Data!$G:$G,Data!$A:$A,$A128,Data!$F:$F,"em_oil_mt")</f>
        <v/>
      </c>
      <c r="K128" s="28">
        <f>IF(COUNTIFS(Data!$A:$A,$A128,Data!$F:$F,"price_electricity_residential_usd_kwh")=0,"",SUMIFS(Data!$G:$G,Data!$A:$A,$A128,Data!$F:$F,"price_electricity_residential_usd_kwh"))</f>
        <v/>
      </c>
      <c r="L128" s="28">
        <f>IF(COUNTIFS(Data!$A:$A,$A128,Data!$F:$F,"price_coal_power_usd_gj")=0,"",SUMIFS(Data!$G:$G,Data!$A:$A,$A128,Data!$F:$F,"price_coal_power_usd_gj"))</f>
        <v/>
      </c>
      <c r="M128" s="28">
        <f>IF(COUNTIFS(Data!$A:$A,$A128,Data!$F:$F,"price_gas_power_usd_gj")=0,"",SUMIFS(Data!$G:$G,Data!$A:$A,$A128,Data!$F:$F,"price_gas_power_usd_gj"))</f>
        <v/>
      </c>
      <c r="N128" s="28">
        <f>IF(COUNTIFS(Data!$A:$A,$A128,Data!$F:$F,"price_gas_industry_usd_gj")=0,"",SUMIFS(Data!$G:$G,Data!$A:$A,$A128,Data!$F:$F,"price_gas_industry_usd_gj"))</f>
        <v/>
      </c>
      <c r="O128" s="28">
        <f>IF(COUNTIFS(Data!$A:$A,$A128,Data!$F:$F,"power_market_structure")=0,"",SUMIFS(Data!$G:$G,Data!$A:$A,$A128,Data!$F:$F,"power_market_structure"))</f>
        <v/>
      </c>
      <c r="P128" s="28">
        <f>IF(COUNTIFS(Data!$A:$A,$A128,Data!$F:$F,"rise_renewable_energy_score")=0,"",SUMIFS(Data!$G:$G,Data!$A:$A,$A128,Data!$F:$F,"rise_renewable_energy_score"))</f>
        <v/>
      </c>
      <c r="Q128" s="16">
        <f>H128+I128+J128</f>
        <v/>
      </c>
      <c r="R128" s="28">
        <f>Q128/G128</f>
        <v/>
      </c>
      <c r="S128" s="28">
        <f>IF(D128&gt;0,H128/D128,0.85)</f>
        <v/>
      </c>
      <c r="T128" s="28">
        <f>IF(E128&gt;0,I128/E128,0.4)</f>
        <v/>
      </c>
      <c r="U128" s="28">
        <f>IF(D128+F128&gt;0,(H128+J128)/(D128+F128),0)</f>
        <v/>
      </c>
      <c r="V128" s="16">
        <f>K128*1000</f>
        <v/>
      </c>
      <c r="W128" s="15">
        <f>IF(O128=3,in_pt3,IF(O128=2,in_pt2,IF(O128=1,in_pt1,IF(C128="High income",in_pt_hi,in_pt_oth))))</f>
        <v/>
      </c>
      <c r="X128" s="28">
        <f>IF(Q128&gt;0,in_kappa*(in_rise_lo+(in_rise_hi-in_rise_lo)*IF(P128="",in_rise_miss,P128)/100)*(D128+F128)*MAX(U128-in_gas_rep*T128,0)/Q128,0)</f>
        <v/>
      </c>
      <c r="Y128" s="16">
        <f>IF(IF(M128="",N128,M128)="",MAX(in_sw_floor,in_sw_miss),MAX(in_sw_floor,(IF(M128="",N128,M128)*in_hr_gas-L128*in_hr_coal)/MAX(S128-T128,0.1)))</f>
        <v/>
      </c>
      <c r="Z128" s="28">
        <f>IF(C128="Low income",in_b40_li,IF(C128="Lower middle income",in_b40_lmi,IF(C128="Upper middle income",in_b40_umi,IF(C128="High income",in_b40_hi,0.03))))</f>
        <v/>
      </c>
      <c r="AA128" s="15">
        <f>(D128+F128)/G128</f>
        <v/>
      </c>
      <c r="AB128" s="28">
        <f>100*W128*R128/V128/in_phase</f>
        <v/>
      </c>
      <c r="AC128" s="29">
        <f>100*Z128*W128*R128/V128*(1-IF(W128&gt;0,MIN(in_rebate/(W128*in_res_sh*in_q40),1),1))</f>
        <v/>
      </c>
      <c r="AD128" s="28">
        <f>IF(AA128&gt;0,100*U128*(1-W128)/(in_whole_sh*V128),0)</f>
        <v/>
      </c>
      <c r="AE128" s="28">
        <f>IF(AA128&gt;0,100*MAX(U128-R128,0)/(in_whole_sh*V128),0)</f>
        <v/>
      </c>
      <c r="AF128" s="16">
        <f>IF(AB128&gt;0,in_f1/AB128,in_cap)</f>
        <v/>
      </c>
      <c r="AG128" s="16">
        <f>IF(AC128&gt;0,in_f2/AC128,in_cap)</f>
        <v/>
      </c>
      <c r="AH128" s="16">
        <f>IF(AD128&gt;0,in_f3/AD128,in_cap)</f>
        <v/>
      </c>
      <c r="AI128" s="16">
        <f>MIN(in_cap,AF128,AG128,AH128)</f>
        <v/>
      </c>
      <c r="AJ128" s="30">
        <f>100*(1-(1-X128*(1-EXP(-((AI128)+(0))/Y128)))*(1-MIN(ABS(in_elas)*W128*R128*(AI128)/V128,1)))</f>
        <v/>
      </c>
      <c r="AK128" s="17">
        <f>IF(AI128&gt;=in_cap-1E-9,"rate cap",TRIM(IF(ABS(AI128-AF128)&lt;1E-9,"F1 ","")&amp;IF(ABS(AI128-AG128)&lt;1E-9,"F2 ","")&amp;IF(ABS(AI128-AH128)&lt;1E-9,"F3","")))</f>
        <v/>
      </c>
      <c r="AL128" s="15">
        <f>100*(1-(1-X128*(1-EXP(-((MIN(in_cap,IF(AB128&gt;0,(in_f1+1)/AB128,in_cap),AG128,AH128))+(0))/Y128)))*(1-MIN(ABS(in_elas)*W128*R128*(MIN(in_cap,IF(AB128&gt;0,(in_f1+1)/AB128,in_cap),AG128,AH128))/V128,1)))-AJ128</f>
        <v/>
      </c>
      <c r="AM128" s="16">
        <f>MIN(in_cap,IF(AE128&gt;0,in_f3/AE128,in_cap))</f>
        <v/>
      </c>
      <c r="AN128" s="30">
        <f>100*(1-(1-X128*(1-EXP(-((0)+(AM128))/Y128)))*(1-MIN(ABS(in_elas)*W128*R128*(0)/V128,1)))</f>
        <v/>
      </c>
      <c r="AO128" s="17">
        <f>IF(AM128&gt;=in_cap-1E-9,"rate cap","F3")</f>
        <v/>
      </c>
      <c r="AP128" s="15">
        <f>100*(1-(1-X128*(1-EXP(-((50)+(0))/Y128)))*(1-MIN(ABS(in_elas)*W128*R128*(50)/V128,1)))</f>
        <v/>
      </c>
      <c r="AQ128" s="15">
        <f>100*(1-(1-X128*(1-EXP(-((0)+(50))/Y128)))*(1-MIN(ABS(in_elas)*W128*R128*(0)/V128,1)))</f>
        <v/>
      </c>
      <c r="AR128" s="15">
        <f>IF(AP128&gt;0,AQ128/AP128,"")</f>
        <v/>
      </c>
      <c r="AS128" s="16">
        <f>50*AB128</f>
        <v/>
      </c>
      <c r="AT128" s="30">
        <f>MAX(BM128:BW128)</f>
        <v/>
      </c>
      <c r="AU128" s="31">
        <f>AI128*(MATCH(AT128,BM128:BW128,0)-1)/10</f>
        <v/>
      </c>
      <c r="AV128" s="31">
        <f>INDEX(BB128:BL128,1,(MATCH(AT128,BM128:BW128,0)-1)+1)</f>
        <v/>
      </c>
      <c r="AW128" s="31">
        <f>AB128*AU128</f>
        <v/>
      </c>
      <c r="AX128" s="30">
        <f>AC128*AU128</f>
        <v/>
      </c>
      <c r="AY128" s="31">
        <f>AD128*AU128+AE128*AV128</f>
        <v/>
      </c>
      <c r="AZ128" s="32">
        <f>TRIM(IF(AND(AU128&gt;0,ABS(AU128-AF128)&lt;1E-6),"F1 ","")&amp;IF(AND(AU128&gt;0,ABS(AU128-AG128)&lt;1E-6),"F2 ","")&amp;IF(AY128&gt;=in_f3-1E-6,"F3 ","")&amp;IF(AV128&gt;=in_cap-1E-9,"rate cap",""))</f>
        <v/>
      </c>
      <c r="BA128" s="31">
        <f>Q128*AT128/100</f>
        <v/>
      </c>
      <c r="BB128" s="16">
        <f>MAX(0,MIN(in_cap,IF(AE128&gt;0,(in_f3-AD128*AI128*0/10)/AE128,in_cap)))</f>
        <v/>
      </c>
      <c r="BC128" s="16">
        <f>MAX(0,MIN(in_cap,IF(AE128&gt;0,(in_f3-AD128*AI128*1/10)/AE128,in_cap)))</f>
        <v/>
      </c>
      <c r="BD128" s="16">
        <f>MAX(0,MIN(in_cap,IF(AE128&gt;0,(in_f3-AD128*AI128*2/10)/AE128,in_cap)))</f>
        <v/>
      </c>
      <c r="BE128" s="16">
        <f>MAX(0,MIN(in_cap,IF(AE128&gt;0,(in_f3-AD128*AI128*3/10)/AE128,in_cap)))</f>
        <v/>
      </c>
      <c r="BF128" s="16">
        <f>MAX(0,MIN(in_cap,IF(AE128&gt;0,(in_f3-AD128*AI128*4/10)/AE128,in_cap)))</f>
        <v/>
      </c>
      <c r="BG128" s="16">
        <f>MAX(0,MIN(in_cap,IF(AE128&gt;0,(in_f3-AD128*AI128*5/10)/AE128,in_cap)))</f>
        <v/>
      </c>
      <c r="BH128" s="16">
        <f>MAX(0,MIN(in_cap,IF(AE128&gt;0,(in_f3-AD128*AI128*6/10)/AE128,in_cap)))</f>
        <v/>
      </c>
      <c r="BI128" s="16">
        <f>MAX(0,MIN(in_cap,IF(AE128&gt;0,(in_f3-AD128*AI128*7/10)/AE128,in_cap)))</f>
        <v/>
      </c>
      <c r="BJ128" s="16">
        <f>MAX(0,MIN(in_cap,IF(AE128&gt;0,(in_f3-AD128*AI128*8/10)/AE128,in_cap)))</f>
        <v/>
      </c>
      <c r="BK128" s="16">
        <f>MAX(0,MIN(in_cap,IF(AE128&gt;0,(in_f3-AD128*AI128*9/10)/AE128,in_cap)))</f>
        <v/>
      </c>
      <c r="BL128" s="16">
        <f>MAX(0,MIN(in_cap,IF(AE128&gt;0,(in_f3-AD128*AI128*10/10)/AE128,in_cap)))</f>
        <v/>
      </c>
      <c r="BM128" s="15">
        <f>100*(1-(1-X128*(1-EXP(-((AI128*0/10)+(BB128))/Y128)))*(1-MIN(ABS(in_elas)*W128*R128*(AI128*0/10)/V128,1)))</f>
        <v/>
      </c>
      <c r="BN128" s="15">
        <f>100*(1-(1-X128*(1-EXP(-((AI128*1/10)+(BC128))/Y128)))*(1-MIN(ABS(in_elas)*W128*R128*(AI128*1/10)/V128,1)))</f>
        <v/>
      </c>
      <c r="BO128" s="15">
        <f>100*(1-(1-X128*(1-EXP(-((AI128*2/10)+(BD128))/Y128)))*(1-MIN(ABS(in_elas)*W128*R128*(AI128*2/10)/V128,1)))</f>
        <v/>
      </c>
      <c r="BP128" s="15">
        <f>100*(1-(1-X128*(1-EXP(-((AI128*3/10)+(BE128))/Y128)))*(1-MIN(ABS(in_elas)*W128*R128*(AI128*3/10)/V128,1)))</f>
        <v/>
      </c>
      <c r="BQ128" s="15">
        <f>100*(1-(1-X128*(1-EXP(-((AI128*4/10)+(BF128))/Y128)))*(1-MIN(ABS(in_elas)*W128*R128*(AI128*4/10)/V128,1)))</f>
        <v/>
      </c>
      <c r="BR128" s="15">
        <f>100*(1-(1-X128*(1-EXP(-((AI128*5/10)+(BG128))/Y128)))*(1-MIN(ABS(in_elas)*W128*R128*(AI128*5/10)/V128,1)))</f>
        <v/>
      </c>
      <c r="BS128" s="15">
        <f>100*(1-(1-X128*(1-EXP(-((AI128*6/10)+(BH128))/Y128)))*(1-MIN(ABS(in_elas)*W128*R128*(AI128*6/10)/V128,1)))</f>
        <v/>
      </c>
      <c r="BT128" s="15">
        <f>100*(1-(1-X128*(1-EXP(-((AI128*7/10)+(BI128))/Y128)))*(1-MIN(ABS(in_elas)*W128*R128*(AI128*7/10)/V128,1)))</f>
        <v/>
      </c>
      <c r="BU128" s="15">
        <f>100*(1-(1-X128*(1-EXP(-((AI128*8/10)+(BJ128))/Y128)))*(1-MIN(ABS(in_elas)*W128*R128*(AI128*8/10)/V128,1)))</f>
        <v/>
      </c>
      <c r="BV128" s="15">
        <f>100*(1-(1-X128*(1-EXP(-((AI128*9/10)+(BK128))/Y128)))*(1-MIN(ABS(in_elas)*W128*R128*(AI128*9/10)/V128,1)))</f>
        <v/>
      </c>
      <c r="BW128" s="15">
        <f>100*(1-(1-X128*(1-EXP(-((AI128*10/10)+(BL128))/Y128)))*(1-MIN(ABS(in_elas)*W128*R128*(AI128*10/10)/V128,1)))</f>
        <v/>
      </c>
    </row>
    <row r="129">
      <c r="A129" s="17" t="inlineStr">
        <is>
          <t>POL</t>
        </is>
      </c>
      <c r="B129" s="17">
        <f>INDEX(Data!$B:$B,MATCH($A129,Data!$A:$A,0))</f>
        <v/>
      </c>
      <c r="C129" s="17">
        <f>INDEX(Data!$D:$D,MATCH($A129,Data!$A:$A,0))</f>
        <v/>
      </c>
      <c r="D129" s="16">
        <f>SUMIFS(Data!$G:$G,Data!$A:$A,$A129,Data!$F:$F,"gen_coal_twh")</f>
        <v/>
      </c>
      <c r="E129" s="16">
        <f>SUMIFS(Data!$G:$G,Data!$A:$A,$A129,Data!$F:$F,"gen_gas_twh")</f>
        <v/>
      </c>
      <c r="F129" s="16">
        <f>SUMIFS(Data!$G:$G,Data!$A:$A,$A129,Data!$F:$F,"gen_oil_twh")</f>
        <v/>
      </c>
      <c r="G129" s="16">
        <f>SUMIFS(Data!$G:$G,Data!$A:$A,$A129,Data!$F:$F,"gen_total_twh")</f>
        <v/>
      </c>
      <c r="H129" s="16">
        <f>SUMIFS(Data!$G:$G,Data!$A:$A,$A129,Data!$F:$F,"em_coal_mt")</f>
        <v/>
      </c>
      <c r="I129" s="16">
        <f>SUMIFS(Data!$G:$G,Data!$A:$A,$A129,Data!$F:$F,"em_gas_mt")</f>
        <v/>
      </c>
      <c r="J129" s="16">
        <f>SUMIFS(Data!$G:$G,Data!$A:$A,$A129,Data!$F:$F,"em_oil_mt")</f>
        <v/>
      </c>
      <c r="K129" s="28">
        <f>IF(COUNTIFS(Data!$A:$A,$A129,Data!$F:$F,"price_electricity_residential_usd_kwh")=0,"",SUMIFS(Data!$G:$G,Data!$A:$A,$A129,Data!$F:$F,"price_electricity_residential_usd_kwh"))</f>
        <v/>
      </c>
      <c r="L129" s="28">
        <f>IF(COUNTIFS(Data!$A:$A,$A129,Data!$F:$F,"price_coal_power_usd_gj")=0,"",SUMIFS(Data!$G:$G,Data!$A:$A,$A129,Data!$F:$F,"price_coal_power_usd_gj"))</f>
        <v/>
      </c>
      <c r="M129" s="28">
        <f>IF(COUNTIFS(Data!$A:$A,$A129,Data!$F:$F,"price_gas_power_usd_gj")=0,"",SUMIFS(Data!$G:$G,Data!$A:$A,$A129,Data!$F:$F,"price_gas_power_usd_gj"))</f>
        <v/>
      </c>
      <c r="N129" s="28">
        <f>IF(COUNTIFS(Data!$A:$A,$A129,Data!$F:$F,"price_gas_industry_usd_gj")=0,"",SUMIFS(Data!$G:$G,Data!$A:$A,$A129,Data!$F:$F,"price_gas_industry_usd_gj"))</f>
        <v/>
      </c>
      <c r="O129" s="28">
        <f>IF(COUNTIFS(Data!$A:$A,$A129,Data!$F:$F,"power_market_structure")=0,"",SUMIFS(Data!$G:$G,Data!$A:$A,$A129,Data!$F:$F,"power_market_structure"))</f>
        <v/>
      </c>
      <c r="P129" s="28">
        <f>IF(COUNTIFS(Data!$A:$A,$A129,Data!$F:$F,"rise_renewable_energy_score")=0,"",SUMIFS(Data!$G:$G,Data!$A:$A,$A129,Data!$F:$F,"rise_renewable_energy_score"))</f>
        <v/>
      </c>
      <c r="Q129" s="16">
        <f>H129+I129+J129</f>
        <v/>
      </c>
      <c r="R129" s="28">
        <f>Q129/G129</f>
        <v/>
      </c>
      <c r="S129" s="28">
        <f>IF(D129&gt;0,H129/D129,0.85)</f>
        <v/>
      </c>
      <c r="T129" s="28">
        <f>IF(E129&gt;0,I129/E129,0.4)</f>
        <v/>
      </c>
      <c r="U129" s="28">
        <f>IF(D129+F129&gt;0,(H129+J129)/(D129+F129),0)</f>
        <v/>
      </c>
      <c r="V129" s="16">
        <f>K129*1000</f>
        <v/>
      </c>
      <c r="W129" s="15">
        <f>IF(O129=3,in_pt3,IF(O129=2,in_pt2,IF(O129=1,in_pt1,IF(C129="High income",in_pt_hi,in_pt_oth))))</f>
        <v/>
      </c>
      <c r="X129" s="28">
        <f>IF(Q129&gt;0,in_kappa*(in_rise_lo+(in_rise_hi-in_rise_lo)*IF(P129="",in_rise_miss,P129)/100)*(D129+F129)*MAX(U129-in_gas_rep*T129,0)/Q129,0)</f>
        <v/>
      </c>
      <c r="Y129" s="16">
        <f>IF(IF(M129="",N129,M129)="",MAX(in_sw_floor,in_sw_miss),MAX(in_sw_floor,(IF(M129="",N129,M129)*in_hr_gas-L129*in_hr_coal)/MAX(S129-T129,0.1)))</f>
        <v/>
      </c>
      <c r="Z129" s="28">
        <f>IF(C129="Low income",in_b40_li,IF(C129="Lower middle income",in_b40_lmi,IF(C129="Upper middle income",in_b40_umi,IF(C129="High income",in_b40_hi,0.03))))</f>
        <v/>
      </c>
      <c r="AA129" s="15">
        <f>(D129+F129)/G129</f>
        <v/>
      </c>
      <c r="AB129" s="28">
        <f>100*W129*R129/V129/in_phase</f>
        <v/>
      </c>
      <c r="AC129" s="29">
        <f>100*Z129*W129*R129/V129*(1-IF(W129&gt;0,MIN(in_rebate/(W129*in_res_sh*in_q40),1),1))</f>
        <v/>
      </c>
      <c r="AD129" s="28">
        <f>IF(AA129&gt;0,100*U129*(1-W129)/(in_whole_sh*V129),0)</f>
        <v/>
      </c>
      <c r="AE129" s="28">
        <f>IF(AA129&gt;0,100*MAX(U129-R129,0)/(in_whole_sh*V129),0)</f>
        <v/>
      </c>
      <c r="AF129" s="16">
        <f>IF(AB129&gt;0,in_f1/AB129,in_cap)</f>
        <v/>
      </c>
      <c r="AG129" s="16">
        <f>IF(AC129&gt;0,in_f2/AC129,in_cap)</f>
        <v/>
      </c>
      <c r="AH129" s="16">
        <f>IF(AD129&gt;0,in_f3/AD129,in_cap)</f>
        <v/>
      </c>
      <c r="AI129" s="16">
        <f>MIN(in_cap,AF129,AG129,AH129)</f>
        <v/>
      </c>
      <c r="AJ129" s="30">
        <f>100*(1-(1-X129*(1-EXP(-((AI129)+(0))/Y129)))*(1-MIN(ABS(in_elas)*W129*R129*(AI129)/V129,1)))</f>
        <v/>
      </c>
      <c r="AK129" s="17">
        <f>IF(AI129&gt;=in_cap-1E-9,"rate cap",TRIM(IF(ABS(AI129-AF129)&lt;1E-9,"F1 ","")&amp;IF(ABS(AI129-AG129)&lt;1E-9,"F2 ","")&amp;IF(ABS(AI129-AH129)&lt;1E-9,"F3","")))</f>
        <v/>
      </c>
      <c r="AL129" s="15">
        <f>100*(1-(1-X129*(1-EXP(-((MIN(in_cap,IF(AB129&gt;0,(in_f1+1)/AB129,in_cap),AG129,AH129))+(0))/Y129)))*(1-MIN(ABS(in_elas)*W129*R129*(MIN(in_cap,IF(AB129&gt;0,(in_f1+1)/AB129,in_cap),AG129,AH129))/V129,1)))-AJ129</f>
        <v/>
      </c>
      <c r="AM129" s="16">
        <f>MIN(in_cap,IF(AE129&gt;0,in_f3/AE129,in_cap))</f>
        <v/>
      </c>
      <c r="AN129" s="30">
        <f>100*(1-(1-X129*(1-EXP(-((0)+(AM129))/Y129)))*(1-MIN(ABS(in_elas)*W129*R129*(0)/V129,1)))</f>
        <v/>
      </c>
      <c r="AO129" s="17">
        <f>IF(AM129&gt;=in_cap-1E-9,"rate cap","F3")</f>
        <v/>
      </c>
      <c r="AP129" s="15">
        <f>100*(1-(1-X129*(1-EXP(-((50)+(0))/Y129)))*(1-MIN(ABS(in_elas)*W129*R129*(50)/V129,1)))</f>
        <v/>
      </c>
      <c r="AQ129" s="15">
        <f>100*(1-(1-X129*(1-EXP(-((0)+(50))/Y129)))*(1-MIN(ABS(in_elas)*W129*R129*(0)/V129,1)))</f>
        <v/>
      </c>
      <c r="AR129" s="15">
        <f>IF(AP129&gt;0,AQ129/AP129,"")</f>
        <v/>
      </c>
      <c r="AS129" s="16">
        <f>50*AB129</f>
        <v/>
      </c>
      <c r="AT129" s="30">
        <f>MAX(BM129:BW129)</f>
        <v/>
      </c>
      <c r="AU129" s="31">
        <f>AI129*(MATCH(AT129,BM129:BW129,0)-1)/10</f>
        <v/>
      </c>
      <c r="AV129" s="31">
        <f>INDEX(BB129:BL129,1,(MATCH(AT129,BM129:BW129,0)-1)+1)</f>
        <v/>
      </c>
      <c r="AW129" s="31">
        <f>AB129*AU129</f>
        <v/>
      </c>
      <c r="AX129" s="30">
        <f>AC129*AU129</f>
        <v/>
      </c>
      <c r="AY129" s="31">
        <f>AD129*AU129+AE129*AV129</f>
        <v/>
      </c>
      <c r="AZ129" s="32">
        <f>TRIM(IF(AND(AU129&gt;0,ABS(AU129-AF129)&lt;1E-6),"F1 ","")&amp;IF(AND(AU129&gt;0,ABS(AU129-AG129)&lt;1E-6),"F2 ","")&amp;IF(AY129&gt;=in_f3-1E-6,"F3 ","")&amp;IF(AV129&gt;=in_cap-1E-9,"rate cap",""))</f>
        <v/>
      </c>
      <c r="BA129" s="31">
        <f>Q129*AT129/100</f>
        <v/>
      </c>
      <c r="BB129" s="16">
        <f>MAX(0,MIN(in_cap,IF(AE129&gt;0,(in_f3-AD129*AI129*0/10)/AE129,in_cap)))</f>
        <v/>
      </c>
      <c r="BC129" s="16">
        <f>MAX(0,MIN(in_cap,IF(AE129&gt;0,(in_f3-AD129*AI129*1/10)/AE129,in_cap)))</f>
        <v/>
      </c>
      <c r="BD129" s="16">
        <f>MAX(0,MIN(in_cap,IF(AE129&gt;0,(in_f3-AD129*AI129*2/10)/AE129,in_cap)))</f>
        <v/>
      </c>
      <c r="BE129" s="16">
        <f>MAX(0,MIN(in_cap,IF(AE129&gt;0,(in_f3-AD129*AI129*3/10)/AE129,in_cap)))</f>
        <v/>
      </c>
      <c r="BF129" s="16">
        <f>MAX(0,MIN(in_cap,IF(AE129&gt;0,(in_f3-AD129*AI129*4/10)/AE129,in_cap)))</f>
        <v/>
      </c>
      <c r="BG129" s="16">
        <f>MAX(0,MIN(in_cap,IF(AE129&gt;0,(in_f3-AD129*AI129*5/10)/AE129,in_cap)))</f>
        <v/>
      </c>
      <c r="BH129" s="16">
        <f>MAX(0,MIN(in_cap,IF(AE129&gt;0,(in_f3-AD129*AI129*6/10)/AE129,in_cap)))</f>
        <v/>
      </c>
      <c r="BI129" s="16">
        <f>MAX(0,MIN(in_cap,IF(AE129&gt;0,(in_f3-AD129*AI129*7/10)/AE129,in_cap)))</f>
        <v/>
      </c>
      <c r="BJ129" s="16">
        <f>MAX(0,MIN(in_cap,IF(AE129&gt;0,(in_f3-AD129*AI129*8/10)/AE129,in_cap)))</f>
        <v/>
      </c>
      <c r="BK129" s="16">
        <f>MAX(0,MIN(in_cap,IF(AE129&gt;0,(in_f3-AD129*AI129*9/10)/AE129,in_cap)))</f>
        <v/>
      </c>
      <c r="BL129" s="16">
        <f>MAX(0,MIN(in_cap,IF(AE129&gt;0,(in_f3-AD129*AI129*10/10)/AE129,in_cap)))</f>
        <v/>
      </c>
      <c r="BM129" s="15">
        <f>100*(1-(1-X129*(1-EXP(-((AI129*0/10)+(BB129))/Y129)))*(1-MIN(ABS(in_elas)*W129*R129*(AI129*0/10)/V129,1)))</f>
        <v/>
      </c>
      <c r="BN129" s="15">
        <f>100*(1-(1-X129*(1-EXP(-((AI129*1/10)+(BC129))/Y129)))*(1-MIN(ABS(in_elas)*W129*R129*(AI129*1/10)/V129,1)))</f>
        <v/>
      </c>
      <c r="BO129" s="15">
        <f>100*(1-(1-X129*(1-EXP(-((AI129*2/10)+(BD129))/Y129)))*(1-MIN(ABS(in_elas)*W129*R129*(AI129*2/10)/V129,1)))</f>
        <v/>
      </c>
      <c r="BP129" s="15">
        <f>100*(1-(1-X129*(1-EXP(-((AI129*3/10)+(BE129))/Y129)))*(1-MIN(ABS(in_elas)*W129*R129*(AI129*3/10)/V129,1)))</f>
        <v/>
      </c>
      <c r="BQ129" s="15">
        <f>100*(1-(1-X129*(1-EXP(-((AI129*4/10)+(BF129))/Y129)))*(1-MIN(ABS(in_elas)*W129*R129*(AI129*4/10)/V129,1)))</f>
        <v/>
      </c>
      <c r="BR129" s="15">
        <f>100*(1-(1-X129*(1-EXP(-((AI129*5/10)+(BG129))/Y129)))*(1-MIN(ABS(in_elas)*W129*R129*(AI129*5/10)/V129,1)))</f>
        <v/>
      </c>
      <c r="BS129" s="15">
        <f>100*(1-(1-X129*(1-EXP(-((AI129*6/10)+(BH129))/Y129)))*(1-MIN(ABS(in_elas)*W129*R129*(AI129*6/10)/V129,1)))</f>
        <v/>
      </c>
      <c r="BT129" s="15">
        <f>100*(1-(1-X129*(1-EXP(-((AI129*7/10)+(BI129))/Y129)))*(1-MIN(ABS(in_elas)*W129*R129*(AI129*7/10)/V129,1)))</f>
        <v/>
      </c>
      <c r="BU129" s="15">
        <f>100*(1-(1-X129*(1-EXP(-((AI129*8/10)+(BJ129))/Y129)))*(1-MIN(ABS(in_elas)*W129*R129*(AI129*8/10)/V129,1)))</f>
        <v/>
      </c>
      <c r="BV129" s="15">
        <f>100*(1-(1-X129*(1-EXP(-((AI129*9/10)+(BK129))/Y129)))*(1-MIN(ABS(in_elas)*W129*R129*(AI129*9/10)/V129,1)))</f>
        <v/>
      </c>
      <c r="BW129" s="15">
        <f>100*(1-(1-X129*(1-EXP(-((AI129*10/10)+(BL129))/Y129)))*(1-MIN(ABS(in_elas)*W129*R129*(AI129*10/10)/V129,1)))</f>
        <v/>
      </c>
    </row>
    <row r="130">
      <c r="A130" s="17" t="inlineStr">
        <is>
          <t>PRI</t>
        </is>
      </c>
      <c r="B130" s="17">
        <f>INDEX(Data!$B:$B,MATCH($A130,Data!$A:$A,0))</f>
        <v/>
      </c>
      <c r="C130" s="17">
        <f>INDEX(Data!$D:$D,MATCH($A130,Data!$A:$A,0))</f>
        <v/>
      </c>
      <c r="D130" s="16">
        <f>SUMIFS(Data!$G:$G,Data!$A:$A,$A130,Data!$F:$F,"gen_coal_twh")</f>
        <v/>
      </c>
      <c r="E130" s="16">
        <f>SUMIFS(Data!$G:$G,Data!$A:$A,$A130,Data!$F:$F,"gen_gas_twh")</f>
        <v/>
      </c>
      <c r="F130" s="16">
        <f>SUMIFS(Data!$G:$G,Data!$A:$A,$A130,Data!$F:$F,"gen_oil_twh")</f>
        <v/>
      </c>
      <c r="G130" s="16">
        <f>SUMIFS(Data!$G:$G,Data!$A:$A,$A130,Data!$F:$F,"gen_total_twh")</f>
        <v/>
      </c>
      <c r="H130" s="16">
        <f>SUMIFS(Data!$G:$G,Data!$A:$A,$A130,Data!$F:$F,"em_coal_mt")</f>
        <v/>
      </c>
      <c r="I130" s="16">
        <f>SUMIFS(Data!$G:$G,Data!$A:$A,$A130,Data!$F:$F,"em_gas_mt")</f>
        <v/>
      </c>
      <c r="J130" s="16">
        <f>SUMIFS(Data!$G:$G,Data!$A:$A,$A130,Data!$F:$F,"em_oil_mt")</f>
        <v/>
      </c>
      <c r="K130" s="28">
        <f>IF(COUNTIFS(Data!$A:$A,$A130,Data!$F:$F,"price_electricity_residential_usd_kwh")=0,"",SUMIFS(Data!$G:$G,Data!$A:$A,$A130,Data!$F:$F,"price_electricity_residential_usd_kwh"))</f>
        <v/>
      </c>
      <c r="L130" s="28">
        <f>IF(COUNTIFS(Data!$A:$A,$A130,Data!$F:$F,"price_coal_power_usd_gj")=0,"",SUMIFS(Data!$G:$G,Data!$A:$A,$A130,Data!$F:$F,"price_coal_power_usd_gj"))</f>
        <v/>
      </c>
      <c r="M130" s="28">
        <f>IF(COUNTIFS(Data!$A:$A,$A130,Data!$F:$F,"price_gas_power_usd_gj")=0,"",SUMIFS(Data!$G:$G,Data!$A:$A,$A130,Data!$F:$F,"price_gas_power_usd_gj"))</f>
        <v/>
      </c>
      <c r="N130" s="28">
        <f>IF(COUNTIFS(Data!$A:$A,$A130,Data!$F:$F,"price_gas_industry_usd_gj")=0,"",SUMIFS(Data!$G:$G,Data!$A:$A,$A130,Data!$F:$F,"price_gas_industry_usd_gj"))</f>
        <v/>
      </c>
      <c r="O130" s="28">
        <f>IF(COUNTIFS(Data!$A:$A,$A130,Data!$F:$F,"power_market_structure")=0,"",SUMIFS(Data!$G:$G,Data!$A:$A,$A130,Data!$F:$F,"power_market_structure"))</f>
        <v/>
      </c>
      <c r="P130" s="28">
        <f>IF(COUNTIFS(Data!$A:$A,$A130,Data!$F:$F,"rise_renewable_energy_score")=0,"",SUMIFS(Data!$G:$G,Data!$A:$A,$A130,Data!$F:$F,"rise_renewable_energy_score"))</f>
        <v/>
      </c>
      <c r="Q130" s="16">
        <f>H130+I130+J130</f>
        <v/>
      </c>
      <c r="R130" s="28">
        <f>Q130/G130</f>
        <v/>
      </c>
      <c r="S130" s="28">
        <f>IF(D130&gt;0,H130/D130,0.85)</f>
        <v/>
      </c>
      <c r="T130" s="28">
        <f>IF(E130&gt;0,I130/E130,0.4)</f>
        <v/>
      </c>
      <c r="U130" s="28">
        <f>IF(D130+F130&gt;0,(H130+J130)/(D130+F130),0)</f>
        <v/>
      </c>
      <c r="V130" s="16">
        <f>K130*1000</f>
        <v/>
      </c>
      <c r="W130" s="15">
        <f>IF(O130=3,in_pt3,IF(O130=2,in_pt2,IF(O130=1,in_pt1,IF(C130="High income",in_pt_hi,in_pt_oth))))</f>
        <v/>
      </c>
      <c r="X130" s="28">
        <f>IF(Q130&gt;0,in_kappa*(in_rise_lo+(in_rise_hi-in_rise_lo)*IF(P130="",in_rise_miss,P130)/100)*(D130+F130)*MAX(U130-in_gas_rep*T130,0)/Q130,0)</f>
        <v/>
      </c>
      <c r="Y130" s="16">
        <f>IF(IF(M130="",N130,M130)="",MAX(in_sw_floor,in_sw_miss),MAX(in_sw_floor,(IF(M130="",N130,M130)*in_hr_gas-L130*in_hr_coal)/MAX(S130-T130,0.1)))</f>
        <v/>
      </c>
      <c r="Z130" s="28">
        <f>IF(C130="Low income",in_b40_li,IF(C130="Lower middle income",in_b40_lmi,IF(C130="Upper middle income",in_b40_umi,IF(C130="High income",in_b40_hi,0.03))))</f>
        <v/>
      </c>
      <c r="AA130" s="15">
        <f>(D130+F130)/G130</f>
        <v/>
      </c>
      <c r="AB130" s="28">
        <f>100*W130*R130/V130/in_phase</f>
        <v/>
      </c>
      <c r="AC130" s="29">
        <f>100*Z130*W130*R130/V130*(1-IF(W130&gt;0,MIN(in_rebate/(W130*in_res_sh*in_q40),1),1))</f>
        <v/>
      </c>
      <c r="AD130" s="28">
        <f>IF(AA130&gt;0,100*U130*(1-W130)/(in_whole_sh*V130),0)</f>
        <v/>
      </c>
      <c r="AE130" s="28">
        <f>IF(AA130&gt;0,100*MAX(U130-R130,0)/(in_whole_sh*V130),0)</f>
        <v/>
      </c>
      <c r="AF130" s="16">
        <f>IF(AB130&gt;0,in_f1/AB130,in_cap)</f>
        <v/>
      </c>
      <c r="AG130" s="16">
        <f>IF(AC130&gt;0,in_f2/AC130,in_cap)</f>
        <v/>
      </c>
      <c r="AH130" s="16">
        <f>IF(AD130&gt;0,in_f3/AD130,in_cap)</f>
        <v/>
      </c>
      <c r="AI130" s="16">
        <f>MIN(in_cap,AF130,AG130,AH130)</f>
        <v/>
      </c>
      <c r="AJ130" s="30">
        <f>100*(1-(1-X130*(1-EXP(-((AI130)+(0))/Y130)))*(1-MIN(ABS(in_elas)*W130*R130*(AI130)/V130,1)))</f>
        <v/>
      </c>
      <c r="AK130" s="17">
        <f>IF(AI130&gt;=in_cap-1E-9,"rate cap",TRIM(IF(ABS(AI130-AF130)&lt;1E-9,"F1 ","")&amp;IF(ABS(AI130-AG130)&lt;1E-9,"F2 ","")&amp;IF(ABS(AI130-AH130)&lt;1E-9,"F3","")))</f>
        <v/>
      </c>
      <c r="AL130" s="15">
        <f>100*(1-(1-X130*(1-EXP(-((MIN(in_cap,IF(AB130&gt;0,(in_f1+1)/AB130,in_cap),AG130,AH130))+(0))/Y130)))*(1-MIN(ABS(in_elas)*W130*R130*(MIN(in_cap,IF(AB130&gt;0,(in_f1+1)/AB130,in_cap),AG130,AH130))/V130,1)))-AJ130</f>
        <v/>
      </c>
      <c r="AM130" s="16">
        <f>MIN(in_cap,IF(AE130&gt;0,in_f3/AE130,in_cap))</f>
        <v/>
      </c>
      <c r="AN130" s="30">
        <f>100*(1-(1-X130*(1-EXP(-((0)+(AM130))/Y130)))*(1-MIN(ABS(in_elas)*W130*R130*(0)/V130,1)))</f>
        <v/>
      </c>
      <c r="AO130" s="17">
        <f>IF(AM130&gt;=in_cap-1E-9,"rate cap","F3")</f>
        <v/>
      </c>
      <c r="AP130" s="15">
        <f>100*(1-(1-X130*(1-EXP(-((50)+(0))/Y130)))*(1-MIN(ABS(in_elas)*W130*R130*(50)/V130,1)))</f>
        <v/>
      </c>
      <c r="AQ130" s="15">
        <f>100*(1-(1-X130*(1-EXP(-((0)+(50))/Y130)))*(1-MIN(ABS(in_elas)*W130*R130*(0)/V130,1)))</f>
        <v/>
      </c>
      <c r="AR130" s="15">
        <f>IF(AP130&gt;0,AQ130/AP130,"")</f>
        <v/>
      </c>
      <c r="AS130" s="16">
        <f>50*AB130</f>
        <v/>
      </c>
      <c r="AT130" s="30">
        <f>MAX(BM130:BW130)</f>
        <v/>
      </c>
      <c r="AU130" s="31">
        <f>AI130*(MATCH(AT130,BM130:BW130,0)-1)/10</f>
        <v/>
      </c>
      <c r="AV130" s="31">
        <f>INDEX(BB130:BL130,1,(MATCH(AT130,BM130:BW130,0)-1)+1)</f>
        <v/>
      </c>
      <c r="AW130" s="31">
        <f>AB130*AU130</f>
        <v/>
      </c>
      <c r="AX130" s="30">
        <f>AC130*AU130</f>
        <v/>
      </c>
      <c r="AY130" s="31">
        <f>AD130*AU130+AE130*AV130</f>
        <v/>
      </c>
      <c r="AZ130" s="32">
        <f>TRIM(IF(AND(AU130&gt;0,ABS(AU130-AF130)&lt;1E-6),"F1 ","")&amp;IF(AND(AU130&gt;0,ABS(AU130-AG130)&lt;1E-6),"F2 ","")&amp;IF(AY130&gt;=in_f3-1E-6,"F3 ","")&amp;IF(AV130&gt;=in_cap-1E-9,"rate cap",""))</f>
        <v/>
      </c>
      <c r="BA130" s="31">
        <f>Q130*AT130/100</f>
        <v/>
      </c>
      <c r="BB130" s="16">
        <f>MAX(0,MIN(in_cap,IF(AE130&gt;0,(in_f3-AD130*AI130*0/10)/AE130,in_cap)))</f>
        <v/>
      </c>
      <c r="BC130" s="16">
        <f>MAX(0,MIN(in_cap,IF(AE130&gt;0,(in_f3-AD130*AI130*1/10)/AE130,in_cap)))</f>
        <v/>
      </c>
      <c r="BD130" s="16">
        <f>MAX(0,MIN(in_cap,IF(AE130&gt;0,(in_f3-AD130*AI130*2/10)/AE130,in_cap)))</f>
        <v/>
      </c>
      <c r="BE130" s="16">
        <f>MAX(0,MIN(in_cap,IF(AE130&gt;0,(in_f3-AD130*AI130*3/10)/AE130,in_cap)))</f>
        <v/>
      </c>
      <c r="BF130" s="16">
        <f>MAX(0,MIN(in_cap,IF(AE130&gt;0,(in_f3-AD130*AI130*4/10)/AE130,in_cap)))</f>
        <v/>
      </c>
      <c r="BG130" s="16">
        <f>MAX(0,MIN(in_cap,IF(AE130&gt;0,(in_f3-AD130*AI130*5/10)/AE130,in_cap)))</f>
        <v/>
      </c>
      <c r="BH130" s="16">
        <f>MAX(0,MIN(in_cap,IF(AE130&gt;0,(in_f3-AD130*AI130*6/10)/AE130,in_cap)))</f>
        <v/>
      </c>
      <c r="BI130" s="16">
        <f>MAX(0,MIN(in_cap,IF(AE130&gt;0,(in_f3-AD130*AI130*7/10)/AE130,in_cap)))</f>
        <v/>
      </c>
      <c r="BJ130" s="16">
        <f>MAX(0,MIN(in_cap,IF(AE130&gt;0,(in_f3-AD130*AI130*8/10)/AE130,in_cap)))</f>
        <v/>
      </c>
      <c r="BK130" s="16">
        <f>MAX(0,MIN(in_cap,IF(AE130&gt;0,(in_f3-AD130*AI130*9/10)/AE130,in_cap)))</f>
        <v/>
      </c>
      <c r="BL130" s="16">
        <f>MAX(0,MIN(in_cap,IF(AE130&gt;0,(in_f3-AD130*AI130*10/10)/AE130,in_cap)))</f>
        <v/>
      </c>
      <c r="BM130" s="15">
        <f>100*(1-(1-X130*(1-EXP(-((AI130*0/10)+(BB130))/Y130)))*(1-MIN(ABS(in_elas)*W130*R130*(AI130*0/10)/V130,1)))</f>
        <v/>
      </c>
      <c r="BN130" s="15">
        <f>100*(1-(1-X130*(1-EXP(-((AI130*1/10)+(BC130))/Y130)))*(1-MIN(ABS(in_elas)*W130*R130*(AI130*1/10)/V130,1)))</f>
        <v/>
      </c>
      <c r="BO130" s="15">
        <f>100*(1-(1-X130*(1-EXP(-((AI130*2/10)+(BD130))/Y130)))*(1-MIN(ABS(in_elas)*W130*R130*(AI130*2/10)/V130,1)))</f>
        <v/>
      </c>
      <c r="BP130" s="15">
        <f>100*(1-(1-X130*(1-EXP(-((AI130*3/10)+(BE130))/Y130)))*(1-MIN(ABS(in_elas)*W130*R130*(AI130*3/10)/V130,1)))</f>
        <v/>
      </c>
      <c r="BQ130" s="15">
        <f>100*(1-(1-X130*(1-EXP(-((AI130*4/10)+(BF130))/Y130)))*(1-MIN(ABS(in_elas)*W130*R130*(AI130*4/10)/V130,1)))</f>
        <v/>
      </c>
      <c r="BR130" s="15">
        <f>100*(1-(1-X130*(1-EXP(-((AI130*5/10)+(BG130))/Y130)))*(1-MIN(ABS(in_elas)*W130*R130*(AI130*5/10)/V130,1)))</f>
        <v/>
      </c>
      <c r="BS130" s="15">
        <f>100*(1-(1-X130*(1-EXP(-((AI130*6/10)+(BH130))/Y130)))*(1-MIN(ABS(in_elas)*W130*R130*(AI130*6/10)/V130,1)))</f>
        <v/>
      </c>
      <c r="BT130" s="15">
        <f>100*(1-(1-X130*(1-EXP(-((AI130*7/10)+(BI130))/Y130)))*(1-MIN(ABS(in_elas)*W130*R130*(AI130*7/10)/V130,1)))</f>
        <v/>
      </c>
      <c r="BU130" s="15">
        <f>100*(1-(1-X130*(1-EXP(-((AI130*8/10)+(BJ130))/Y130)))*(1-MIN(ABS(in_elas)*W130*R130*(AI130*8/10)/V130,1)))</f>
        <v/>
      </c>
      <c r="BV130" s="15">
        <f>100*(1-(1-X130*(1-EXP(-((AI130*9/10)+(BK130))/Y130)))*(1-MIN(ABS(in_elas)*W130*R130*(AI130*9/10)/V130,1)))</f>
        <v/>
      </c>
      <c r="BW130" s="15">
        <f>100*(1-(1-X130*(1-EXP(-((AI130*10/10)+(BL130))/Y130)))*(1-MIN(ABS(in_elas)*W130*R130*(AI130*10/10)/V130,1)))</f>
        <v/>
      </c>
    </row>
    <row r="131">
      <c r="A131" s="17" t="inlineStr">
        <is>
          <t>PRT</t>
        </is>
      </c>
      <c r="B131" s="17">
        <f>INDEX(Data!$B:$B,MATCH($A131,Data!$A:$A,0))</f>
        <v/>
      </c>
      <c r="C131" s="17">
        <f>INDEX(Data!$D:$D,MATCH($A131,Data!$A:$A,0))</f>
        <v/>
      </c>
      <c r="D131" s="16">
        <f>SUMIFS(Data!$G:$G,Data!$A:$A,$A131,Data!$F:$F,"gen_coal_twh")</f>
        <v/>
      </c>
      <c r="E131" s="16">
        <f>SUMIFS(Data!$G:$G,Data!$A:$A,$A131,Data!$F:$F,"gen_gas_twh")</f>
        <v/>
      </c>
      <c r="F131" s="16">
        <f>SUMIFS(Data!$G:$G,Data!$A:$A,$A131,Data!$F:$F,"gen_oil_twh")</f>
        <v/>
      </c>
      <c r="G131" s="16">
        <f>SUMIFS(Data!$G:$G,Data!$A:$A,$A131,Data!$F:$F,"gen_total_twh")</f>
        <v/>
      </c>
      <c r="H131" s="16">
        <f>SUMIFS(Data!$G:$G,Data!$A:$A,$A131,Data!$F:$F,"em_coal_mt")</f>
        <v/>
      </c>
      <c r="I131" s="16">
        <f>SUMIFS(Data!$G:$G,Data!$A:$A,$A131,Data!$F:$F,"em_gas_mt")</f>
        <v/>
      </c>
      <c r="J131" s="16">
        <f>SUMIFS(Data!$G:$G,Data!$A:$A,$A131,Data!$F:$F,"em_oil_mt")</f>
        <v/>
      </c>
      <c r="K131" s="28">
        <f>IF(COUNTIFS(Data!$A:$A,$A131,Data!$F:$F,"price_electricity_residential_usd_kwh")=0,"",SUMIFS(Data!$G:$G,Data!$A:$A,$A131,Data!$F:$F,"price_electricity_residential_usd_kwh"))</f>
        <v/>
      </c>
      <c r="L131" s="28">
        <f>IF(COUNTIFS(Data!$A:$A,$A131,Data!$F:$F,"price_coal_power_usd_gj")=0,"",SUMIFS(Data!$G:$G,Data!$A:$A,$A131,Data!$F:$F,"price_coal_power_usd_gj"))</f>
        <v/>
      </c>
      <c r="M131" s="28">
        <f>IF(COUNTIFS(Data!$A:$A,$A131,Data!$F:$F,"price_gas_power_usd_gj")=0,"",SUMIFS(Data!$G:$G,Data!$A:$A,$A131,Data!$F:$F,"price_gas_power_usd_gj"))</f>
        <v/>
      </c>
      <c r="N131" s="28">
        <f>IF(COUNTIFS(Data!$A:$A,$A131,Data!$F:$F,"price_gas_industry_usd_gj")=0,"",SUMIFS(Data!$G:$G,Data!$A:$A,$A131,Data!$F:$F,"price_gas_industry_usd_gj"))</f>
        <v/>
      </c>
      <c r="O131" s="28">
        <f>IF(COUNTIFS(Data!$A:$A,$A131,Data!$F:$F,"power_market_structure")=0,"",SUMIFS(Data!$G:$G,Data!$A:$A,$A131,Data!$F:$F,"power_market_structure"))</f>
        <v/>
      </c>
      <c r="P131" s="28">
        <f>IF(COUNTIFS(Data!$A:$A,$A131,Data!$F:$F,"rise_renewable_energy_score")=0,"",SUMIFS(Data!$G:$G,Data!$A:$A,$A131,Data!$F:$F,"rise_renewable_energy_score"))</f>
        <v/>
      </c>
      <c r="Q131" s="16">
        <f>H131+I131+J131</f>
        <v/>
      </c>
      <c r="R131" s="28">
        <f>Q131/G131</f>
        <v/>
      </c>
      <c r="S131" s="28">
        <f>IF(D131&gt;0,H131/D131,0.85)</f>
        <v/>
      </c>
      <c r="T131" s="28">
        <f>IF(E131&gt;0,I131/E131,0.4)</f>
        <v/>
      </c>
      <c r="U131" s="28">
        <f>IF(D131+F131&gt;0,(H131+J131)/(D131+F131),0)</f>
        <v/>
      </c>
      <c r="V131" s="16">
        <f>K131*1000</f>
        <v/>
      </c>
      <c r="W131" s="15">
        <f>IF(O131=3,in_pt3,IF(O131=2,in_pt2,IF(O131=1,in_pt1,IF(C131="High income",in_pt_hi,in_pt_oth))))</f>
        <v/>
      </c>
      <c r="X131" s="28">
        <f>IF(Q131&gt;0,in_kappa*(in_rise_lo+(in_rise_hi-in_rise_lo)*IF(P131="",in_rise_miss,P131)/100)*(D131+F131)*MAX(U131-in_gas_rep*T131,0)/Q131,0)</f>
        <v/>
      </c>
      <c r="Y131" s="16">
        <f>IF(IF(M131="",N131,M131)="",MAX(in_sw_floor,in_sw_miss),MAX(in_sw_floor,(IF(M131="",N131,M131)*in_hr_gas-L131*in_hr_coal)/MAX(S131-T131,0.1)))</f>
        <v/>
      </c>
      <c r="Z131" s="28">
        <f>IF(C131="Low income",in_b40_li,IF(C131="Lower middle income",in_b40_lmi,IF(C131="Upper middle income",in_b40_umi,IF(C131="High income",in_b40_hi,0.03))))</f>
        <v/>
      </c>
      <c r="AA131" s="15">
        <f>(D131+F131)/G131</f>
        <v/>
      </c>
      <c r="AB131" s="28">
        <f>100*W131*R131/V131/in_phase</f>
        <v/>
      </c>
      <c r="AC131" s="29">
        <f>100*Z131*W131*R131/V131*(1-IF(W131&gt;0,MIN(in_rebate/(W131*in_res_sh*in_q40),1),1))</f>
        <v/>
      </c>
      <c r="AD131" s="28">
        <f>IF(AA131&gt;0,100*U131*(1-W131)/(in_whole_sh*V131),0)</f>
        <v/>
      </c>
      <c r="AE131" s="28">
        <f>IF(AA131&gt;0,100*MAX(U131-R131,0)/(in_whole_sh*V131),0)</f>
        <v/>
      </c>
      <c r="AF131" s="16">
        <f>IF(AB131&gt;0,in_f1/AB131,in_cap)</f>
        <v/>
      </c>
      <c r="AG131" s="16">
        <f>IF(AC131&gt;0,in_f2/AC131,in_cap)</f>
        <v/>
      </c>
      <c r="AH131" s="16">
        <f>IF(AD131&gt;0,in_f3/AD131,in_cap)</f>
        <v/>
      </c>
      <c r="AI131" s="16">
        <f>MIN(in_cap,AF131,AG131,AH131)</f>
        <v/>
      </c>
      <c r="AJ131" s="30">
        <f>100*(1-(1-X131*(1-EXP(-((AI131)+(0))/Y131)))*(1-MIN(ABS(in_elas)*W131*R131*(AI131)/V131,1)))</f>
        <v/>
      </c>
      <c r="AK131" s="17">
        <f>IF(AI131&gt;=in_cap-1E-9,"rate cap",TRIM(IF(ABS(AI131-AF131)&lt;1E-9,"F1 ","")&amp;IF(ABS(AI131-AG131)&lt;1E-9,"F2 ","")&amp;IF(ABS(AI131-AH131)&lt;1E-9,"F3","")))</f>
        <v/>
      </c>
      <c r="AL131" s="15">
        <f>100*(1-(1-X131*(1-EXP(-((MIN(in_cap,IF(AB131&gt;0,(in_f1+1)/AB131,in_cap),AG131,AH131))+(0))/Y131)))*(1-MIN(ABS(in_elas)*W131*R131*(MIN(in_cap,IF(AB131&gt;0,(in_f1+1)/AB131,in_cap),AG131,AH131))/V131,1)))-AJ131</f>
        <v/>
      </c>
      <c r="AM131" s="16">
        <f>MIN(in_cap,IF(AE131&gt;0,in_f3/AE131,in_cap))</f>
        <v/>
      </c>
      <c r="AN131" s="30">
        <f>100*(1-(1-X131*(1-EXP(-((0)+(AM131))/Y131)))*(1-MIN(ABS(in_elas)*W131*R131*(0)/V131,1)))</f>
        <v/>
      </c>
      <c r="AO131" s="17">
        <f>IF(AM131&gt;=in_cap-1E-9,"rate cap","F3")</f>
        <v/>
      </c>
      <c r="AP131" s="15">
        <f>100*(1-(1-X131*(1-EXP(-((50)+(0))/Y131)))*(1-MIN(ABS(in_elas)*W131*R131*(50)/V131,1)))</f>
        <v/>
      </c>
      <c r="AQ131" s="15">
        <f>100*(1-(1-X131*(1-EXP(-((0)+(50))/Y131)))*(1-MIN(ABS(in_elas)*W131*R131*(0)/V131,1)))</f>
        <v/>
      </c>
      <c r="AR131" s="15">
        <f>IF(AP131&gt;0,AQ131/AP131,"")</f>
        <v/>
      </c>
      <c r="AS131" s="16">
        <f>50*AB131</f>
        <v/>
      </c>
      <c r="AT131" s="30">
        <f>MAX(BM131:BW131)</f>
        <v/>
      </c>
      <c r="AU131" s="31">
        <f>AI131*(MATCH(AT131,BM131:BW131,0)-1)/10</f>
        <v/>
      </c>
      <c r="AV131" s="31">
        <f>INDEX(BB131:BL131,1,(MATCH(AT131,BM131:BW131,0)-1)+1)</f>
        <v/>
      </c>
      <c r="AW131" s="31">
        <f>AB131*AU131</f>
        <v/>
      </c>
      <c r="AX131" s="30">
        <f>AC131*AU131</f>
        <v/>
      </c>
      <c r="AY131" s="31">
        <f>AD131*AU131+AE131*AV131</f>
        <v/>
      </c>
      <c r="AZ131" s="32">
        <f>TRIM(IF(AND(AU131&gt;0,ABS(AU131-AF131)&lt;1E-6),"F1 ","")&amp;IF(AND(AU131&gt;0,ABS(AU131-AG131)&lt;1E-6),"F2 ","")&amp;IF(AY131&gt;=in_f3-1E-6,"F3 ","")&amp;IF(AV131&gt;=in_cap-1E-9,"rate cap",""))</f>
        <v/>
      </c>
      <c r="BA131" s="31">
        <f>Q131*AT131/100</f>
        <v/>
      </c>
      <c r="BB131" s="16">
        <f>MAX(0,MIN(in_cap,IF(AE131&gt;0,(in_f3-AD131*AI131*0/10)/AE131,in_cap)))</f>
        <v/>
      </c>
      <c r="BC131" s="16">
        <f>MAX(0,MIN(in_cap,IF(AE131&gt;0,(in_f3-AD131*AI131*1/10)/AE131,in_cap)))</f>
        <v/>
      </c>
      <c r="BD131" s="16">
        <f>MAX(0,MIN(in_cap,IF(AE131&gt;0,(in_f3-AD131*AI131*2/10)/AE131,in_cap)))</f>
        <v/>
      </c>
      <c r="BE131" s="16">
        <f>MAX(0,MIN(in_cap,IF(AE131&gt;0,(in_f3-AD131*AI131*3/10)/AE131,in_cap)))</f>
        <v/>
      </c>
      <c r="BF131" s="16">
        <f>MAX(0,MIN(in_cap,IF(AE131&gt;0,(in_f3-AD131*AI131*4/10)/AE131,in_cap)))</f>
        <v/>
      </c>
      <c r="BG131" s="16">
        <f>MAX(0,MIN(in_cap,IF(AE131&gt;0,(in_f3-AD131*AI131*5/10)/AE131,in_cap)))</f>
        <v/>
      </c>
      <c r="BH131" s="16">
        <f>MAX(0,MIN(in_cap,IF(AE131&gt;0,(in_f3-AD131*AI131*6/10)/AE131,in_cap)))</f>
        <v/>
      </c>
      <c r="BI131" s="16">
        <f>MAX(0,MIN(in_cap,IF(AE131&gt;0,(in_f3-AD131*AI131*7/10)/AE131,in_cap)))</f>
        <v/>
      </c>
      <c r="BJ131" s="16">
        <f>MAX(0,MIN(in_cap,IF(AE131&gt;0,(in_f3-AD131*AI131*8/10)/AE131,in_cap)))</f>
        <v/>
      </c>
      <c r="BK131" s="16">
        <f>MAX(0,MIN(in_cap,IF(AE131&gt;0,(in_f3-AD131*AI131*9/10)/AE131,in_cap)))</f>
        <v/>
      </c>
      <c r="BL131" s="16">
        <f>MAX(0,MIN(in_cap,IF(AE131&gt;0,(in_f3-AD131*AI131*10/10)/AE131,in_cap)))</f>
        <v/>
      </c>
      <c r="BM131" s="15">
        <f>100*(1-(1-X131*(1-EXP(-((AI131*0/10)+(BB131))/Y131)))*(1-MIN(ABS(in_elas)*W131*R131*(AI131*0/10)/V131,1)))</f>
        <v/>
      </c>
      <c r="BN131" s="15">
        <f>100*(1-(1-X131*(1-EXP(-((AI131*1/10)+(BC131))/Y131)))*(1-MIN(ABS(in_elas)*W131*R131*(AI131*1/10)/V131,1)))</f>
        <v/>
      </c>
      <c r="BO131" s="15">
        <f>100*(1-(1-X131*(1-EXP(-((AI131*2/10)+(BD131))/Y131)))*(1-MIN(ABS(in_elas)*W131*R131*(AI131*2/10)/V131,1)))</f>
        <v/>
      </c>
      <c r="BP131" s="15">
        <f>100*(1-(1-X131*(1-EXP(-((AI131*3/10)+(BE131))/Y131)))*(1-MIN(ABS(in_elas)*W131*R131*(AI131*3/10)/V131,1)))</f>
        <v/>
      </c>
      <c r="BQ131" s="15">
        <f>100*(1-(1-X131*(1-EXP(-((AI131*4/10)+(BF131))/Y131)))*(1-MIN(ABS(in_elas)*W131*R131*(AI131*4/10)/V131,1)))</f>
        <v/>
      </c>
      <c r="BR131" s="15">
        <f>100*(1-(1-X131*(1-EXP(-((AI131*5/10)+(BG131))/Y131)))*(1-MIN(ABS(in_elas)*W131*R131*(AI131*5/10)/V131,1)))</f>
        <v/>
      </c>
      <c r="BS131" s="15">
        <f>100*(1-(1-X131*(1-EXP(-((AI131*6/10)+(BH131))/Y131)))*(1-MIN(ABS(in_elas)*W131*R131*(AI131*6/10)/V131,1)))</f>
        <v/>
      </c>
      <c r="BT131" s="15">
        <f>100*(1-(1-X131*(1-EXP(-((AI131*7/10)+(BI131))/Y131)))*(1-MIN(ABS(in_elas)*W131*R131*(AI131*7/10)/V131,1)))</f>
        <v/>
      </c>
      <c r="BU131" s="15">
        <f>100*(1-(1-X131*(1-EXP(-((AI131*8/10)+(BJ131))/Y131)))*(1-MIN(ABS(in_elas)*W131*R131*(AI131*8/10)/V131,1)))</f>
        <v/>
      </c>
      <c r="BV131" s="15">
        <f>100*(1-(1-X131*(1-EXP(-((AI131*9/10)+(BK131))/Y131)))*(1-MIN(ABS(in_elas)*W131*R131*(AI131*9/10)/V131,1)))</f>
        <v/>
      </c>
      <c r="BW131" s="15">
        <f>100*(1-(1-X131*(1-EXP(-((AI131*10/10)+(BL131))/Y131)))*(1-MIN(ABS(in_elas)*W131*R131*(AI131*10/10)/V131,1)))</f>
        <v/>
      </c>
    </row>
    <row r="132">
      <c r="A132" s="17" t="inlineStr">
        <is>
          <t>QAT</t>
        </is>
      </c>
      <c r="B132" s="17">
        <f>INDEX(Data!$B:$B,MATCH($A132,Data!$A:$A,0))</f>
        <v/>
      </c>
      <c r="C132" s="17">
        <f>INDEX(Data!$D:$D,MATCH($A132,Data!$A:$A,0))</f>
        <v/>
      </c>
      <c r="D132" s="16">
        <f>SUMIFS(Data!$G:$G,Data!$A:$A,$A132,Data!$F:$F,"gen_coal_twh")</f>
        <v/>
      </c>
      <c r="E132" s="16">
        <f>SUMIFS(Data!$G:$G,Data!$A:$A,$A132,Data!$F:$F,"gen_gas_twh")</f>
        <v/>
      </c>
      <c r="F132" s="16">
        <f>SUMIFS(Data!$G:$G,Data!$A:$A,$A132,Data!$F:$F,"gen_oil_twh")</f>
        <v/>
      </c>
      <c r="G132" s="16">
        <f>SUMIFS(Data!$G:$G,Data!$A:$A,$A132,Data!$F:$F,"gen_total_twh")</f>
        <v/>
      </c>
      <c r="H132" s="16">
        <f>SUMIFS(Data!$G:$G,Data!$A:$A,$A132,Data!$F:$F,"em_coal_mt")</f>
        <v/>
      </c>
      <c r="I132" s="16">
        <f>SUMIFS(Data!$G:$G,Data!$A:$A,$A132,Data!$F:$F,"em_gas_mt")</f>
        <v/>
      </c>
      <c r="J132" s="16">
        <f>SUMIFS(Data!$G:$G,Data!$A:$A,$A132,Data!$F:$F,"em_oil_mt")</f>
        <v/>
      </c>
      <c r="K132" s="28">
        <f>IF(COUNTIFS(Data!$A:$A,$A132,Data!$F:$F,"price_electricity_residential_usd_kwh")=0,"",SUMIFS(Data!$G:$G,Data!$A:$A,$A132,Data!$F:$F,"price_electricity_residential_usd_kwh"))</f>
        <v/>
      </c>
      <c r="L132" s="28">
        <f>IF(COUNTIFS(Data!$A:$A,$A132,Data!$F:$F,"price_coal_power_usd_gj")=0,"",SUMIFS(Data!$G:$G,Data!$A:$A,$A132,Data!$F:$F,"price_coal_power_usd_gj"))</f>
        <v/>
      </c>
      <c r="M132" s="28">
        <f>IF(COUNTIFS(Data!$A:$A,$A132,Data!$F:$F,"price_gas_power_usd_gj")=0,"",SUMIFS(Data!$G:$G,Data!$A:$A,$A132,Data!$F:$F,"price_gas_power_usd_gj"))</f>
        <v/>
      </c>
      <c r="N132" s="28">
        <f>IF(COUNTIFS(Data!$A:$A,$A132,Data!$F:$F,"price_gas_industry_usd_gj")=0,"",SUMIFS(Data!$G:$G,Data!$A:$A,$A132,Data!$F:$F,"price_gas_industry_usd_gj"))</f>
        <v/>
      </c>
      <c r="O132" s="28">
        <f>IF(COUNTIFS(Data!$A:$A,$A132,Data!$F:$F,"power_market_structure")=0,"",SUMIFS(Data!$G:$G,Data!$A:$A,$A132,Data!$F:$F,"power_market_structure"))</f>
        <v/>
      </c>
      <c r="P132" s="28">
        <f>IF(COUNTIFS(Data!$A:$A,$A132,Data!$F:$F,"rise_renewable_energy_score")=0,"",SUMIFS(Data!$G:$G,Data!$A:$A,$A132,Data!$F:$F,"rise_renewable_energy_score"))</f>
        <v/>
      </c>
      <c r="Q132" s="16">
        <f>H132+I132+J132</f>
        <v/>
      </c>
      <c r="R132" s="28">
        <f>Q132/G132</f>
        <v/>
      </c>
      <c r="S132" s="28">
        <f>IF(D132&gt;0,H132/D132,0.85)</f>
        <v/>
      </c>
      <c r="T132" s="28">
        <f>IF(E132&gt;0,I132/E132,0.4)</f>
        <v/>
      </c>
      <c r="U132" s="28">
        <f>IF(D132+F132&gt;0,(H132+J132)/(D132+F132),0)</f>
        <v/>
      </c>
      <c r="V132" s="16">
        <f>K132*1000</f>
        <v/>
      </c>
      <c r="W132" s="15">
        <f>IF(O132=3,in_pt3,IF(O132=2,in_pt2,IF(O132=1,in_pt1,IF(C132="High income",in_pt_hi,in_pt_oth))))</f>
        <v/>
      </c>
      <c r="X132" s="28">
        <f>IF(Q132&gt;0,in_kappa*(in_rise_lo+(in_rise_hi-in_rise_lo)*IF(P132="",in_rise_miss,P132)/100)*(D132+F132)*MAX(U132-in_gas_rep*T132,0)/Q132,0)</f>
        <v/>
      </c>
      <c r="Y132" s="16">
        <f>IF(IF(M132="",N132,M132)="",MAX(in_sw_floor,in_sw_miss),MAX(in_sw_floor,(IF(M132="",N132,M132)*in_hr_gas-L132*in_hr_coal)/MAX(S132-T132,0.1)))</f>
        <v/>
      </c>
      <c r="Z132" s="28">
        <f>IF(C132="Low income",in_b40_li,IF(C132="Lower middle income",in_b40_lmi,IF(C132="Upper middle income",in_b40_umi,IF(C132="High income",in_b40_hi,0.03))))</f>
        <v/>
      </c>
      <c r="AA132" s="15">
        <f>(D132+F132)/G132</f>
        <v/>
      </c>
      <c r="AB132" s="28">
        <f>100*W132*R132/V132/in_phase</f>
        <v/>
      </c>
      <c r="AC132" s="29">
        <f>100*Z132*W132*R132/V132*(1-IF(W132&gt;0,MIN(in_rebate/(W132*in_res_sh*in_q40),1),1))</f>
        <v/>
      </c>
      <c r="AD132" s="28">
        <f>IF(AA132&gt;0,100*U132*(1-W132)/(in_whole_sh*V132),0)</f>
        <v/>
      </c>
      <c r="AE132" s="28">
        <f>IF(AA132&gt;0,100*MAX(U132-R132,0)/(in_whole_sh*V132),0)</f>
        <v/>
      </c>
      <c r="AF132" s="16">
        <f>IF(AB132&gt;0,in_f1/AB132,in_cap)</f>
        <v/>
      </c>
      <c r="AG132" s="16">
        <f>IF(AC132&gt;0,in_f2/AC132,in_cap)</f>
        <v/>
      </c>
      <c r="AH132" s="16">
        <f>IF(AD132&gt;0,in_f3/AD132,in_cap)</f>
        <v/>
      </c>
      <c r="AI132" s="16">
        <f>MIN(in_cap,AF132,AG132,AH132)</f>
        <v/>
      </c>
      <c r="AJ132" s="30">
        <f>100*(1-(1-X132*(1-EXP(-((AI132)+(0))/Y132)))*(1-MIN(ABS(in_elas)*W132*R132*(AI132)/V132,1)))</f>
        <v/>
      </c>
      <c r="AK132" s="17">
        <f>IF(AI132&gt;=in_cap-1E-9,"rate cap",TRIM(IF(ABS(AI132-AF132)&lt;1E-9,"F1 ","")&amp;IF(ABS(AI132-AG132)&lt;1E-9,"F2 ","")&amp;IF(ABS(AI132-AH132)&lt;1E-9,"F3","")))</f>
        <v/>
      </c>
      <c r="AL132" s="15">
        <f>100*(1-(1-X132*(1-EXP(-((MIN(in_cap,IF(AB132&gt;0,(in_f1+1)/AB132,in_cap),AG132,AH132))+(0))/Y132)))*(1-MIN(ABS(in_elas)*W132*R132*(MIN(in_cap,IF(AB132&gt;0,(in_f1+1)/AB132,in_cap),AG132,AH132))/V132,1)))-AJ132</f>
        <v/>
      </c>
      <c r="AM132" s="16">
        <f>MIN(in_cap,IF(AE132&gt;0,in_f3/AE132,in_cap))</f>
        <v/>
      </c>
      <c r="AN132" s="30">
        <f>100*(1-(1-X132*(1-EXP(-((0)+(AM132))/Y132)))*(1-MIN(ABS(in_elas)*W132*R132*(0)/V132,1)))</f>
        <v/>
      </c>
      <c r="AO132" s="17">
        <f>IF(AM132&gt;=in_cap-1E-9,"rate cap","F3")</f>
        <v/>
      </c>
      <c r="AP132" s="15">
        <f>100*(1-(1-X132*(1-EXP(-((50)+(0))/Y132)))*(1-MIN(ABS(in_elas)*W132*R132*(50)/V132,1)))</f>
        <v/>
      </c>
      <c r="AQ132" s="15">
        <f>100*(1-(1-X132*(1-EXP(-((0)+(50))/Y132)))*(1-MIN(ABS(in_elas)*W132*R132*(0)/V132,1)))</f>
        <v/>
      </c>
      <c r="AR132" s="15">
        <f>IF(AP132&gt;0,AQ132/AP132,"")</f>
        <v/>
      </c>
      <c r="AS132" s="16">
        <f>50*AB132</f>
        <v/>
      </c>
      <c r="AT132" s="30">
        <f>MAX(BM132:BW132)</f>
        <v/>
      </c>
      <c r="AU132" s="31">
        <f>AI132*(MATCH(AT132,BM132:BW132,0)-1)/10</f>
        <v/>
      </c>
      <c r="AV132" s="31">
        <f>INDEX(BB132:BL132,1,(MATCH(AT132,BM132:BW132,0)-1)+1)</f>
        <v/>
      </c>
      <c r="AW132" s="31">
        <f>AB132*AU132</f>
        <v/>
      </c>
      <c r="AX132" s="30">
        <f>AC132*AU132</f>
        <v/>
      </c>
      <c r="AY132" s="31">
        <f>AD132*AU132+AE132*AV132</f>
        <v/>
      </c>
      <c r="AZ132" s="32">
        <f>TRIM(IF(AND(AU132&gt;0,ABS(AU132-AF132)&lt;1E-6),"F1 ","")&amp;IF(AND(AU132&gt;0,ABS(AU132-AG132)&lt;1E-6),"F2 ","")&amp;IF(AY132&gt;=in_f3-1E-6,"F3 ","")&amp;IF(AV132&gt;=in_cap-1E-9,"rate cap",""))</f>
        <v/>
      </c>
      <c r="BA132" s="31">
        <f>Q132*AT132/100</f>
        <v/>
      </c>
      <c r="BB132" s="16">
        <f>MAX(0,MIN(in_cap,IF(AE132&gt;0,(in_f3-AD132*AI132*0/10)/AE132,in_cap)))</f>
        <v/>
      </c>
      <c r="BC132" s="16">
        <f>MAX(0,MIN(in_cap,IF(AE132&gt;0,(in_f3-AD132*AI132*1/10)/AE132,in_cap)))</f>
        <v/>
      </c>
      <c r="BD132" s="16">
        <f>MAX(0,MIN(in_cap,IF(AE132&gt;0,(in_f3-AD132*AI132*2/10)/AE132,in_cap)))</f>
        <v/>
      </c>
      <c r="BE132" s="16">
        <f>MAX(0,MIN(in_cap,IF(AE132&gt;0,(in_f3-AD132*AI132*3/10)/AE132,in_cap)))</f>
        <v/>
      </c>
      <c r="BF132" s="16">
        <f>MAX(0,MIN(in_cap,IF(AE132&gt;0,(in_f3-AD132*AI132*4/10)/AE132,in_cap)))</f>
        <v/>
      </c>
      <c r="BG132" s="16">
        <f>MAX(0,MIN(in_cap,IF(AE132&gt;0,(in_f3-AD132*AI132*5/10)/AE132,in_cap)))</f>
        <v/>
      </c>
      <c r="BH132" s="16">
        <f>MAX(0,MIN(in_cap,IF(AE132&gt;0,(in_f3-AD132*AI132*6/10)/AE132,in_cap)))</f>
        <v/>
      </c>
      <c r="BI132" s="16">
        <f>MAX(0,MIN(in_cap,IF(AE132&gt;0,(in_f3-AD132*AI132*7/10)/AE132,in_cap)))</f>
        <v/>
      </c>
      <c r="BJ132" s="16">
        <f>MAX(0,MIN(in_cap,IF(AE132&gt;0,(in_f3-AD132*AI132*8/10)/AE132,in_cap)))</f>
        <v/>
      </c>
      <c r="BK132" s="16">
        <f>MAX(0,MIN(in_cap,IF(AE132&gt;0,(in_f3-AD132*AI132*9/10)/AE132,in_cap)))</f>
        <v/>
      </c>
      <c r="BL132" s="16">
        <f>MAX(0,MIN(in_cap,IF(AE132&gt;0,(in_f3-AD132*AI132*10/10)/AE132,in_cap)))</f>
        <v/>
      </c>
      <c r="BM132" s="15">
        <f>100*(1-(1-X132*(1-EXP(-((AI132*0/10)+(BB132))/Y132)))*(1-MIN(ABS(in_elas)*W132*R132*(AI132*0/10)/V132,1)))</f>
        <v/>
      </c>
      <c r="BN132" s="15">
        <f>100*(1-(1-X132*(1-EXP(-((AI132*1/10)+(BC132))/Y132)))*(1-MIN(ABS(in_elas)*W132*R132*(AI132*1/10)/V132,1)))</f>
        <v/>
      </c>
      <c r="BO132" s="15">
        <f>100*(1-(1-X132*(1-EXP(-((AI132*2/10)+(BD132))/Y132)))*(1-MIN(ABS(in_elas)*W132*R132*(AI132*2/10)/V132,1)))</f>
        <v/>
      </c>
      <c r="BP132" s="15">
        <f>100*(1-(1-X132*(1-EXP(-((AI132*3/10)+(BE132))/Y132)))*(1-MIN(ABS(in_elas)*W132*R132*(AI132*3/10)/V132,1)))</f>
        <v/>
      </c>
      <c r="BQ132" s="15">
        <f>100*(1-(1-X132*(1-EXP(-((AI132*4/10)+(BF132))/Y132)))*(1-MIN(ABS(in_elas)*W132*R132*(AI132*4/10)/V132,1)))</f>
        <v/>
      </c>
      <c r="BR132" s="15">
        <f>100*(1-(1-X132*(1-EXP(-((AI132*5/10)+(BG132))/Y132)))*(1-MIN(ABS(in_elas)*W132*R132*(AI132*5/10)/V132,1)))</f>
        <v/>
      </c>
      <c r="BS132" s="15">
        <f>100*(1-(1-X132*(1-EXP(-((AI132*6/10)+(BH132))/Y132)))*(1-MIN(ABS(in_elas)*W132*R132*(AI132*6/10)/V132,1)))</f>
        <v/>
      </c>
      <c r="BT132" s="15">
        <f>100*(1-(1-X132*(1-EXP(-((AI132*7/10)+(BI132))/Y132)))*(1-MIN(ABS(in_elas)*W132*R132*(AI132*7/10)/V132,1)))</f>
        <v/>
      </c>
      <c r="BU132" s="15">
        <f>100*(1-(1-X132*(1-EXP(-((AI132*8/10)+(BJ132))/Y132)))*(1-MIN(ABS(in_elas)*W132*R132*(AI132*8/10)/V132,1)))</f>
        <v/>
      </c>
      <c r="BV132" s="15">
        <f>100*(1-(1-X132*(1-EXP(-((AI132*9/10)+(BK132))/Y132)))*(1-MIN(ABS(in_elas)*W132*R132*(AI132*9/10)/V132,1)))</f>
        <v/>
      </c>
      <c r="BW132" s="15">
        <f>100*(1-(1-X132*(1-EXP(-((AI132*10/10)+(BL132))/Y132)))*(1-MIN(ABS(in_elas)*W132*R132*(AI132*10/10)/V132,1)))</f>
        <v/>
      </c>
    </row>
    <row r="133">
      <c r="A133" s="17" t="inlineStr">
        <is>
          <t>ROU</t>
        </is>
      </c>
      <c r="B133" s="17">
        <f>INDEX(Data!$B:$B,MATCH($A133,Data!$A:$A,0))</f>
        <v/>
      </c>
      <c r="C133" s="17">
        <f>INDEX(Data!$D:$D,MATCH($A133,Data!$A:$A,0))</f>
        <v/>
      </c>
      <c r="D133" s="16">
        <f>SUMIFS(Data!$G:$G,Data!$A:$A,$A133,Data!$F:$F,"gen_coal_twh")</f>
        <v/>
      </c>
      <c r="E133" s="16">
        <f>SUMIFS(Data!$G:$G,Data!$A:$A,$A133,Data!$F:$F,"gen_gas_twh")</f>
        <v/>
      </c>
      <c r="F133" s="16">
        <f>SUMIFS(Data!$G:$G,Data!$A:$A,$A133,Data!$F:$F,"gen_oil_twh")</f>
        <v/>
      </c>
      <c r="G133" s="16">
        <f>SUMIFS(Data!$G:$G,Data!$A:$A,$A133,Data!$F:$F,"gen_total_twh")</f>
        <v/>
      </c>
      <c r="H133" s="16">
        <f>SUMIFS(Data!$G:$G,Data!$A:$A,$A133,Data!$F:$F,"em_coal_mt")</f>
        <v/>
      </c>
      <c r="I133" s="16">
        <f>SUMIFS(Data!$G:$G,Data!$A:$A,$A133,Data!$F:$F,"em_gas_mt")</f>
        <v/>
      </c>
      <c r="J133" s="16">
        <f>SUMIFS(Data!$G:$G,Data!$A:$A,$A133,Data!$F:$F,"em_oil_mt")</f>
        <v/>
      </c>
      <c r="K133" s="28">
        <f>IF(COUNTIFS(Data!$A:$A,$A133,Data!$F:$F,"price_electricity_residential_usd_kwh")=0,"",SUMIFS(Data!$G:$G,Data!$A:$A,$A133,Data!$F:$F,"price_electricity_residential_usd_kwh"))</f>
        <v/>
      </c>
      <c r="L133" s="28">
        <f>IF(COUNTIFS(Data!$A:$A,$A133,Data!$F:$F,"price_coal_power_usd_gj")=0,"",SUMIFS(Data!$G:$G,Data!$A:$A,$A133,Data!$F:$F,"price_coal_power_usd_gj"))</f>
        <v/>
      </c>
      <c r="M133" s="28">
        <f>IF(COUNTIFS(Data!$A:$A,$A133,Data!$F:$F,"price_gas_power_usd_gj")=0,"",SUMIFS(Data!$G:$G,Data!$A:$A,$A133,Data!$F:$F,"price_gas_power_usd_gj"))</f>
        <v/>
      </c>
      <c r="N133" s="28">
        <f>IF(COUNTIFS(Data!$A:$A,$A133,Data!$F:$F,"price_gas_industry_usd_gj")=0,"",SUMIFS(Data!$G:$G,Data!$A:$A,$A133,Data!$F:$F,"price_gas_industry_usd_gj"))</f>
        <v/>
      </c>
      <c r="O133" s="28">
        <f>IF(COUNTIFS(Data!$A:$A,$A133,Data!$F:$F,"power_market_structure")=0,"",SUMIFS(Data!$G:$G,Data!$A:$A,$A133,Data!$F:$F,"power_market_structure"))</f>
        <v/>
      </c>
      <c r="P133" s="28">
        <f>IF(COUNTIFS(Data!$A:$A,$A133,Data!$F:$F,"rise_renewable_energy_score")=0,"",SUMIFS(Data!$G:$G,Data!$A:$A,$A133,Data!$F:$F,"rise_renewable_energy_score"))</f>
        <v/>
      </c>
      <c r="Q133" s="16">
        <f>H133+I133+J133</f>
        <v/>
      </c>
      <c r="R133" s="28">
        <f>Q133/G133</f>
        <v/>
      </c>
      <c r="S133" s="28">
        <f>IF(D133&gt;0,H133/D133,0.85)</f>
        <v/>
      </c>
      <c r="T133" s="28">
        <f>IF(E133&gt;0,I133/E133,0.4)</f>
        <v/>
      </c>
      <c r="U133" s="28">
        <f>IF(D133+F133&gt;0,(H133+J133)/(D133+F133),0)</f>
        <v/>
      </c>
      <c r="V133" s="16">
        <f>K133*1000</f>
        <v/>
      </c>
      <c r="W133" s="15">
        <f>IF(O133=3,in_pt3,IF(O133=2,in_pt2,IF(O133=1,in_pt1,IF(C133="High income",in_pt_hi,in_pt_oth))))</f>
        <v/>
      </c>
      <c r="X133" s="28">
        <f>IF(Q133&gt;0,in_kappa*(in_rise_lo+(in_rise_hi-in_rise_lo)*IF(P133="",in_rise_miss,P133)/100)*(D133+F133)*MAX(U133-in_gas_rep*T133,0)/Q133,0)</f>
        <v/>
      </c>
      <c r="Y133" s="16">
        <f>IF(IF(M133="",N133,M133)="",MAX(in_sw_floor,in_sw_miss),MAX(in_sw_floor,(IF(M133="",N133,M133)*in_hr_gas-L133*in_hr_coal)/MAX(S133-T133,0.1)))</f>
        <v/>
      </c>
      <c r="Z133" s="28">
        <f>IF(C133="Low income",in_b40_li,IF(C133="Lower middle income",in_b40_lmi,IF(C133="Upper middle income",in_b40_umi,IF(C133="High income",in_b40_hi,0.03))))</f>
        <v/>
      </c>
      <c r="AA133" s="15">
        <f>(D133+F133)/G133</f>
        <v/>
      </c>
      <c r="AB133" s="28">
        <f>100*W133*R133/V133/in_phase</f>
        <v/>
      </c>
      <c r="AC133" s="29">
        <f>100*Z133*W133*R133/V133*(1-IF(W133&gt;0,MIN(in_rebate/(W133*in_res_sh*in_q40),1),1))</f>
        <v/>
      </c>
      <c r="AD133" s="28">
        <f>IF(AA133&gt;0,100*U133*(1-W133)/(in_whole_sh*V133),0)</f>
        <v/>
      </c>
      <c r="AE133" s="28">
        <f>IF(AA133&gt;0,100*MAX(U133-R133,0)/(in_whole_sh*V133),0)</f>
        <v/>
      </c>
      <c r="AF133" s="16">
        <f>IF(AB133&gt;0,in_f1/AB133,in_cap)</f>
        <v/>
      </c>
      <c r="AG133" s="16">
        <f>IF(AC133&gt;0,in_f2/AC133,in_cap)</f>
        <v/>
      </c>
      <c r="AH133" s="16">
        <f>IF(AD133&gt;0,in_f3/AD133,in_cap)</f>
        <v/>
      </c>
      <c r="AI133" s="16">
        <f>MIN(in_cap,AF133,AG133,AH133)</f>
        <v/>
      </c>
      <c r="AJ133" s="30">
        <f>100*(1-(1-X133*(1-EXP(-((AI133)+(0))/Y133)))*(1-MIN(ABS(in_elas)*W133*R133*(AI133)/V133,1)))</f>
        <v/>
      </c>
      <c r="AK133" s="17">
        <f>IF(AI133&gt;=in_cap-1E-9,"rate cap",TRIM(IF(ABS(AI133-AF133)&lt;1E-9,"F1 ","")&amp;IF(ABS(AI133-AG133)&lt;1E-9,"F2 ","")&amp;IF(ABS(AI133-AH133)&lt;1E-9,"F3","")))</f>
        <v/>
      </c>
      <c r="AL133" s="15">
        <f>100*(1-(1-X133*(1-EXP(-((MIN(in_cap,IF(AB133&gt;0,(in_f1+1)/AB133,in_cap),AG133,AH133))+(0))/Y133)))*(1-MIN(ABS(in_elas)*W133*R133*(MIN(in_cap,IF(AB133&gt;0,(in_f1+1)/AB133,in_cap),AG133,AH133))/V133,1)))-AJ133</f>
        <v/>
      </c>
      <c r="AM133" s="16">
        <f>MIN(in_cap,IF(AE133&gt;0,in_f3/AE133,in_cap))</f>
        <v/>
      </c>
      <c r="AN133" s="30">
        <f>100*(1-(1-X133*(1-EXP(-((0)+(AM133))/Y133)))*(1-MIN(ABS(in_elas)*W133*R133*(0)/V133,1)))</f>
        <v/>
      </c>
      <c r="AO133" s="17">
        <f>IF(AM133&gt;=in_cap-1E-9,"rate cap","F3")</f>
        <v/>
      </c>
      <c r="AP133" s="15">
        <f>100*(1-(1-X133*(1-EXP(-((50)+(0))/Y133)))*(1-MIN(ABS(in_elas)*W133*R133*(50)/V133,1)))</f>
        <v/>
      </c>
      <c r="AQ133" s="15">
        <f>100*(1-(1-X133*(1-EXP(-((0)+(50))/Y133)))*(1-MIN(ABS(in_elas)*W133*R133*(0)/V133,1)))</f>
        <v/>
      </c>
      <c r="AR133" s="15">
        <f>IF(AP133&gt;0,AQ133/AP133,"")</f>
        <v/>
      </c>
      <c r="AS133" s="16">
        <f>50*AB133</f>
        <v/>
      </c>
      <c r="AT133" s="30">
        <f>MAX(BM133:BW133)</f>
        <v/>
      </c>
      <c r="AU133" s="31">
        <f>AI133*(MATCH(AT133,BM133:BW133,0)-1)/10</f>
        <v/>
      </c>
      <c r="AV133" s="31">
        <f>INDEX(BB133:BL133,1,(MATCH(AT133,BM133:BW133,0)-1)+1)</f>
        <v/>
      </c>
      <c r="AW133" s="31">
        <f>AB133*AU133</f>
        <v/>
      </c>
      <c r="AX133" s="30">
        <f>AC133*AU133</f>
        <v/>
      </c>
      <c r="AY133" s="31">
        <f>AD133*AU133+AE133*AV133</f>
        <v/>
      </c>
      <c r="AZ133" s="32">
        <f>TRIM(IF(AND(AU133&gt;0,ABS(AU133-AF133)&lt;1E-6),"F1 ","")&amp;IF(AND(AU133&gt;0,ABS(AU133-AG133)&lt;1E-6),"F2 ","")&amp;IF(AY133&gt;=in_f3-1E-6,"F3 ","")&amp;IF(AV133&gt;=in_cap-1E-9,"rate cap",""))</f>
        <v/>
      </c>
      <c r="BA133" s="31">
        <f>Q133*AT133/100</f>
        <v/>
      </c>
      <c r="BB133" s="16">
        <f>MAX(0,MIN(in_cap,IF(AE133&gt;0,(in_f3-AD133*AI133*0/10)/AE133,in_cap)))</f>
        <v/>
      </c>
      <c r="BC133" s="16">
        <f>MAX(0,MIN(in_cap,IF(AE133&gt;0,(in_f3-AD133*AI133*1/10)/AE133,in_cap)))</f>
        <v/>
      </c>
      <c r="BD133" s="16">
        <f>MAX(0,MIN(in_cap,IF(AE133&gt;0,(in_f3-AD133*AI133*2/10)/AE133,in_cap)))</f>
        <v/>
      </c>
      <c r="BE133" s="16">
        <f>MAX(0,MIN(in_cap,IF(AE133&gt;0,(in_f3-AD133*AI133*3/10)/AE133,in_cap)))</f>
        <v/>
      </c>
      <c r="BF133" s="16">
        <f>MAX(0,MIN(in_cap,IF(AE133&gt;0,(in_f3-AD133*AI133*4/10)/AE133,in_cap)))</f>
        <v/>
      </c>
      <c r="BG133" s="16">
        <f>MAX(0,MIN(in_cap,IF(AE133&gt;0,(in_f3-AD133*AI133*5/10)/AE133,in_cap)))</f>
        <v/>
      </c>
      <c r="BH133" s="16">
        <f>MAX(0,MIN(in_cap,IF(AE133&gt;0,(in_f3-AD133*AI133*6/10)/AE133,in_cap)))</f>
        <v/>
      </c>
      <c r="BI133" s="16">
        <f>MAX(0,MIN(in_cap,IF(AE133&gt;0,(in_f3-AD133*AI133*7/10)/AE133,in_cap)))</f>
        <v/>
      </c>
      <c r="BJ133" s="16">
        <f>MAX(0,MIN(in_cap,IF(AE133&gt;0,(in_f3-AD133*AI133*8/10)/AE133,in_cap)))</f>
        <v/>
      </c>
      <c r="BK133" s="16">
        <f>MAX(0,MIN(in_cap,IF(AE133&gt;0,(in_f3-AD133*AI133*9/10)/AE133,in_cap)))</f>
        <v/>
      </c>
      <c r="BL133" s="16">
        <f>MAX(0,MIN(in_cap,IF(AE133&gt;0,(in_f3-AD133*AI133*10/10)/AE133,in_cap)))</f>
        <v/>
      </c>
      <c r="BM133" s="15">
        <f>100*(1-(1-X133*(1-EXP(-((AI133*0/10)+(BB133))/Y133)))*(1-MIN(ABS(in_elas)*W133*R133*(AI133*0/10)/V133,1)))</f>
        <v/>
      </c>
      <c r="BN133" s="15">
        <f>100*(1-(1-X133*(1-EXP(-((AI133*1/10)+(BC133))/Y133)))*(1-MIN(ABS(in_elas)*W133*R133*(AI133*1/10)/V133,1)))</f>
        <v/>
      </c>
      <c r="BO133" s="15">
        <f>100*(1-(1-X133*(1-EXP(-((AI133*2/10)+(BD133))/Y133)))*(1-MIN(ABS(in_elas)*W133*R133*(AI133*2/10)/V133,1)))</f>
        <v/>
      </c>
      <c r="BP133" s="15">
        <f>100*(1-(1-X133*(1-EXP(-((AI133*3/10)+(BE133))/Y133)))*(1-MIN(ABS(in_elas)*W133*R133*(AI133*3/10)/V133,1)))</f>
        <v/>
      </c>
      <c r="BQ133" s="15">
        <f>100*(1-(1-X133*(1-EXP(-((AI133*4/10)+(BF133))/Y133)))*(1-MIN(ABS(in_elas)*W133*R133*(AI133*4/10)/V133,1)))</f>
        <v/>
      </c>
      <c r="BR133" s="15">
        <f>100*(1-(1-X133*(1-EXP(-((AI133*5/10)+(BG133))/Y133)))*(1-MIN(ABS(in_elas)*W133*R133*(AI133*5/10)/V133,1)))</f>
        <v/>
      </c>
      <c r="BS133" s="15">
        <f>100*(1-(1-X133*(1-EXP(-((AI133*6/10)+(BH133))/Y133)))*(1-MIN(ABS(in_elas)*W133*R133*(AI133*6/10)/V133,1)))</f>
        <v/>
      </c>
      <c r="BT133" s="15">
        <f>100*(1-(1-X133*(1-EXP(-((AI133*7/10)+(BI133))/Y133)))*(1-MIN(ABS(in_elas)*W133*R133*(AI133*7/10)/V133,1)))</f>
        <v/>
      </c>
      <c r="BU133" s="15">
        <f>100*(1-(1-X133*(1-EXP(-((AI133*8/10)+(BJ133))/Y133)))*(1-MIN(ABS(in_elas)*W133*R133*(AI133*8/10)/V133,1)))</f>
        <v/>
      </c>
      <c r="BV133" s="15">
        <f>100*(1-(1-X133*(1-EXP(-((AI133*9/10)+(BK133))/Y133)))*(1-MIN(ABS(in_elas)*W133*R133*(AI133*9/10)/V133,1)))</f>
        <v/>
      </c>
      <c r="BW133" s="15">
        <f>100*(1-(1-X133*(1-EXP(-((AI133*10/10)+(BL133))/Y133)))*(1-MIN(ABS(in_elas)*W133*R133*(AI133*10/10)/V133,1)))</f>
        <v/>
      </c>
    </row>
    <row r="134">
      <c r="A134" s="17" t="inlineStr">
        <is>
          <t>RUS</t>
        </is>
      </c>
      <c r="B134" s="17">
        <f>INDEX(Data!$B:$B,MATCH($A134,Data!$A:$A,0))</f>
        <v/>
      </c>
      <c r="C134" s="17">
        <f>INDEX(Data!$D:$D,MATCH($A134,Data!$A:$A,0))</f>
        <v/>
      </c>
      <c r="D134" s="16">
        <f>SUMIFS(Data!$G:$G,Data!$A:$A,$A134,Data!$F:$F,"gen_coal_twh")</f>
        <v/>
      </c>
      <c r="E134" s="16">
        <f>SUMIFS(Data!$G:$G,Data!$A:$A,$A134,Data!$F:$F,"gen_gas_twh")</f>
        <v/>
      </c>
      <c r="F134" s="16">
        <f>SUMIFS(Data!$G:$G,Data!$A:$A,$A134,Data!$F:$F,"gen_oil_twh")</f>
        <v/>
      </c>
      <c r="G134" s="16">
        <f>SUMIFS(Data!$G:$G,Data!$A:$A,$A134,Data!$F:$F,"gen_total_twh")</f>
        <v/>
      </c>
      <c r="H134" s="16">
        <f>SUMIFS(Data!$G:$G,Data!$A:$A,$A134,Data!$F:$F,"em_coal_mt")</f>
        <v/>
      </c>
      <c r="I134" s="16">
        <f>SUMIFS(Data!$G:$G,Data!$A:$A,$A134,Data!$F:$F,"em_gas_mt")</f>
        <v/>
      </c>
      <c r="J134" s="16">
        <f>SUMIFS(Data!$G:$G,Data!$A:$A,$A134,Data!$F:$F,"em_oil_mt")</f>
        <v/>
      </c>
      <c r="K134" s="28">
        <f>IF(COUNTIFS(Data!$A:$A,$A134,Data!$F:$F,"price_electricity_residential_usd_kwh")=0,"",SUMIFS(Data!$G:$G,Data!$A:$A,$A134,Data!$F:$F,"price_electricity_residential_usd_kwh"))</f>
        <v/>
      </c>
      <c r="L134" s="28">
        <f>IF(COUNTIFS(Data!$A:$A,$A134,Data!$F:$F,"price_coal_power_usd_gj")=0,"",SUMIFS(Data!$G:$G,Data!$A:$A,$A134,Data!$F:$F,"price_coal_power_usd_gj"))</f>
        <v/>
      </c>
      <c r="M134" s="28">
        <f>IF(COUNTIFS(Data!$A:$A,$A134,Data!$F:$F,"price_gas_power_usd_gj")=0,"",SUMIFS(Data!$G:$G,Data!$A:$A,$A134,Data!$F:$F,"price_gas_power_usd_gj"))</f>
        <v/>
      </c>
      <c r="N134" s="28">
        <f>IF(COUNTIFS(Data!$A:$A,$A134,Data!$F:$F,"price_gas_industry_usd_gj")=0,"",SUMIFS(Data!$G:$G,Data!$A:$A,$A134,Data!$F:$F,"price_gas_industry_usd_gj"))</f>
        <v/>
      </c>
      <c r="O134" s="28">
        <f>IF(COUNTIFS(Data!$A:$A,$A134,Data!$F:$F,"power_market_structure")=0,"",SUMIFS(Data!$G:$G,Data!$A:$A,$A134,Data!$F:$F,"power_market_structure"))</f>
        <v/>
      </c>
      <c r="P134" s="28">
        <f>IF(COUNTIFS(Data!$A:$A,$A134,Data!$F:$F,"rise_renewable_energy_score")=0,"",SUMIFS(Data!$G:$G,Data!$A:$A,$A134,Data!$F:$F,"rise_renewable_energy_score"))</f>
        <v/>
      </c>
      <c r="Q134" s="16">
        <f>H134+I134+J134</f>
        <v/>
      </c>
      <c r="R134" s="28">
        <f>Q134/G134</f>
        <v/>
      </c>
      <c r="S134" s="28">
        <f>IF(D134&gt;0,H134/D134,0.85)</f>
        <v/>
      </c>
      <c r="T134" s="28">
        <f>IF(E134&gt;0,I134/E134,0.4)</f>
        <v/>
      </c>
      <c r="U134" s="28">
        <f>IF(D134+F134&gt;0,(H134+J134)/(D134+F134),0)</f>
        <v/>
      </c>
      <c r="V134" s="16">
        <f>K134*1000</f>
        <v/>
      </c>
      <c r="W134" s="15">
        <f>IF(O134=3,in_pt3,IF(O134=2,in_pt2,IF(O134=1,in_pt1,IF(C134="High income",in_pt_hi,in_pt_oth))))</f>
        <v/>
      </c>
      <c r="X134" s="28">
        <f>IF(Q134&gt;0,in_kappa*(in_rise_lo+(in_rise_hi-in_rise_lo)*IF(P134="",in_rise_miss,P134)/100)*(D134+F134)*MAX(U134-in_gas_rep*T134,0)/Q134,0)</f>
        <v/>
      </c>
      <c r="Y134" s="16">
        <f>IF(IF(M134="",N134,M134)="",MAX(in_sw_floor,in_sw_miss),MAX(in_sw_floor,(IF(M134="",N134,M134)*in_hr_gas-L134*in_hr_coal)/MAX(S134-T134,0.1)))</f>
        <v/>
      </c>
      <c r="Z134" s="28">
        <f>IF(C134="Low income",in_b40_li,IF(C134="Lower middle income",in_b40_lmi,IF(C134="Upper middle income",in_b40_umi,IF(C134="High income",in_b40_hi,0.03))))</f>
        <v/>
      </c>
      <c r="AA134" s="15">
        <f>(D134+F134)/G134</f>
        <v/>
      </c>
      <c r="AB134" s="28">
        <f>100*W134*R134/V134/in_phase</f>
        <v/>
      </c>
      <c r="AC134" s="29">
        <f>100*Z134*W134*R134/V134*(1-IF(W134&gt;0,MIN(in_rebate/(W134*in_res_sh*in_q40),1),1))</f>
        <v/>
      </c>
      <c r="AD134" s="28">
        <f>IF(AA134&gt;0,100*U134*(1-W134)/(in_whole_sh*V134),0)</f>
        <v/>
      </c>
      <c r="AE134" s="28">
        <f>IF(AA134&gt;0,100*MAX(U134-R134,0)/(in_whole_sh*V134),0)</f>
        <v/>
      </c>
      <c r="AF134" s="16">
        <f>IF(AB134&gt;0,in_f1/AB134,in_cap)</f>
        <v/>
      </c>
      <c r="AG134" s="16">
        <f>IF(AC134&gt;0,in_f2/AC134,in_cap)</f>
        <v/>
      </c>
      <c r="AH134" s="16">
        <f>IF(AD134&gt;0,in_f3/AD134,in_cap)</f>
        <v/>
      </c>
      <c r="AI134" s="16">
        <f>MIN(in_cap,AF134,AG134,AH134)</f>
        <v/>
      </c>
      <c r="AJ134" s="30">
        <f>100*(1-(1-X134*(1-EXP(-((AI134)+(0))/Y134)))*(1-MIN(ABS(in_elas)*W134*R134*(AI134)/V134,1)))</f>
        <v/>
      </c>
      <c r="AK134" s="17">
        <f>IF(AI134&gt;=in_cap-1E-9,"rate cap",TRIM(IF(ABS(AI134-AF134)&lt;1E-9,"F1 ","")&amp;IF(ABS(AI134-AG134)&lt;1E-9,"F2 ","")&amp;IF(ABS(AI134-AH134)&lt;1E-9,"F3","")))</f>
        <v/>
      </c>
      <c r="AL134" s="15">
        <f>100*(1-(1-X134*(1-EXP(-((MIN(in_cap,IF(AB134&gt;0,(in_f1+1)/AB134,in_cap),AG134,AH134))+(0))/Y134)))*(1-MIN(ABS(in_elas)*W134*R134*(MIN(in_cap,IF(AB134&gt;0,(in_f1+1)/AB134,in_cap),AG134,AH134))/V134,1)))-AJ134</f>
        <v/>
      </c>
      <c r="AM134" s="16">
        <f>MIN(in_cap,IF(AE134&gt;0,in_f3/AE134,in_cap))</f>
        <v/>
      </c>
      <c r="AN134" s="30">
        <f>100*(1-(1-X134*(1-EXP(-((0)+(AM134))/Y134)))*(1-MIN(ABS(in_elas)*W134*R134*(0)/V134,1)))</f>
        <v/>
      </c>
      <c r="AO134" s="17">
        <f>IF(AM134&gt;=in_cap-1E-9,"rate cap","F3")</f>
        <v/>
      </c>
      <c r="AP134" s="15">
        <f>100*(1-(1-X134*(1-EXP(-((50)+(0))/Y134)))*(1-MIN(ABS(in_elas)*W134*R134*(50)/V134,1)))</f>
        <v/>
      </c>
      <c r="AQ134" s="15">
        <f>100*(1-(1-X134*(1-EXP(-((0)+(50))/Y134)))*(1-MIN(ABS(in_elas)*W134*R134*(0)/V134,1)))</f>
        <v/>
      </c>
      <c r="AR134" s="15">
        <f>IF(AP134&gt;0,AQ134/AP134,"")</f>
        <v/>
      </c>
      <c r="AS134" s="16">
        <f>50*AB134</f>
        <v/>
      </c>
      <c r="AT134" s="30">
        <f>MAX(BM134:BW134)</f>
        <v/>
      </c>
      <c r="AU134" s="31">
        <f>AI134*(MATCH(AT134,BM134:BW134,0)-1)/10</f>
        <v/>
      </c>
      <c r="AV134" s="31">
        <f>INDEX(BB134:BL134,1,(MATCH(AT134,BM134:BW134,0)-1)+1)</f>
        <v/>
      </c>
      <c r="AW134" s="31">
        <f>AB134*AU134</f>
        <v/>
      </c>
      <c r="AX134" s="30">
        <f>AC134*AU134</f>
        <v/>
      </c>
      <c r="AY134" s="31">
        <f>AD134*AU134+AE134*AV134</f>
        <v/>
      </c>
      <c r="AZ134" s="32">
        <f>TRIM(IF(AND(AU134&gt;0,ABS(AU134-AF134)&lt;1E-6),"F1 ","")&amp;IF(AND(AU134&gt;0,ABS(AU134-AG134)&lt;1E-6),"F2 ","")&amp;IF(AY134&gt;=in_f3-1E-6,"F3 ","")&amp;IF(AV134&gt;=in_cap-1E-9,"rate cap",""))</f>
        <v/>
      </c>
      <c r="BA134" s="31">
        <f>Q134*AT134/100</f>
        <v/>
      </c>
      <c r="BB134" s="16">
        <f>MAX(0,MIN(in_cap,IF(AE134&gt;0,(in_f3-AD134*AI134*0/10)/AE134,in_cap)))</f>
        <v/>
      </c>
      <c r="BC134" s="16">
        <f>MAX(0,MIN(in_cap,IF(AE134&gt;0,(in_f3-AD134*AI134*1/10)/AE134,in_cap)))</f>
        <v/>
      </c>
      <c r="BD134" s="16">
        <f>MAX(0,MIN(in_cap,IF(AE134&gt;0,(in_f3-AD134*AI134*2/10)/AE134,in_cap)))</f>
        <v/>
      </c>
      <c r="BE134" s="16">
        <f>MAX(0,MIN(in_cap,IF(AE134&gt;0,(in_f3-AD134*AI134*3/10)/AE134,in_cap)))</f>
        <v/>
      </c>
      <c r="BF134" s="16">
        <f>MAX(0,MIN(in_cap,IF(AE134&gt;0,(in_f3-AD134*AI134*4/10)/AE134,in_cap)))</f>
        <v/>
      </c>
      <c r="BG134" s="16">
        <f>MAX(0,MIN(in_cap,IF(AE134&gt;0,(in_f3-AD134*AI134*5/10)/AE134,in_cap)))</f>
        <v/>
      </c>
      <c r="BH134" s="16">
        <f>MAX(0,MIN(in_cap,IF(AE134&gt;0,(in_f3-AD134*AI134*6/10)/AE134,in_cap)))</f>
        <v/>
      </c>
      <c r="BI134" s="16">
        <f>MAX(0,MIN(in_cap,IF(AE134&gt;0,(in_f3-AD134*AI134*7/10)/AE134,in_cap)))</f>
        <v/>
      </c>
      <c r="BJ134" s="16">
        <f>MAX(0,MIN(in_cap,IF(AE134&gt;0,(in_f3-AD134*AI134*8/10)/AE134,in_cap)))</f>
        <v/>
      </c>
      <c r="BK134" s="16">
        <f>MAX(0,MIN(in_cap,IF(AE134&gt;0,(in_f3-AD134*AI134*9/10)/AE134,in_cap)))</f>
        <v/>
      </c>
      <c r="BL134" s="16">
        <f>MAX(0,MIN(in_cap,IF(AE134&gt;0,(in_f3-AD134*AI134*10/10)/AE134,in_cap)))</f>
        <v/>
      </c>
      <c r="BM134" s="15">
        <f>100*(1-(1-X134*(1-EXP(-((AI134*0/10)+(BB134))/Y134)))*(1-MIN(ABS(in_elas)*W134*R134*(AI134*0/10)/V134,1)))</f>
        <v/>
      </c>
      <c r="BN134" s="15">
        <f>100*(1-(1-X134*(1-EXP(-((AI134*1/10)+(BC134))/Y134)))*(1-MIN(ABS(in_elas)*W134*R134*(AI134*1/10)/V134,1)))</f>
        <v/>
      </c>
      <c r="BO134" s="15">
        <f>100*(1-(1-X134*(1-EXP(-((AI134*2/10)+(BD134))/Y134)))*(1-MIN(ABS(in_elas)*W134*R134*(AI134*2/10)/V134,1)))</f>
        <v/>
      </c>
      <c r="BP134" s="15">
        <f>100*(1-(1-X134*(1-EXP(-((AI134*3/10)+(BE134))/Y134)))*(1-MIN(ABS(in_elas)*W134*R134*(AI134*3/10)/V134,1)))</f>
        <v/>
      </c>
      <c r="BQ134" s="15">
        <f>100*(1-(1-X134*(1-EXP(-((AI134*4/10)+(BF134))/Y134)))*(1-MIN(ABS(in_elas)*W134*R134*(AI134*4/10)/V134,1)))</f>
        <v/>
      </c>
      <c r="BR134" s="15">
        <f>100*(1-(1-X134*(1-EXP(-((AI134*5/10)+(BG134))/Y134)))*(1-MIN(ABS(in_elas)*W134*R134*(AI134*5/10)/V134,1)))</f>
        <v/>
      </c>
      <c r="BS134" s="15">
        <f>100*(1-(1-X134*(1-EXP(-((AI134*6/10)+(BH134))/Y134)))*(1-MIN(ABS(in_elas)*W134*R134*(AI134*6/10)/V134,1)))</f>
        <v/>
      </c>
      <c r="BT134" s="15">
        <f>100*(1-(1-X134*(1-EXP(-((AI134*7/10)+(BI134))/Y134)))*(1-MIN(ABS(in_elas)*W134*R134*(AI134*7/10)/V134,1)))</f>
        <v/>
      </c>
      <c r="BU134" s="15">
        <f>100*(1-(1-X134*(1-EXP(-((AI134*8/10)+(BJ134))/Y134)))*(1-MIN(ABS(in_elas)*W134*R134*(AI134*8/10)/V134,1)))</f>
        <v/>
      </c>
      <c r="BV134" s="15">
        <f>100*(1-(1-X134*(1-EXP(-((AI134*9/10)+(BK134))/Y134)))*(1-MIN(ABS(in_elas)*W134*R134*(AI134*9/10)/V134,1)))</f>
        <v/>
      </c>
      <c r="BW134" s="15">
        <f>100*(1-(1-X134*(1-EXP(-((AI134*10/10)+(BL134))/Y134)))*(1-MIN(ABS(in_elas)*W134*R134*(AI134*10/10)/V134,1)))</f>
        <v/>
      </c>
    </row>
    <row r="135">
      <c r="A135" s="17" t="inlineStr">
        <is>
          <t>RWA</t>
        </is>
      </c>
      <c r="B135" s="17">
        <f>INDEX(Data!$B:$B,MATCH($A135,Data!$A:$A,0))</f>
        <v/>
      </c>
      <c r="C135" s="17">
        <f>INDEX(Data!$D:$D,MATCH($A135,Data!$A:$A,0))</f>
        <v/>
      </c>
      <c r="D135" s="16">
        <f>SUMIFS(Data!$G:$G,Data!$A:$A,$A135,Data!$F:$F,"gen_coal_twh")</f>
        <v/>
      </c>
      <c r="E135" s="16">
        <f>SUMIFS(Data!$G:$G,Data!$A:$A,$A135,Data!$F:$F,"gen_gas_twh")</f>
        <v/>
      </c>
      <c r="F135" s="16">
        <f>SUMIFS(Data!$G:$G,Data!$A:$A,$A135,Data!$F:$F,"gen_oil_twh")</f>
        <v/>
      </c>
      <c r="G135" s="16">
        <f>SUMIFS(Data!$G:$G,Data!$A:$A,$A135,Data!$F:$F,"gen_total_twh")</f>
        <v/>
      </c>
      <c r="H135" s="16">
        <f>SUMIFS(Data!$G:$G,Data!$A:$A,$A135,Data!$F:$F,"em_coal_mt")</f>
        <v/>
      </c>
      <c r="I135" s="16">
        <f>SUMIFS(Data!$G:$G,Data!$A:$A,$A135,Data!$F:$F,"em_gas_mt")</f>
        <v/>
      </c>
      <c r="J135" s="16">
        <f>SUMIFS(Data!$G:$G,Data!$A:$A,$A135,Data!$F:$F,"em_oil_mt")</f>
        <v/>
      </c>
      <c r="K135" s="28">
        <f>IF(COUNTIFS(Data!$A:$A,$A135,Data!$F:$F,"price_electricity_residential_usd_kwh")=0,"",SUMIFS(Data!$G:$G,Data!$A:$A,$A135,Data!$F:$F,"price_electricity_residential_usd_kwh"))</f>
        <v/>
      </c>
      <c r="L135" s="28">
        <f>IF(COUNTIFS(Data!$A:$A,$A135,Data!$F:$F,"price_coal_power_usd_gj")=0,"",SUMIFS(Data!$G:$G,Data!$A:$A,$A135,Data!$F:$F,"price_coal_power_usd_gj"))</f>
        <v/>
      </c>
      <c r="M135" s="28">
        <f>IF(COUNTIFS(Data!$A:$A,$A135,Data!$F:$F,"price_gas_power_usd_gj")=0,"",SUMIFS(Data!$G:$G,Data!$A:$A,$A135,Data!$F:$F,"price_gas_power_usd_gj"))</f>
        <v/>
      </c>
      <c r="N135" s="28">
        <f>IF(COUNTIFS(Data!$A:$A,$A135,Data!$F:$F,"price_gas_industry_usd_gj")=0,"",SUMIFS(Data!$G:$G,Data!$A:$A,$A135,Data!$F:$F,"price_gas_industry_usd_gj"))</f>
        <v/>
      </c>
      <c r="O135" s="28">
        <f>IF(COUNTIFS(Data!$A:$A,$A135,Data!$F:$F,"power_market_structure")=0,"",SUMIFS(Data!$G:$G,Data!$A:$A,$A135,Data!$F:$F,"power_market_structure"))</f>
        <v/>
      </c>
      <c r="P135" s="28">
        <f>IF(COUNTIFS(Data!$A:$A,$A135,Data!$F:$F,"rise_renewable_energy_score")=0,"",SUMIFS(Data!$G:$G,Data!$A:$A,$A135,Data!$F:$F,"rise_renewable_energy_score"))</f>
        <v/>
      </c>
      <c r="Q135" s="16">
        <f>H135+I135+J135</f>
        <v/>
      </c>
      <c r="R135" s="28">
        <f>Q135/G135</f>
        <v/>
      </c>
      <c r="S135" s="28">
        <f>IF(D135&gt;0,H135/D135,0.85)</f>
        <v/>
      </c>
      <c r="T135" s="28">
        <f>IF(E135&gt;0,I135/E135,0.4)</f>
        <v/>
      </c>
      <c r="U135" s="28">
        <f>IF(D135+F135&gt;0,(H135+J135)/(D135+F135),0)</f>
        <v/>
      </c>
      <c r="V135" s="16">
        <f>K135*1000</f>
        <v/>
      </c>
      <c r="W135" s="15">
        <f>IF(O135=3,in_pt3,IF(O135=2,in_pt2,IF(O135=1,in_pt1,IF(C135="High income",in_pt_hi,in_pt_oth))))</f>
        <v/>
      </c>
      <c r="X135" s="28">
        <f>IF(Q135&gt;0,in_kappa*(in_rise_lo+(in_rise_hi-in_rise_lo)*IF(P135="",in_rise_miss,P135)/100)*(D135+F135)*MAX(U135-in_gas_rep*T135,0)/Q135,0)</f>
        <v/>
      </c>
      <c r="Y135" s="16">
        <f>IF(IF(M135="",N135,M135)="",MAX(in_sw_floor,in_sw_miss),MAX(in_sw_floor,(IF(M135="",N135,M135)*in_hr_gas-L135*in_hr_coal)/MAX(S135-T135,0.1)))</f>
        <v/>
      </c>
      <c r="Z135" s="28">
        <f>IF(C135="Low income",in_b40_li,IF(C135="Lower middle income",in_b40_lmi,IF(C135="Upper middle income",in_b40_umi,IF(C135="High income",in_b40_hi,0.03))))</f>
        <v/>
      </c>
      <c r="AA135" s="15">
        <f>(D135+F135)/G135</f>
        <v/>
      </c>
      <c r="AB135" s="28">
        <f>100*W135*R135/V135/in_phase</f>
        <v/>
      </c>
      <c r="AC135" s="29">
        <f>100*Z135*W135*R135/V135*(1-IF(W135&gt;0,MIN(in_rebate/(W135*in_res_sh*in_q40),1),1))</f>
        <v/>
      </c>
      <c r="AD135" s="28">
        <f>IF(AA135&gt;0,100*U135*(1-W135)/(in_whole_sh*V135),0)</f>
        <v/>
      </c>
      <c r="AE135" s="28">
        <f>IF(AA135&gt;0,100*MAX(U135-R135,0)/(in_whole_sh*V135),0)</f>
        <v/>
      </c>
      <c r="AF135" s="16">
        <f>IF(AB135&gt;0,in_f1/AB135,in_cap)</f>
        <v/>
      </c>
      <c r="AG135" s="16">
        <f>IF(AC135&gt;0,in_f2/AC135,in_cap)</f>
        <v/>
      </c>
      <c r="AH135" s="16">
        <f>IF(AD135&gt;0,in_f3/AD135,in_cap)</f>
        <v/>
      </c>
      <c r="AI135" s="16">
        <f>MIN(in_cap,AF135,AG135,AH135)</f>
        <v/>
      </c>
      <c r="AJ135" s="30">
        <f>100*(1-(1-X135*(1-EXP(-((AI135)+(0))/Y135)))*(1-MIN(ABS(in_elas)*W135*R135*(AI135)/V135,1)))</f>
        <v/>
      </c>
      <c r="AK135" s="17">
        <f>IF(AI135&gt;=in_cap-1E-9,"rate cap",TRIM(IF(ABS(AI135-AF135)&lt;1E-9,"F1 ","")&amp;IF(ABS(AI135-AG135)&lt;1E-9,"F2 ","")&amp;IF(ABS(AI135-AH135)&lt;1E-9,"F3","")))</f>
        <v/>
      </c>
      <c r="AL135" s="15">
        <f>100*(1-(1-X135*(1-EXP(-((MIN(in_cap,IF(AB135&gt;0,(in_f1+1)/AB135,in_cap),AG135,AH135))+(0))/Y135)))*(1-MIN(ABS(in_elas)*W135*R135*(MIN(in_cap,IF(AB135&gt;0,(in_f1+1)/AB135,in_cap),AG135,AH135))/V135,1)))-AJ135</f>
        <v/>
      </c>
      <c r="AM135" s="16">
        <f>MIN(in_cap,IF(AE135&gt;0,in_f3/AE135,in_cap))</f>
        <v/>
      </c>
      <c r="AN135" s="30">
        <f>100*(1-(1-X135*(1-EXP(-((0)+(AM135))/Y135)))*(1-MIN(ABS(in_elas)*W135*R135*(0)/V135,1)))</f>
        <v/>
      </c>
      <c r="AO135" s="17">
        <f>IF(AM135&gt;=in_cap-1E-9,"rate cap","F3")</f>
        <v/>
      </c>
      <c r="AP135" s="15">
        <f>100*(1-(1-X135*(1-EXP(-((50)+(0))/Y135)))*(1-MIN(ABS(in_elas)*W135*R135*(50)/V135,1)))</f>
        <v/>
      </c>
      <c r="AQ135" s="15">
        <f>100*(1-(1-X135*(1-EXP(-((0)+(50))/Y135)))*(1-MIN(ABS(in_elas)*W135*R135*(0)/V135,1)))</f>
        <v/>
      </c>
      <c r="AR135" s="15">
        <f>IF(AP135&gt;0,AQ135/AP135,"")</f>
        <v/>
      </c>
      <c r="AS135" s="16">
        <f>50*AB135</f>
        <v/>
      </c>
      <c r="AT135" s="30">
        <f>MAX(BM135:BW135)</f>
        <v/>
      </c>
      <c r="AU135" s="31">
        <f>AI135*(MATCH(AT135,BM135:BW135,0)-1)/10</f>
        <v/>
      </c>
      <c r="AV135" s="31">
        <f>INDEX(BB135:BL135,1,(MATCH(AT135,BM135:BW135,0)-1)+1)</f>
        <v/>
      </c>
      <c r="AW135" s="31">
        <f>AB135*AU135</f>
        <v/>
      </c>
      <c r="AX135" s="30">
        <f>AC135*AU135</f>
        <v/>
      </c>
      <c r="AY135" s="31">
        <f>AD135*AU135+AE135*AV135</f>
        <v/>
      </c>
      <c r="AZ135" s="32">
        <f>TRIM(IF(AND(AU135&gt;0,ABS(AU135-AF135)&lt;1E-6),"F1 ","")&amp;IF(AND(AU135&gt;0,ABS(AU135-AG135)&lt;1E-6),"F2 ","")&amp;IF(AY135&gt;=in_f3-1E-6,"F3 ","")&amp;IF(AV135&gt;=in_cap-1E-9,"rate cap",""))</f>
        <v/>
      </c>
      <c r="BA135" s="31">
        <f>Q135*AT135/100</f>
        <v/>
      </c>
      <c r="BB135" s="16">
        <f>MAX(0,MIN(in_cap,IF(AE135&gt;0,(in_f3-AD135*AI135*0/10)/AE135,in_cap)))</f>
        <v/>
      </c>
      <c r="BC135" s="16">
        <f>MAX(0,MIN(in_cap,IF(AE135&gt;0,(in_f3-AD135*AI135*1/10)/AE135,in_cap)))</f>
        <v/>
      </c>
      <c r="BD135" s="16">
        <f>MAX(0,MIN(in_cap,IF(AE135&gt;0,(in_f3-AD135*AI135*2/10)/AE135,in_cap)))</f>
        <v/>
      </c>
      <c r="BE135" s="16">
        <f>MAX(0,MIN(in_cap,IF(AE135&gt;0,(in_f3-AD135*AI135*3/10)/AE135,in_cap)))</f>
        <v/>
      </c>
      <c r="BF135" s="16">
        <f>MAX(0,MIN(in_cap,IF(AE135&gt;0,(in_f3-AD135*AI135*4/10)/AE135,in_cap)))</f>
        <v/>
      </c>
      <c r="BG135" s="16">
        <f>MAX(0,MIN(in_cap,IF(AE135&gt;0,(in_f3-AD135*AI135*5/10)/AE135,in_cap)))</f>
        <v/>
      </c>
      <c r="BH135" s="16">
        <f>MAX(0,MIN(in_cap,IF(AE135&gt;0,(in_f3-AD135*AI135*6/10)/AE135,in_cap)))</f>
        <v/>
      </c>
      <c r="BI135" s="16">
        <f>MAX(0,MIN(in_cap,IF(AE135&gt;0,(in_f3-AD135*AI135*7/10)/AE135,in_cap)))</f>
        <v/>
      </c>
      <c r="BJ135" s="16">
        <f>MAX(0,MIN(in_cap,IF(AE135&gt;0,(in_f3-AD135*AI135*8/10)/AE135,in_cap)))</f>
        <v/>
      </c>
      <c r="BK135" s="16">
        <f>MAX(0,MIN(in_cap,IF(AE135&gt;0,(in_f3-AD135*AI135*9/10)/AE135,in_cap)))</f>
        <v/>
      </c>
      <c r="BL135" s="16">
        <f>MAX(0,MIN(in_cap,IF(AE135&gt;0,(in_f3-AD135*AI135*10/10)/AE135,in_cap)))</f>
        <v/>
      </c>
      <c r="BM135" s="15">
        <f>100*(1-(1-X135*(1-EXP(-((AI135*0/10)+(BB135))/Y135)))*(1-MIN(ABS(in_elas)*W135*R135*(AI135*0/10)/V135,1)))</f>
        <v/>
      </c>
      <c r="BN135" s="15">
        <f>100*(1-(1-X135*(1-EXP(-((AI135*1/10)+(BC135))/Y135)))*(1-MIN(ABS(in_elas)*W135*R135*(AI135*1/10)/V135,1)))</f>
        <v/>
      </c>
      <c r="BO135" s="15">
        <f>100*(1-(1-X135*(1-EXP(-((AI135*2/10)+(BD135))/Y135)))*(1-MIN(ABS(in_elas)*W135*R135*(AI135*2/10)/V135,1)))</f>
        <v/>
      </c>
      <c r="BP135" s="15">
        <f>100*(1-(1-X135*(1-EXP(-((AI135*3/10)+(BE135))/Y135)))*(1-MIN(ABS(in_elas)*W135*R135*(AI135*3/10)/V135,1)))</f>
        <v/>
      </c>
      <c r="BQ135" s="15">
        <f>100*(1-(1-X135*(1-EXP(-((AI135*4/10)+(BF135))/Y135)))*(1-MIN(ABS(in_elas)*W135*R135*(AI135*4/10)/V135,1)))</f>
        <v/>
      </c>
      <c r="BR135" s="15">
        <f>100*(1-(1-X135*(1-EXP(-((AI135*5/10)+(BG135))/Y135)))*(1-MIN(ABS(in_elas)*W135*R135*(AI135*5/10)/V135,1)))</f>
        <v/>
      </c>
      <c r="BS135" s="15">
        <f>100*(1-(1-X135*(1-EXP(-((AI135*6/10)+(BH135))/Y135)))*(1-MIN(ABS(in_elas)*W135*R135*(AI135*6/10)/V135,1)))</f>
        <v/>
      </c>
      <c r="BT135" s="15">
        <f>100*(1-(1-X135*(1-EXP(-((AI135*7/10)+(BI135))/Y135)))*(1-MIN(ABS(in_elas)*W135*R135*(AI135*7/10)/V135,1)))</f>
        <v/>
      </c>
      <c r="BU135" s="15">
        <f>100*(1-(1-X135*(1-EXP(-((AI135*8/10)+(BJ135))/Y135)))*(1-MIN(ABS(in_elas)*W135*R135*(AI135*8/10)/V135,1)))</f>
        <v/>
      </c>
      <c r="BV135" s="15">
        <f>100*(1-(1-X135*(1-EXP(-((AI135*9/10)+(BK135))/Y135)))*(1-MIN(ABS(in_elas)*W135*R135*(AI135*9/10)/V135,1)))</f>
        <v/>
      </c>
      <c r="BW135" s="15">
        <f>100*(1-(1-X135*(1-EXP(-((AI135*10/10)+(BL135))/Y135)))*(1-MIN(ABS(in_elas)*W135*R135*(AI135*10/10)/V135,1)))</f>
        <v/>
      </c>
    </row>
    <row r="136">
      <c r="A136" s="17" t="inlineStr">
        <is>
          <t>SAU</t>
        </is>
      </c>
      <c r="B136" s="17">
        <f>INDEX(Data!$B:$B,MATCH($A136,Data!$A:$A,0))</f>
        <v/>
      </c>
      <c r="C136" s="17">
        <f>INDEX(Data!$D:$D,MATCH($A136,Data!$A:$A,0))</f>
        <v/>
      </c>
      <c r="D136" s="16">
        <f>SUMIFS(Data!$G:$G,Data!$A:$A,$A136,Data!$F:$F,"gen_coal_twh")</f>
        <v/>
      </c>
      <c r="E136" s="16">
        <f>SUMIFS(Data!$G:$G,Data!$A:$A,$A136,Data!$F:$F,"gen_gas_twh")</f>
        <v/>
      </c>
      <c r="F136" s="16">
        <f>SUMIFS(Data!$G:$G,Data!$A:$A,$A136,Data!$F:$F,"gen_oil_twh")</f>
        <v/>
      </c>
      <c r="G136" s="16">
        <f>SUMIFS(Data!$G:$G,Data!$A:$A,$A136,Data!$F:$F,"gen_total_twh")</f>
        <v/>
      </c>
      <c r="H136" s="16">
        <f>SUMIFS(Data!$G:$G,Data!$A:$A,$A136,Data!$F:$F,"em_coal_mt")</f>
        <v/>
      </c>
      <c r="I136" s="16">
        <f>SUMIFS(Data!$G:$G,Data!$A:$A,$A136,Data!$F:$F,"em_gas_mt")</f>
        <v/>
      </c>
      <c r="J136" s="16">
        <f>SUMIFS(Data!$G:$G,Data!$A:$A,$A136,Data!$F:$F,"em_oil_mt")</f>
        <v/>
      </c>
      <c r="K136" s="28">
        <f>IF(COUNTIFS(Data!$A:$A,$A136,Data!$F:$F,"price_electricity_residential_usd_kwh")=0,"",SUMIFS(Data!$G:$G,Data!$A:$A,$A136,Data!$F:$F,"price_electricity_residential_usd_kwh"))</f>
        <v/>
      </c>
      <c r="L136" s="28">
        <f>IF(COUNTIFS(Data!$A:$A,$A136,Data!$F:$F,"price_coal_power_usd_gj")=0,"",SUMIFS(Data!$G:$G,Data!$A:$A,$A136,Data!$F:$F,"price_coal_power_usd_gj"))</f>
        <v/>
      </c>
      <c r="M136" s="28">
        <f>IF(COUNTIFS(Data!$A:$A,$A136,Data!$F:$F,"price_gas_power_usd_gj")=0,"",SUMIFS(Data!$G:$G,Data!$A:$A,$A136,Data!$F:$F,"price_gas_power_usd_gj"))</f>
        <v/>
      </c>
      <c r="N136" s="28">
        <f>IF(COUNTIFS(Data!$A:$A,$A136,Data!$F:$F,"price_gas_industry_usd_gj")=0,"",SUMIFS(Data!$G:$G,Data!$A:$A,$A136,Data!$F:$F,"price_gas_industry_usd_gj"))</f>
        <v/>
      </c>
      <c r="O136" s="28">
        <f>IF(COUNTIFS(Data!$A:$A,$A136,Data!$F:$F,"power_market_structure")=0,"",SUMIFS(Data!$G:$G,Data!$A:$A,$A136,Data!$F:$F,"power_market_structure"))</f>
        <v/>
      </c>
      <c r="P136" s="28">
        <f>IF(COUNTIFS(Data!$A:$A,$A136,Data!$F:$F,"rise_renewable_energy_score")=0,"",SUMIFS(Data!$G:$G,Data!$A:$A,$A136,Data!$F:$F,"rise_renewable_energy_score"))</f>
        <v/>
      </c>
      <c r="Q136" s="16">
        <f>H136+I136+J136</f>
        <v/>
      </c>
      <c r="R136" s="28">
        <f>Q136/G136</f>
        <v/>
      </c>
      <c r="S136" s="28">
        <f>IF(D136&gt;0,H136/D136,0.85)</f>
        <v/>
      </c>
      <c r="T136" s="28">
        <f>IF(E136&gt;0,I136/E136,0.4)</f>
        <v/>
      </c>
      <c r="U136" s="28">
        <f>IF(D136+F136&gt;0,(H136+J136)/(D136+F136),0)</f>
        <v/>
      </c>
      <c r="V136" s="16">
        <f>K136*1000</f>
        <v/>
      </c>
      <c r="W136" s="15">
        <f>IF(O136=3,in_pt3,IF(O136=2,in_pt2,IF(O136=1,in_pt1,IF(C136="High income",in_pt_hi,in_pt_oth))))</f>
        <v/>
      </c>
      <c r="X136" s="28">
        <f>IF(Q136&gt;0,in_kappa*(in_rise_lo+(in_rise_hi-in_rise_lo)*IF(P136="",in_rise_miss,P136)/100)*(D136+F136)*MAX(U136-in_gas_rep*T136,0)/Q136,0)</f>
        <v/>
      </c>
      <c r="Y136" s="16">
        <f>IF(IF(M136="",N136,M136)="",MAX(in_sw_floor,in_sw_miss),MAX(in_sw_floor,(IF(M136="",N136,M136)*in_hr_gas-L136*in_hr_coal)/MAX(S136-T136,0.1)))</f>
        <v/>
      </c>
      <c r="Z136" s="28">
        <f>IF(C136="Low income",in_b40_li,IF(C136="Lower middle income",in_b40_lmi,IF(C136="Upper middle income",in_b40_umi,IF(C136="High income",in_b40_hi,0.03))))</f>
        <v/>
      </c>
      <c r="AA136" s="15">
        <f>(D136+F136)/G136</f>
        <v/>
      </c>
      <c r="AB136" s="28">
        <f>100*W136*R136/V136/in_phase</f>
        <v/>
      </c>
      <c r="AC136" s="29">
        <f>100*Z136*W136*R136/V136*(1-IF(W136&gt;0,MIN(in_rebate/(W136*in_res_sh*in_q40),1),1))</f>
        <v/>
      </c>
      <c r="AD136" s="28">
        <f>IF(AA136&gt;0,100*U136*(1-W136)/(in_whole_sh*V136),0)</f>
        <v/>
      </c>
      <c r="AE136" s="28">
        <f>IF(AA136&gt;0,100*MAX(U136-R136,0)/(in_whole_sh*V136),0)</f>
        <v/>
      </c>
      <c r="AF136" s="16">
        <f>IF(AB136&gt;0,in_f1/AB136,in_cap)</f>
        <v/>
      </c>
      <c r="AG136" s="16">
        <f>IF(AC136&gt;0,in_f2/AC136,in_cap)</f>
        <v/>
      </c>
      <c r="AH136" s="16">
        <f>IF(AD136&gt;0,in_f3/AD136,in_cap)</f>
        <v/>
      </c>
      <c r="AI136" s="16">
        <f>MIN(in_cap,AF136,AG136,AH136)</f>
        <v/>
      </c>
      <c r="AJ136" s="30">
        <f>100*(1-(1-X136*(1-EXP(-((AI136)+(0))/Y136)))*(1-MIN(ABS(in_elas)*W136*R136*(AI136)/V136,1)))</f>
        <v/>
      </c>
      <c r="AK136" s="17">
        <f>IF(AI136&gt;=in_cap-1E-9,"rate cap",TRIM(IF(ABS(AI136-AF136)&lt;1E-9,"F1 ","")&amp;IF(ABS(AI136-AG136)&lt;1E-9,"F2 ","")&amp;IF(ABS(AI136-AH136)&lt;1E-9,"F3","")))</f>
        <v/>
      </c>
      <c r="AL136" s="15">
        <f>100*(1-(1-X136*(1-EXP(-((MIN(in_cap,IF(AB136&gt;0,(in_f1+1)/AB136,in_cap),AG136,AH136))+(0))/Y136)))*(1-MIN(ABS(in_elas)*W136*R136*(MIN(in_cap,IF(AB136&gt;0,(in_f1+1)/AB136,in_cap),AG136,AH136))/V136,1)))-AJ136</f>
        <v/>
      </c>
      <c r="AM136" s="16">
        <f>MIN(in_cap,IF(AE136&gt;0,in_f3/AE136,in_cap))</f>
        <v/>
      </c>
      <c r="AN136" s="30">
        <f>100*(1-(1-X136*(1-EXP(-((0)+(AM136))/Y136)))*(1-MIN(ABS(in_elas)*W136*R136*(0)/V136,1)))</f>
        <v/>
      </c>
      <c r="AO136" s="17">
        <f>IF(AM136&gt;=in_cap-1E-9,"rate cap","F3")</f>
        <v/>
      </c>
      <c r="AP136" s="15">
        <f>100*(1-(1-X136*(1-EXP(-((50)+(0))/Y136)))*(1-MIN(ABS(in_elas)*W136*R136*(50)/V136,1)))</f>
        <v/>
      </c>
      <c r="AQ136" s="15">
        <f>100*(1-(1-X136*(1-EXP(-((0)+(50))/Y136)))*(1-MIN(ABS(in_elas)*W136*R136*(0)/V136,1)))</f>
        <v/>
      </c>
      <c r="AR136" s="15">
        <f>IF(AP136&gt;0,AQ136/AP136,"")</f>
        <v/>
      </c>
      <c r="AS136" s="16">
        <f>50*AB136</f>
        <v/>
      </c>
      <c r="AT136" s="30">
        <f>MAX(BM136:BW136)</f>
        <v/>
      </c>
      <c r="AU136" s="31">
        <f>AI136*(MATCH(AT136,BM136:BW136,0)-1)/10</f>
        <v/>
      </c>
      <c r="AV136" s="31">
        <f>INDEX(BB136:BL136,1,(MATCH(AT136,BM136:BW136,0)-1)+1)</f>
        <v/>
      </c>
      <c r="AW136" s="31">
        <f>AB136*AU136</f>
        <v/>
      </c>
      <c r="AX136" s="30">
        <f>AC136*AU136</f>
        <v/>
      </c>
      <c r="AY136" s="31">
        <f>AD136*AU136+AE136*AV136</f>
        <v/>
      </c>
      <c r="AZ136" s="32">
        <f>TRIM(IF(AND(AU136&gt;0,ABS(AU136-AF136)&lt;1E-6),"F1 ","")&amp;IF(AND(AU136&gt;0,ABS(AU136-AG136)&lt;1E-6),"F2 ","")&amp;IF(AY136&gt;=in_f3-1E-6,"F3 ","")&amp;IF(AV136&gt;=in_cap-1E-9,"rate cap",""))</f>
        <v/>
      </c>
      <c r="BA136" s="31">
        <f>Q136*AT136/100</f>
        <v/>
      </c>
      <c r="BB136" s="16">
        <f>MAX(0,MIN(in_cap,IF(AE136&gt;0,(in_f3-AD136*AI136*0/10)/AE136,in_cap)))</f>
        <v/>
      </c>
      <c r="BC136" s="16">
        <f>MAX(0,MIN(in_cap,IF(AE136&gt;0,(in_f3-AD136*AI136*1/10)/AE136,in_cap)))</f>
        <v/>
      </c>
      <c r="BD136" s="16">
        <f>MAX(0,MIN(in_cap,IF(AE136&gt;0,(in_f3-AD136*AI136*2/10)/AE136,in_cap)))</f>
        <v/>
      </c>
      <c r="BE136" s="16">
        <f>MAX(0,MIN(in_cap,IF(AE136&gt;0,(in_f3-AD136*AI136*3/10)/AE136,in_cap)))</f>
        <v/>
      </c>
      <c r="BF136" s="16">
        <f>MAX(0,MIN(in_cap,IF(AE136&gt;0,(in_f3-AD136*AI136*4/10)/AE136,in_cap)))</f>
        <v/>
      </c>
      <c r="BG136" s="16">
        <f>MAX(0,MIN(in_cap,IF(AE136&gt;0,(in_f3-AD136*AI136*5/10)/AE136,in_cap)))</f>
        <v/>
      </c>
      <c r="BH136" s="16">
        <f>MAX(0,MIN(in_cap,IF(AE136&gt;0,(in_f3-AD136*AI136*6/10)/AE136,in_cap)))</f>
        <v/>
      </c>
      <c r="BI136" s="16">
        <f>MAX(0,MIN(in_cap,IF(AE136&gt;0,(in_f3-AD136*AI136*7/10)/AE136,in_cap)))</f>
        <v/>
      </c>
      <c r="BJ136" s="16">
        <f>MAX(0,MIN(in_cap,IF(AE136&gt;0,(in_f3-AD136*AI136*8/10)/AE136,in_cap)))</f>
        <v/>
      </c>
      <c r="BK136" s="16">
        <f>MAX(0,MIN(in_cap,IF(AE136&gt;0,(in_f3-AD136*AI136*9/10)/AE136,in_cap)))</f>
        <v/>
      </c>
      <c r="BL136" s="16">
        <f>MAX(0,MIN(in_cap,IF(AE136&gt;0,(in_f3-AD136*AI136*10/10)/AE136,in_cap)))</f>
        <v/>
      </c>
      <c r="BM136" s="15">
        <f>100*(1-(1-X136*(1-EXP(-((AI136*0/10)+(BB136))/Y136)))*(1-MIN(ABS(in_elas)*W136*R136*(AI136*0/10)/V136,1)))</f>
        <v/>
      </c>
      <c r="BN136" s="15">
        <f>100*(1-(1-X136*(1-EXP(-((AI136*1/10)+(BC136))/Y136)))*(1-MIN(ABS(in_elas)*W136*R136*(AI136*1/10)/V136,1)))</f>
        <v/>
      </c>
      <c r="BO136" s="15">
        <f>100*(1-(1-X136*(1-EXP(-((AI136*2/10)+(BD136))/Y136)))*(1-MIN(ABS(in_elas)*W136*R136*(AI136*2/10)/V136,1)))</f>
        <v/>
      </c>
      <c r="BP136" s="15">
        <f>100*(1-(1-X136*(1-EXP(-((AI136*3/10)+(BE136))/Y136)))*(1-MIN(ABS(in_elas)*W136*R136*(AI136*3/10)/V136,1)))</f>
        <v/>
      </c>
      <c r="BQ136" s="15">
        <f>100*(1-(1-X136*(1-EXP(-((AI136*4/10)+(BF136))/Y136)))*(1-MIN(ABS(in_elas)*W136*R136*(AI136*4/10)/V136,1)))</f>
        <v/>
      </c>
      <c r="BR136" s="15">
        <f>100*(1-(1-X136*(1-EXP(-((AI136*5/10)+(BG136))/Y136)))*(1-MIN(ABS(in_elas)*W136*R136*(AI136*5/10)/V136,1)))</f>
        <v/>
      </c>
      <c r="BS136" s="15">
        <f>100*(1-(1-X136*(1-EXP(-((AI136*6/10)+(BH136))/Y136)))*(1-MIN(ABS(in_elas)*W136*R136*(AI136*6/10)/V136,1)))</f>
        <v/>
      </c>
      <c r="BT136" s="15">
        <f>100*(1-(1-X136*(1-EXP(-((AI136*7/10)+(BI136))/Y136)))*(1-MIN(ABS(in_elas)*W136*R136*(AI136*7/10)/V136,1)))</f>
        <v/>
      </c>
      <c r="BU136" s="15">
        <f>100*(1-(1-X136*(1-EXP(-((AI136*8/10)+(BJ136))/Y136)))*(1-MIN(ABS(in_elas)*W136*R136*(AI136*8/10)/V136,1)))</f>
        <v/>
      </c>
      <c r="BV136" s="15">
        <f>100*(1-(1-X136*(1-EXP(-((AI136*9/10)+(BK136))/Y136)))*(1-MIN(ABS(in_elas)*W136*R136*(AI136*9/10)/V136,1)))</f>
        <v/>
      </c>
      <c r="BW136" s="15">
        <f>100*(1-(1-X136*(1-EXP(-((AI136*10/10)+(BL136))/Y136)))*(1-MIN(ABS(in_elas)*W136*R136*(AI136*10/10)/V136,1)))</f>
        <v/>
      </c>
    </row>
    <row r="137">
      <c r="A137" s="17" t="inlineStr">
        <is>
          <t>SDN</t>
        </is>
      </c>
      <c r="B137" s="17">
        <f>INDEX(Data!$B:$B,MATCH($A137,Data!$A:$A,0))</f>
        <v/>
      </c>
      <c r="C137" s="17">
        <f>INDEX(Data!$D:$D,MATCH($A137,Data!$A:$A,0))</f>
        <v/>
      </c>
      <c r="D137" s="16">
        <f>SUMIFS(Data!$G:$G,Data!$A:$A,$A137,Data!$F:$F,"gen_coal_twh")</f>
        <v/>
      </c>
      <c r="E137" s="16">
        <f>SUMIFS(Data!$G:$G,Data!$A:$A,$A137,Data!$F:$F,"gen_gas_twh")</f>
        <v/>
      </c>
      <c r="F137" s="16">
        <f>SUMIFS(Data!$G:$G,Data!$A:$A,$A137,Data!$F:$F,"gen_oil_twh")</f>
        <v/>
      </c>
      <c r="G137" s="16">
        <f>SUMIFS(Data!$G:$G,Data!$A:$A,$A137,Data!$F:$F,"gen_total_twh")</f>
        <v/>
      </c>
      <c r="H137" s="16">
        <f>SUMIFS(Data!$G:$G,Data!$A:$A,$A137,Data!$F:$F,"em_coal_mt")</f>
        <v/>
      </c>
      <c r="I137" s="16">
        <f>SUMIFS(Data!$G:$G,Data!$A:$A,$A137,Data!$F:$F,"em_gas_mt")</f>
        <v/>
      </c>
      <c r="J137" s="16">
        <f>SUMIFS(Data!$G:$G,Data!$A:$A,$A137,Data!$F:$F,"em_oil_mt")</f>
        <v/>
      </c>
      <c r="K137" s="28">
        <f>IF(COUNTIFS(Data!$A:$A,$A137,Data!$F:$F,"price_electricity_residential_usd_kwh")=0,"",SUMIFS(Data!$G:$G,Data!$A:$A,$A137,Data!$F:$F,"price_electricity_residential_usd_kwh"))</f>
        <v/>
      </c>
      <c r="L137" s="28">
        <f>IF(COUNTIFS(Data!$A:$A,$A137,Data!$F:$F,"price_coal_power_usd_gj")=0,"",SUMIFS(Data!$G:$G,Data!$A:$A,$A137,Data!$F:$F,"price_coal_power_usd_gj"))</f>
        <v/>
      </c>
      <c r="M137" s="28">
        <f>IF(COUNTIFS(Data!$A:$A,$A137,Data!$F:$F,"price_gas_power_usd_gj")=0,"",SUMIFS(Data!$G:$G,Data!$A:$A,$A137,Data!$F:$F,"price_gas_power_usd_gj"))</f>
        <v/>
      </c>
      <c r="N137" s="28">
        <f>IF(COUNTIFS(Data!$A:$A,$A137,Data!$F:$F,"price_gas_industry_usd_gj")=0,"",SUMIFS(Data!$G:$G,Data!$A:$A,$A137,Data!$F:$F,"price_gas_industry_usd_gj"))</f>
        <v/>
      </c>
      <c r="O137" s="28">
        <f>IF(COUNTIFS(Data!$A:$A,$A137,Data!$F:$F,"power_market_structure")=0,"",SUMIFS(Data!$G:$G,Data!$A:$A,$A137,Data!$F:$F,"power_market_structure"))</f>
        <v/>
      </c>
      <c r="P137" s="28">
        <f>IF(COUNTIFS(Data!$A:$A,$A137,Data!$F:$F,"rise_renewable_energy_score")=0,"",SUMIFS(Data!$G:$G,Data!$A:$A,$A137,Data!$F:$F,"rise_renewable_energy_score"))</f>
        <v/>
      </c>
      <c r="Q137" s="16">
        <f>H137+I137+J137</f>
        <v/>
      </c>
      <c r="R137" s="28">
        <f>Q137/G137</f>
        <v/>
      </c>
      <c r="S137" s="28">
        <f>IF(D137&gt;0,H137/D137,0.85)</f>
        <v/>
      </c>
      <c r="T137" s="28">
        <f>IF(E137&gt;0,I137/E137,0.4)</f>
        <v/>
      </c>
      <c r="U137" s="28">
        <f>IF(D137+F137&gt;0,(H137+J137)/(D137+F137),0)</f>
        <v/>
      </c>
      <c r="V137" s="16">
        <f>K137*1000</f>
        <v/>
      </c>
      <c r="W137" s="15">
        <f>IF(O137=3,in_pt3,IF(O137=2,in_pt2,IF(O137=1,in_pt1,IF(C137="High income",in_pt_hi,in_pt_oth))))</f>
        <v/>
      </c>
      <c r="X137" s="28">
        <f>IF(Q137&gt;0,in_kappa*(in_rise_lo+(in_rise_hi-in_rise_lo)*IF(P137="",in_rise_miss,P137)/100)*(D137+F137)*MAX(U137-in_gas_rep*T137,0)/Q137,0)</f>
        <v/>
      </c>
      <c r="Y137" s="16">
        <f>IF(IF(M137="",N137,M137)="",MAX(in_sw_floor,in_sw_miss),MAX(in_sw_floor,(IF(M137="",N137,M137)*in_hr_gas-L137*in_hr_coal)/MAX(S137-T137,0.1)))</f>
        <v/>
      </c>
      <c r="Z137" s="28">
        <f>IF(C137="Low income",in_b40_li,IF(C137="Lower middle income",in_b40_lmi,IF(C137="Upper middle income",in_b40_umi,IF(C137="High income",in_b40_hi,0.03))))</f>
        <v/>
      </c>
      <c r="AA137" s="15">
        <f>(D137+F137)/G137</f>
        <v/>
      </c>
      <c r="AB137" s="28">
        <f>100*W137*R137/V137/in_phase</f>
        <v/>
      </c>
      <c r="AC137" s="29">
        <f>100*Z137*W137*R137/V137*(1-IF(W137&gt;0,MIN(in_rebate/(W137*in_res_sh*in_q40),1),1))</f>
        <v/>
      </c>
      <c r="AD137" s="28">
        <f>IF(AA137&gt;0,100*U137*(1-W137)/(in_whole_sh*V137),0)</f>
        <v/>
      </c>
      <c r="AE137" s="28">
        <f>IF(AA137&gt;0,100*MAX(U137-R137,0)/(in_whole_sh*V137),0)</f>
        <v/>
      </c>
      <c r="AF137" s="16">
        <f>IF(AB137&gt;0,in_f1/AB137,in_cap)</f>
        <v/>
      </c>
      <c r="AG137" s="16">
        <f>IF(AC137&gt;0,in_f2/AC137,in_cap)</f>
        <v/>
      </c>
      <c r="AH137" s="16">
        <f>IF(AD137&gt;0,in_f3/AD137,in_cap)</f>
        <v/>
      </c>
      <c r="AI137" s="16">
        <f>MIN(in_cap,AF137,AG137,AH137)</f>
        <v/>
      </c>
      <c r="AJ137" s="30">
        <f>100*(1-(1-X137*(1-EXP(-((AI137)+(0))/Y137)))*(1-MIN(ABS(in_elas)*W137*R137*(AI137)/V137,1)))</f>
        <v/>
      </c>
      <c r="AK137" s="17">
        <f>IF(AI137&gt;=in_cap-1E-9,"rate cap",TRIM(IF(ABS(AI137-AF137)&lt;1E-9,"F1 ","")&amp;IF(ABS(AI137-AG137)&lt;1E-9,"F2 ","")&amp;IF(ABS(AI137-AH137)&lt;1E-9,"F3","")))</f>
        <v/>
      </c>
      <c r="AL137" s="15">
        <f>100*(1-(1-X137*(1-EXP(-((MIN(in_cap,IF(AB137&gt;0,(in_f1+1)/AB137,in_cap),AG137,AH137))+(0))/Y137)))*(1-MIN(ABS(in_elas)*W137*R137*(MIN(in_cap,IF(AB137&gt;0,(in_f1+1)/AB137,in_cap),AG137,AH137))/V137,1)))-AJ137</f>
        <v/>
      </c>
      <c r="AM137" s="16">
        <f>MIN(in_cap,IF(AE137&gt;0,in_f3/AE137,in_cap))</f>
        <v/>
      </c>
      <c r="AN137" s="30">
        <f>100*(1-(1-X137*(1-EXP(-((0)+(AM137))/Y137)))*(1-MIN(ABS(in_elas)*W137*R137*(0)/V137,1)))</f>
        <v/>
      </c>
      <c r="AO137" s="17">
        <f>IF(AM137&gt;=in_cap-1E-9,"rate cap","F3")</f>
        <v/>
      </c>
      <c r="AP137" s="15">
        <f>100*(1-(1-X137*(1-EXP(-((50)+(0))/Y137)))*(1-MIN(ABS(in_elas)*W137*R137*(50)/V137,1)))</f>
        <v/>
      </c>
      <c r="AQ137" s="15">
        <f>100*(1-(1-X137*(1-EXP(-((0)+(50))/Y137)))*(1-MIN(ABS(in_elas)*W137*R137*(0)/V137,1)))</f>
        <v/>
      </c>
      <c r="AR137" s="15">
        <f>IF(AP137&gt;0,AQ137/AP137,"")</f>
        <v/>
      </c>
      <c r="AS137" s="16">
        <f>50*AB137</f>
        <v/>
      </c>
      <c r="AT137" s="30">
        <f>MAX(BM137:BW137)</f>
        <v/>
      </c>
      <c r="AU137" s="31">
        <f>AI137*(MATCH(AT137,BM137:BW137,0)-1)/10</f>
        <v/>
      </c>
      <c r="AV137" s="31">
        <f>INDEX(BB137:BL137,1,(MATCH(AT137,BM137:BW137,0)-1)+1)</f>
        <v/>
      </c>
      <c r="AW137" s="31">
        <f>AB137*AU137</f>
        <v/>
      </c>
      <c r="AX137" s="30">
        <f>AC137*AU137</f>
        <v/>
      </c>
      <c r="AY137" s="31">
        <f>AD137*AU137+AE137*AV137</f>
        <v/>
      </c>
      <c r="AZ137" s="32">
        <f>TRIM(IF(AND(AU137&gt;0,ABS(AU137-AF137)&lt;1E-6),"F1 ","")&amp;IF(AND(AU137&gt;0,ABS(AU137-AG137)&lt;1E-6),"F2 ","")&amp;IF(AY137&gt;=in_f3-1E-6,"F3 ","")&amp;IF(AV137&gt;=in_cap-1E-9,"rate cap",""))</f>
        <v/>
      </c>
      <c r="BA137" s="31">
        <f>Q137*AT137/100</f>
        <v/>
      </c>
      <c r="BB137" s="16">
        <f>MAX(0,MIN(in_cap,IF(AE137&gt;0,(in_f3-AD137*AI137*0/10)/AE137,in_cap)))</f>
        <v/>
      </c>
      <c r="BC137" s="16">
        <f>MAX(0,MIN(in_cap,IF(AE137&gt;0,(in_f3-AD137*AI137*1/10)/AE137,in_cap)))</f>
        <v/>
      </c>
      <c r="BD137" s="16">
        <f>MAX(0,MIN(in_cap,IF(AE137&gt;0,(in_f3-AD137*AI137*2/10)/AE137,in_cap)))</f>
        <v/>
      </c>
      <c r="BE137" s="16">
        <f>MAX(0,MIN(in_cap,IF(AE137&gt;0,(in_f3-AD137*AI137*3/10)/AE137,in_cap)))</f>
        <v/>
      </c>
      <c r="BF137" s="16">
        <f>MAX(0,MIN(in_cap,IF(AE137&gt;0,(in_f3-AD137*AI137*4/10)/AE137,in_cap)))</f>
        <v/>
      </c>
      <c r="BG137" s="16">
        <f>MAX(0,MIN(in_cap,IF(AE137&gt;0,(in_f3-AD137*AI137*5/10)/AE137,in_cap)))</f>
        <v/>
      </c>
      <c r="BH137" s="16">
        <f>MAX(0,MIN(in_cap,IF(AE137&gt;0,(in_f3-AD137*AI137*6/10)/AE137,in_cap)))</f>
        <v/>
      </c>
      <c r="BI137" s="16">
        <f>MAX(0,MIN(in_cap,IF(AE137&gt;0,(in_f3-AD137*AI137*7/10)/AE137,in_cap)))</f>
        <v/>
      </c>
      <c r="BJ137" s="16">
        <f>MAX(0,MIN(in_cap,IF(AE137&gt;0,(in_f3-AD137*AI137*8/10)/AE137,in_cap)))</f>
        <v/>
      </c>
      <c r="BK137" s="16">
        <f>MAX(0,MIN(in_cap,IF(AE137&gt;0,(in_f3-AD137*AI137*9/10)/AE137,in_cap)))</f>
        <v/>
      </c>
      <c r="BL137" s="16">
        <f>MAX(0,MIN(in_cap,IF(AE137&gt;0,(in_f3-AD137*AI137*10/10)/AE137,in_cap)))</f>
        <v/>
      </c>
      <c r="BM137" s="15">
        <f>100*(1-(1-X137*(1-EXP(-((AI137*0/10)+(BB137))/Y137)))*(1-MIN(ABS(in_elas)*W137*R137*(AI137*0/10)/V137,1)))</f>
        <v/>
      </c>
      <c r="BN137" s="15">
        <f>100*(1-(1-X137*(1-EXP(-((AI137*1/10)+(BC137))/Y137)))*(1-MIN(ABS(in_elas)*W137*R137*(AI137*1/10)/V137,1)))</f>
        <v/>
      </c>
      <c r="BO137" s="15">
        <f>100*(1-(1-X137*(1-EXP(-((AI137*2/10)+(BD137))/Y137)))*(1-MIN(ABS(in_elas)*W137*R137*(AI137*2/10)/V137,1)))</f>
        <v/>
      </c>
      <c r="BP137" s="15">
        <f>100*(1-(1-X137*(1-EXP(-((AI137*3/10)+(BE137))/Y137)))*(1-MIN(ABS(in_elas)*W137*R137*(AI137*3/10)/V137,1)))</f>
        <v/>
      </c>
      <c r="BQ137" s="15">
        <f>100*(1-(1-X137*(1-EXP(-((AI137*4/10)+(BF137))/Y137)))*(1-MIN(ABS(in_elas)*W137*R137*(AI137*4/10)/V137,1)))</f>
        <v/>
      </c>
      <c r="BR137" s="15">
        <f>100*(1-(1-X137*(1-EXP(-((AI137*5/10)+(BG137))/Y137)))*(1-MIN(ABS(in_elas)*W137*R137*(AI137*5/10)/V137,1)))</f>
        <v/>
      </c>
      <c r="BS137" s="15">
        <f>100*(1-(1-X137*(1-EXP(-((AI137*6/10)+(BH137))/Y137)))*(1-MIN(ABS(in_elas)*W137*R137*(AI137*6/10)/V137,1)))</f>
        <v/>
      </c>
      <c r="BT137" s="15">
        <f>100*(1-(1-X137*(1-EXP(-((AI137*7/10)+(BI137))/Y137)))*(1-MIN(ABS(in_elas)*W137*R137*(AI137*7/10)/V137,1)))</f>
        <v/>
      </c>
      <c r="BU137" s="15">
        <f>100*(1-(1-X137*(1-EXP(-((AI137*8/10)+(BJ137))/Y137)))*(1-MIN(ABS(in_elas)*W137*R137*(AI137*8/10)/V137,1)))</f>
        <v/>
      </c>
      <c r="BV137" s="15">
        <f>100*(1-(1-X137*(1-EXP(-((AI137*9/10)+(BK137))/Y137)))*(1-MIN(ABS(in_elas)*W137*R137*(AI137*9/10)/V137,1)))</f>
        <v/>
      </c>
      <c r="BW137" s="15">
        <f>100*(1-(1-X137*(1-EXP(-((AI137*10/10)+(BL137))/Y137)))*(1-MIN(ABS(in_elas)*W137*R137*(AI137*10/10)/V137,1)))</f>
        <v/>
      </c>
    </row>
    <row r="138">
      <c r="A138" s="17" t="inlineStr">
        <is>
          <t>SEN</t>
        </is>
      </c>
      <c r="B138" s="17">
        <f>INDEX(Data!$B:$B,MATCH($A138,Data!$A:$A,0))</f>
        <v/>
      </c>
      <c r="C138" s="17">
        <f>INDEX(Data!$D:$D,MATCH($A138,Data!$A:$A,0))</f>
        <v/>
      </c>
      <c r="D138" s="16">
        <f>SUMIFS(Data!$G:$G,Data!$A:$A,$A138,Data!$F:$F,"gen_coal_twh")</f>
        <v/>
      </c>
      <c r="E138" s="16">
        <f>SUMIFS(Data!$G:$G,Data!$A:$A,$A138,Data!$F:$F,"gen_gas_twh")</f>
        <v/>
      </c>
      <c r="F138" s="16">
        <f>SUMIFS(Data!$G:$G,Data!$A:$A,$A138,Data!$F:$F,"gen_oil_twh")</f>
        <v/>
      </c>
      <c r="G138" s="16">
        <f>SUMIFS(Data!$G:$G,Data!$A:$A,$A138,Data!$F:$F,"gen_total_twh")</f>
        <v/>
      </c>
      <c r="H138" s="16">
        <f>SUMIFS(Data!$G:$G,Data!$A:$A,$A138,Data!$F:$F,"em_coal_mt")</f>
        <v/>
      </c>
      <c r="I138" s="16">
        <f>SUMIFS(Data!$G:$G,Data!$A:$A,$A138,Data!$F:$F,"em_gas_mt")</f>
        <v/>
      </c>
      <c r="J138" s="16">
        <f>SUMIFS(Data!$G:$G,Data!$A:$A,$A138,Data!$F:$F,"em_oil_mt")</f>
        <v/>
      </c>
      <c r="K138" s="28">
        <f>IF(COUNTIFS(Data!$A:$A,$A138,Data!$F:$F,"price_electricity_residential_usd_kwh")=0,"",SUMIFS(Data!$G:$G,Data!$A:$A,$A138,Data!$F:$F,"price_electricity_residential_usd_kwh"))</f>
        <v/>
      </c>
      <c r="L138" s="28">
        <f>IF(COUNTIFS(Data!$A:$A,$A138,Data!$F:$F,"price_coal_power_usd_gj")=0,"",SUMIFS(Data!$G:$G,Data!$A:$A,$A138,Data!$F:$F,"price_coal_power_usd_gj"))</f>
        <v/>
      </c>
      <c r="M138" s="28">
        <f>IF(COUNTIFS(Data!$A:$A,$A138,Data!$F:$F,"price_gas_power_usd_gj")=0,"",SUMIFS(Data!$G:$G,Data!$A:$A,$A138,Data!$F:$F,"price_gas_power_usd_gj"))</f>
        <v/>
      </c>
      <c r="N138" s="28">
        <f>IF(COUNTIFS(Data!$A:$A,$A138,Data!$F:$F,"price_gas_industry_usd_gj")=0,"",SUMIFS(Data!$G:$G,Data!$A:$A,$A138,Data!$F:$F,"price_gas_industry_usd_gj"))</f>
        <v/>
      </c>
      <c r="O138" s="28">
        <f>IF(COUNTIFS(Data!$A:$A,$A138,Data!$F:$F,"power_market_structure")=0,"",SUMIFS(Data!$G:$G,Data!$A:$A,$A138,Data!$F:$F,"power_market_structure"))</f>
        <v/>
      </c>
      <c r="P138" s="28">
        <f>IF(COUNTIFS(Data!$A:$A,$A138,Data!$F:$F,"rise_renewable_energy_score")=0,"",SUMIFS(Data!$G:$G,Data!$A:$A,$A138,Data!$F:$F,"rise_renewable_energy_score"))</f>
        <v/>
      </c>
      <c r="Q138" s="16">
        <f>H138+I138+J138</f>
        <v/>
      </c>
      <c r="R138" s="28">
        <f>Q138/G138</f>
        <v/>
      </c>
      <c r="S138" s="28">
        <f>IF(D138&gt;0,H138/D138,0.85)</f>
        <v/>
      </c>
      <c r="T138" s="28">
        <f>IF(E138&gt;0,I138/E138,0.4)</f>
        <v/>
      </c>
      <c r="U138" s="28">
        <f>IF(D138+F138&gt;0,(H138+J138)/(D138+F138),0)</f>
        <v/>
      </c>
      <c r="V138" s="16">
        <f>K138*1000</f>
        <v/>
      </c>
      <c r="W138" s="15">
        <f>IF(O138=3,in_pt3,IF(O138=2,in_pt2,IF(O138=1,in_pt1,IF(C138="High income",in_pt_hi,in_pt_oth))))</f>
        <v/>
      </c>
      <c r="X138" s="28">
        <f>IF(Q138&gt;0,in_kappa*(in_rise_lo+(in_rise_hi-in_rise_lo)*IF(P138="",in_rise_miss,P138)/100)*(D138+F138)*MAX(U138-in_gas_rep*T138,0)/Q138,0)</f>
        <v/>
      </c>
      <c r="Y138" s="16">
        <f>IF(IF(M138="",N138,M138)="",MAX(in_sw_floor,in_sw_miss),MAX(in_sw_floor,(IF(M138="",N138,M138)*in_hr_gas-L138*in_hr_coal)/MAX(S138-T138,0.1)))</f>
        <v/>
      </c>
      <c r="Z138" s="28">
        <f>IF(C138="Low income",in_b40_li,IF(C138="Lower middle income",in_b40_lmi,IF(C138="Upper middle income",in_b40_umi,IF(C138="High income",in_b40_hi,0.03))))</f>
        <v/>
      </c>
      <c r="AA138" s="15">
        <f>(D138+F138)/G138</f>
        <v/>
      </c>
      <c r="AB138" s="28">
        <f>100*W138*R138/V138/in_phase</f>
        <v/>
      </c>
      <c r="AC138" s="29">
        <f>100*Z138*W138*R138/V138*(1-IF(W138&gt;0,MIN(in_rebate/(W138*in_res_sh*in_q40),1),1))</f>
        <v/>
      </c>
      <c r="AD138" s="28">
        <f>IF(AA138&gt;0,100*U138*(1-W138)/(in_whole_sh*V138),0)</f>
        <v/>
      </c>
      <c r="AE138" s="28">
        <f>IF(AA138&gt;0,100*MAX(U138-R138,0)/(in_whole_sh*V138),0)</f>
        <v/>
      </c>
      <c r="AF138" s="16">
        <f>IF(AB138&gt;0,in_f1/AB138,in_cap)</f>
        <v/>
      </c>
      <c r="AG138" s="16">
        <f>IF(AC138&gt;0,in_f2/AC138,in_cap)</f>
        <v/>
      </c>
      <c r="AH138" s="16">
        <f>IF(AD138&gt;0,in_f3/AD138,in_cap)</f>
        <v/>
      </c>
      <c r="AI138" s="16">
        <f>MIN(in_cap,AF138,AG138,AH138)</f>
        <v/>
      </c>
      <c r="AJ138" s="30">
        <f>100*(1-(1-X138*(1-EXP(-((AI138)+(0))/Y138)))*(1-MIN(ABS(in_elas)*W138*R138*(AI138)/V138,1)))</f>
        <v/>
      </c>
      <c r="AK138" s="17">
        <f>IF(AI138&gt;=in_cap-1E-9,"rate cap",TRIM(IF(ABS(AI138-AF138)&lt;1E-9,"F1 ","")&amp;IF(ABS(AI138-AG138)&lt;1E-9,"F2 ","")&amp;IF(ABS(AI138-AH138)&lt;1E-9,"F3","")))</f>
        <v/>
      </c>
      <c r="AL138" s="15">
        <f>100*(1-(1-X138*(1-EXP(-((MIN(in_cap,IF(AB138&gt;0,(in_f1+1)/AB138,in_cap),AG138,AH138))+(0))/Y138)))*(1-MIN(ABS(in_elas)*W138*R138*(MIN(in_cap,IF(AB138&gt;0,(in_f1+1)/AB138,in_cap),AG138,AH138))/V138,1)))-AJ138</f>
        <v/>
      </c>
      <c r="AM138" s="16">
        <f>MIN(in_cap,IF(AE138&gt;0,in_f3/AE138,in_cap))</f>
        <v/>
      </c>
      <c r="AN138" s="30">
        <f>100*(1-(1-X138*(1-EXP(-((0)+(AM138))/Y138)))*(1-MIN(ABS(in_elas)*W138*R138*(0)/V138,1)))</f>
        <v/>
      </c>
      <c r="AO138" s="17">
        <f>IF(AM138&gt;=in_cap-1E-9,"rate cap","F3")</f>
        <v/>
      </c>
      <c r="AP138" s="15">
        <f>100*(1-(1-X138*(1-EXP(-((50)+(0))/Y138)))*(1-MIN(ABS(in_elas)*W138*R138*(50)/V138,1)))</f>
        <v/>
      </c>
      <c r="AQ138" s="15">
        <f>100*(1-(1-X138*(1-EXP(-((0)+(50))/Y138)))*(1-MIN(ABS(in_elas)*W138*R138*(0)/V138,1)))</f>
        <v/>
      </c>
      <c r="AR138" s="15">
        <f>IF(AP138&gt;0,AQ138/AP138,"")</f>
        <v/>
      </c>
      <c r="AS138" s="16">
        <f>50*AB138</f>
        <v/>
      </c>
      <c r="AT138" s="30">
        <f>MAX(BM138:BW138)</f>
        <v/>
      </c>
      <c r="AU138" s="31">
        <f>AI138*(MATCH(AT138,BM138:BW138,0)-1)/10</f>
        <v/>
      </c>
      <c r="AV138" s="31">
        <f>INDEX(BB138:BL138,1,(MATCH(AT138,BM138:BW138,0)-1)+1)</f>
        <v/>
      </c>
      <c r="AW138" s="31">
        <f>AB138*AU138</f>
        <v/>
      </c>
      <c r="AX138" s="30">
        <f>AC138*AU138</f>
        <v/>
      </c>
      <c r="AY138" s="31">
        <f>AD138*AU138+AE138*AV138</f>
        <v/>
      </c>
      <c r="AZ138" s="32">
        <f>TRIM(IF(AND(AU138&gt;0,ABS(AU138-AF138)&lt;1E-6),"F1 ","")&amp;IF(AND(AU138&gt;0,ABS(AU138-AG138)&lt;1E-6),"F2 ","")&amp;IF(AY138&gt;=in_f3-1E-6,"F3 ","")&amp;IF(AV138&gt;=in_cap-1E-9,"rate cap",""))</f>
        <v/>
      </c>
      <c r="BA138" s="31">
        <f>Q138*AT138/100</f>
        <v/>
      </c>
      <c r="BB138" s="16">
        <f>MAX(0,MIN(in_cap,IF(AE138&gt;0,(in_f3-AD138*AI138*0/10)/AE138,in_cap)))</f>
        <v/>
      </c>
      <c r="BC138" s="16">
        <f>MAX(0,MIN(in_cap,IF(AE138&gt;0,(in_f3-AD138*AI138*1/10)/AE138,in_cap)))</f>
        <v/>
      </c>
      <c r="BD138" s="16">
        <f>MAX(0,MIN(in_cap,IF(AE138&gt;0,(in_f3-AD138*AI138*2/10)/AE138,in_cap)))</f>
        <v/>
      </c>
      <c r="BE138" s="16">
        <f>MAX(0,MIN(in_cap,IF(AE138&gt;0,(in_f3-AD138*AI138*3/10)/AE138,in_cap)))</f>
        <v/>
      </c>
      <c r="BF138" s="16">
        <f>MAX(0,MIN(in_cap,IF(AE138&gt;0,(in_f3-AD138*AI138*4/10)/AE138,in_cap)))</f>
        <v/>
      </c>
      <c r="BG138" s="16">
        <f>MAX(0,MIN(in_cap,IF(AE138&gt;0,(in_f3-AD138*AI138*5/10)/AE138,in_cap)))</f>
        <v/>
      </c>
      <c r="BH138" s="16">
        <f>MAX(0,MIN(in_cap,IF(AE138&gt;0,(in_f3-AD138*AI138*6/10)/AE138,in_cap)))</f>
        <v/>
      </c>
      <c r="BI138" s="16">
        <f>MAX(0,MIN(in_cap,IF(AE138&gt;0,(in_f3-AD138*AI138*7/10)/AE138,in_cap)))</f>
        <v/>
      </c>
      <c r="BJ138" s="16">
        <f>MAX(0,MIN(in_cap,IF(AE138&gt;0,(in_f3-AD138*AI138*8/10)/AE138,in_cap)))</f>
        <v/>
      </c>
      <c r="BK138" s="16">
        <f>MAX(0,MIN(in_cap,IF(AE138&gt;0,(in_f3-AD138*AI138*9/10)/AE138,in_cap)))</f>
        <v/>
      </c>
      <c r="BL138" s="16">
        <f>MAX(0,MIN(in_cap,IF(AE138&gt;0,(in_f3-AD138*AI138*10/10)/AE138,in_cap)))</f>
        <v/>
      </c>
      <c r="BM138" s="15">
        <f>100*(1-(1-X138*(1-EXP(-((AI138*0/10)+(BB138))/Y138)))*(1-MIN(ABS(in_elas)*W138*R138*(AI138*0/10)/V138,1)))</f>
        <v/>
      </c>
      <c r="BN138" s="15">
        <f>100*(1-(1-X138*(1-EXP(-((AI138*1/10)+(BC138))/Y138)))*(1-MIN(ABS(in_elas)*W138*R138*(AI138*1/10)/V138,1)))</f>
        <v/>
      </c>
      <c r="BO138" s="15">
        <f>100*(1-(1-X138*(1-EXP(-((AI138*2/10)+(BD138))/Y138)))*(1-MIN(ABS(in_elas)*W138*R138*(AI138*2/10)/V138,1)))</f>
        <v/>
      </c>
      <c r="BP138" s="15">
        <f>100*(1-(1-X138*(1-EXP(-((AI138*3/10)+(BE138))/Y138)))*(1-MIN(ABS(in_elas)*W138*R138*(AI138*3/10)/V138,1)))</f>
        <v/>
      </c>
      <c r="BQ138" s="15">
        <f>100*(1-(1-X138*(1-EXP(-((AI138*4/10)+(BF138))/Y138)))*(1-MIN(ABS(in_elas)*W138*R138*(AI138*4/10)/V138,1)))</f>
        <v/>
      </c>
      <c r="BR138" s="15">
        <f>100*(1-(1-X138*(1-EXP(-((AI138*5/10)+(BG138))/Y138)))*(1-MIN(ABS(in_elas)*W138*R138*(AI138*5/10)/V138,1)))</f>
        <v/>
      </c>
      <c r="BS138" s="15">
        <f>100*(1-(1-X138*(1-EXP(-((AI138*6/10)+(BH138))/Y138)))*(1-MIN(ABS(in_elas)*W138*R138*(AI138*6/10)/V138,1)))</f>
        <v/>
      </c>
      <c r="BT138" s="15">
        <f>100*(1-(1-X138*(1-EXP(-((AI138*7/10)+(BI138))/Y138)))*(1-MIN(ABS(in_elas)*W138*R138*(AI138*7/10)/V138,1)))</f>
        <v/>
      </c>
      <c r="BU138" s="15">
        <f>100*(1-(1-X138*(1-EXP(-((AI138*8/10)+(BJ138))/Y138)))*(1-MIN(ABS(in_elas)*W138*R138*(AI138*8/10)/V138,1)))</f>
        <v/>
      </c>
      <c r="BV138" s="15">
        <f>100*(1-(1-X138*(1-EXP(-((AI138*9/10)+(BK138))/Y138)))*(1-MIN(ABS(in_elas)*W138*R138*(AI138*9/10)/V138,1)))</f>
        <v/>
      </c>
      <c r="BW138" s="15">
        <f>100*(1-(1-X138*(1-EXP(-((AI138*10/10)+(BL138))/Y138)))*(1-MIN(ABS(in_elas)*W138*R138*(AI138*10/10)/V138,1)))</f>
        <v/>
      </c>
    </row>
    <row r="139">
      <c r="A139" s="17" t="inlineStr">
        <is>
          <t>SGP</t>
        </is>
      </c>
      <c r="B139" s="17">
        <f>INDEX(Data!$B:$B,MATCH($A139,Data!$A:$A,0))</f>
        <v/>
      </c>
      <c r="C139" s="17">
        <f>INDEX(Data!$D:$D,MATCH($A139,Data!$A:$A,0))</f>
        <v/>
      </c>
      <c r="D139" s="16">
        <f>SUMIFS(Data!$G:$G,Data!$A:$A,$A139,Data!$F:$F,"gen_coal_twh")</f>
        <v/>
      </c>
      <c r="E139" s="16">
        <f>SUMIFS(Data!$G:$G,Data!$A:$A,$A139,Data!$F:$F,"gen_gas_twh")</f>
        <v/>
      </c>
      <c r="F139" s="16">
        <f>SUMIFS(Data!$G:$G,Data!$A:$A,$A139,Data!$F:$F,"gen_oil_twh")</f>
        <v/>
      </c>
      <c r="G139" s="16">
        <f>SUMIFS(Data!$G:$G,Data!$A:$A,$A139,Data!$F:$F,"gen_total_twh")</f>
        <v/>
      </c>
      <c r="H139" s="16">
        <f>SUMIFS(Data!$G:$G,Data!$A:$A,$A139,Data!$F:$F,"em_coal_mt")</f>
        <v/>
      </c>
      <c r="I139" s="16">
        <f>SUMIFS(Data!$G:$G,Data!$A:$A,$A139,Data!$F:$F,"em_gas_mt")</f>
        <v/>
      </c>
      <c r="J139" s="16">
        <f>SUMIFS(Data!$G:$G,Data!$A:$A,$A139,Data!$F:$F,"em_oil_mt")</f>
        <v/>
      </c>
      <c r="K139" s="28">
        <f>IF(COUNTIFS(Data!$A:$A,$A139,Data!$F:$F,"price_electricity_residential_usd_kwh")=0,"",SUMIFS(Data!$G:$G,Data!$A:$A,$A139,Data!$F:$F,"price_electricity_residential_usd_kwh"))</f>
        <v/>
      </c>
      <c r="L139" s="28">
        <f>IF(COUNTIFS(Data!$A:$A,$A139,Data!$F:$F,"price_coal_power_usd_gj")=0,"",SUMIFS(Data!$G:$G,Data!$A:$A,$A139,Data!$F:$F,"price_coal_power_usd_gj"))</f>
        <v/>
      </c>
      <c r="M139" s="28">
        <f>IF(COUNTIFS(Data!$A:$A,$A139,Data!$F:$F,"price_gas_power_usd_gj")=0,"",SUMIFS(Data!$G:$G,Data!$A:$A,$A139,Data!$F:$F,"price_gas_power_usd_gj"))</f>
        <v/>
      </c>
      <c r="N139" s="28">
        <f>IF(COUNTIFS(Data!$A:$A,$A139,Data!$F:$F,"price_gas_industry_usd_gj")=0,"",SUMIFS(Data!$G:$G,Data!$A:$A,$A139,Data!$F:$F,"price_gas_industry_usd_gj"))</f>
        <v/>
      </c>
      <c r="O139" s="28">
        <f>IF(COUNTIFS(Data!$A:$A,$A139,Data!$F:$F,"power_market_structure")=0,"",SUMIFS(Data!$G:$G,Data!$A:$A,$A139,Data!$F:$F,"power_market_structure"))</f>
        <v/>
      </c>
      <c r="P139" s="28">
        <f>IF(COUNTIFS(Data!$A:$A,$A139,Data!$F:$F,"rise_renewable_energy_score")=0,"",SUMIFS(Data!$G:$G,Data!$A:$A,$A139,Data!$F:$F,"rise_renewable_energy_score"))</f>
        <v/>
      </c>
      <c r="Q139" s="16">
        <f>H139+I139+J139</f>
        <v/>
      </c>
      <c r="R139" s="28">
        <f>Q139/G139</f>
        <v/>
      </c>
      <c r="S139" s="28">
        <f>IF(D139&gt;0,H139/D139,0.85)</f>
        <v/>
      </c>
      <c r="T139" s="28">
        <f>IF(E139&gt;0,I139/E139,0.4)</f>
        <v/>
      </c>
      <c r="U139" s="28">
        <f>IF(D139+F139&gt;0,(H139+J139)/(D139+F139),0)</f>
        <v/>
      </c>
      <c r="V139" s="16">
        <f>K139*1000</f>
        <v/>
      </c>
      <c r="W139" s="15">
        <f>IF(O139=3,in_pt3,IF(O139=2,in_pt2,IF(O139=1,in_pt1,IF(C139="High income",in_pt_hi,in_pt_oth))))</f>
        <v/>
      </c>
      <c r="X139" s="28">
        <f>IF(Q139&gt;0,in_kappa*(in_rise_lo+(in_rise_hi-in_rise_lo)*IF(P139="",in_rise_miss,P139)/100)*(D139+F139)*MAX(U139-in_gas_rep*T139,0)/Q139,0)</f>
        <v/>
      </c>
      <c r="Y139" s="16">
        <f>IF(IF(M139="",N139,M139)="",MAX(in_sw_floor,in_sw_miss),MAX(in_sw_floor,(IF(M139="",N139,M139)*in_hr_gas-L139*in_hr_coal)/MAX(S139-T139,0.1)))</f>
        <v/>
      </c>
      <c r="Z139" s="28">
        <f>IF(C139="Low income",in_b40_li,IF(C139="Lower middle income",in_b40_lmi,IF(C139="Upper middle income",in_b40_umi,IF(C139="High income",in_b40_hi,0.03))))</f>
        <v/>
      </c>
      <c r="AA139" s="15">
        <f>(D139+F139)/G139</f>
        <v/>
      </c>
      <c r="AB139" s="28">
        <f>100*W139*R139/V139/in_phase</f>
        <v/>
      </c>
      <c r="AC139" s="29">
        <f>100*Z139*W139*R139/V139*(1-IF(W139&gt;0,MIN(in_rebate/(W139*in_res_sh*in_q40),1),1))</f>
        <v/>
      </c>
      <c r="AD139" s="28">
        <f>IF(AA139&gt;0,100*U139*(1-W139)/(in_whole_sh*V139),0)</f>
        <v/>
      </c>
      <c r="AE139" s="28">
        <f>IF(AA139&gt;0,100*MAX(U139-R139,0)/(in_whole_sh*V139),0)</f>
        <v/>
      </c>
      <c r="AF139" s="16">
        <f>IF(AB139&gt;0,in_f1/AB139,in_cap)</f>
        <v/>
      </c>
      <c r="AG139" s="16">
        <f>IF(AC139&gt;0,in_f2/AC139,in_cap)</f>
        <v/>
      </c>
      <c r="AH139" s="16">
        <f>IF(AD139&gt;0,in_f3/AD139,in_cap)</f>
        <v/>
      </c>
      <c r="AI139" s="16">
        <f>MIN(in_cap,AF139,AG139,AH139)</f>
        <v/>
      </c>
      <c r="AJ139" s="30">
        <f>100*(1-(1-X139*(1-EXP(-((AI139)+(0))/Y139)))*(1-MIN(ABS(in_elas)*W139*R139*(AI139)/V139,1)))</f>
        <v/>
      </c>
      <c r="AK139" s="17">
        <f>IF(AI139&gt;=in_cap-1E-9,"rate cap",TRIM(IF(ABS(AI139-AF139)&lt;1E-9,"F1 ","")&amp;IF(ABS(AI139-AG139)&lt;1E-9,"F2 ","")&amp;IF(ABS(AI139-AH139)&lt;1E-9,"F3","")))</f>
        <v/>
      </c>
      <c r="AL139" s="15">
        <f>100*(1-(1-X139*(1-EXP(-((MIN(in_cap,IF(AB139&gt;0,(in_f1+1)/AB139,in_cap),AG139,AH139))+(0))/Y139)))*(1-MIN(ABS(in_elas)*W139*R139*(MIN(in_cap,IF(AB139&gt;0,(in_f1+1)/AB139,in_cap),AG139,AH139))/V139,1)))-AJ139</f>
        <v/>
      </c>
      <c r="AM139" s="16">
        <f>MIN(in_cap,IF(AE139&gt;0,in_f3/AE139,in_cap))</f>
        <v/>
      </c>
      <c r="AN139" s="30">
        <f>100*(1-(1-X139*(1-EXP(-((0)+(AM139))/Y139)))*(1-MIN(ABS(in_elas)*W139*R139*(0)/V139,1)))</f>
        <v/>
      </c>
      <c r="AO139" s="17">
        <f>IF(AM139&gt;=in_cap-1E-9,"rate cap","F3")</f>
        <v/>
      </c>
      <c r="AP139" s="15">
        <f>100*(1-(1-X139*(1-EXP(-((50)+(0))/Y139)))*(1-MIN(ABS(in_elas)*W139*R139*(50)/V139,1)))</f>
        <v/>
      </c>
      <c r="AQ139" s="15">
        <f>100*(1-(1-X139*(1-EXP(-((0)+(50))/Y139)))*(1-MIN(ABS(in_elas)*W139*R139*(0)/V139,1)))</f>
        <v/>
      </c>
      <c r="AR139" s="15">
        <f>IF(AP139&gt;0,AQ139/AP139,"")</f>
        <v/>
      </c>
      <c r="AS139" s="16">
        <f>50*AB139</f>
        <v/>
      </c>
      <c r="AT139" s="30">
        <f>MAX(BM139:BW139)</f>
        <v/>
      </c>
      <c r="AU139" s="31">
        <f>AI139*(MATCH(AT139,BM139:BW139,0)-1)/10</f>
        <v/>
      </c>
      <c r="AV139" s="31">
        <f>INDEX(BB139:BL139,1,(MATCH(AT139,BM139:BW139,0)-1)+1)</f>
        <v/>
      </c>
      <c r="AW139" s="31">
        <f>AB139*AU139</f>
        <v/>
      </c>
      <c r="AX139" s="30">
        <f>AC139*AU139</f>
        <v/>
      </c>
      <c r="AY139" s="31">
        <f>AD139*AU139+AE139*AV139</f>
        <v/>
      </c>
      <c r="AZ139" s="32">
        <f>TRIM(IF(AND(AU139&gt;0,ABS(AU139-AF139)&lt;1E-6),"F1 ","")&amp;IF(AND(AU139&gt;0,ABS(AU139-AG139)&lt;1E-6),"F2 ","")&amp;IF(AY139&gt;=in_f3-1E-6,"F3 ","")&amp;IF(AV139&gt;=in_cap-1E-9,"rate cap",""))</f>
        <v/>
      </c>
      <c r="BA139" s="31">
        <f>Q139*AT139/100</f>
        <v/>
      </c>
      <c r="BB139" s="16">
        <f>MAX(0,MIN(in_cap,IF(AE139&gt;0,(in_f3-AD139*AI139*0/10)/AE139,in_cap)))</f>
        <v/>
      </c>
      <c r="BC139" s="16">
        <f>MAX(0,MIN(in_cap,IF(AE139&gt;0,(in_f3-AD139*AI139*1/10)/AE139,in_cap)))</f>
        <v/>
      </c>
      <c r="BD139" s="16">
        <f>MAX(0,MIN(in_cap,IF(AE139&gt;0,(in_f3-AD139*AI139*2/10)/AE139,in_cap)))</f>
        <v/>
      </c>
      <c r="BE139" s="16">
        <f>MAX(0,MIN(in_cap,IF(AE139&gt;0,(in_f3-AD139*AI139*3/10)/AE139,in_cap)))</f>
        <v/>
      </c>
      <c r="BF139" s="16">
        <f>MAX(0,MIN(in_cap,IF(AE139&gt;0,(in_f3-AD139*AI139*4/10)/AE139,in_cap)))</f>
        <v/>
      </c>
      <c r="BG139" s="16">
        <f>MAX(0,MIN(in_cap,IF(AE139&gt;0,(in_f3-AD139*AI139*5/10)/AE139,in_cap)))</f>
        <v/>
      </c>
      <c r="BH139" s="16">
        <f>MAX(0,MIN(in_cap,IF(AE139&gt;0,(in_f3-AD139*AI139*6/10)/AE139,in_cap)))</f>
        <v/>
      </c>
      <c r="BI139" s="16">
        <f>MAX(0,MIN(in_cap,IF(AE139&gt;0,(in_f3-AD139*AI139*7/10)/AE139,in_cap)))</f>
        <v/>
      </c>
      <c r="BJ139" s="16">
        <f>MAX(0,MIN(in_cap,IF(AE139&gt;0,(in_f3-AD139*AI139*8/10)/AE139,in_cap)))</f>
        <v/>
      </c>
      <c r="BK139" s="16">
        <f>MAX(0,MIN(in_cap,IF(AE139&gt;0,(in_f3-AD139*AI139*9/10)/AE139,in_cap)))</f>
        <v/>
      </c>
      <c r="BL139" s="16">
        <f>MAX(0,MIN(in_cap,IF(AE139&gt;0,(in_f3-AD139*AI139*10/10)/AE139,in_cap)))</f>
        <v/>
      </c>
      <c r="BM139" s="15">
        <f>100*(1-(1-X139*(1-EXP(-((AI139*0/10)+(BB139))/Y139)))*(1-MIN(ABS(in_elas)*W139*R139*(AI139*0/10)/V139,1)))</f>
        <v/>
      </c>
      <c r="BN139" s="15">
        <f>100*(1-(1-X139*(1-EXP(-((AI139*1/10)+(BC139))/Y139)))*(1-MIN(ABS(in_elas)*W139*R139*(AI139*1/10)/V139,1)))</f>
        <v/>
      </c>
      <c r="BO139" s="15">
        <f>100*(1-(1-X139*(1-EXP(-((AI139*2/10)+(BD139))/Y139)))*(1-MIN(ABS(in_elas)*W139*R139*(AI139*2/10)/V139,1)))</f>
        <v/>
      </c>
      <c r="BP139" s="15">
        <f>100*(1-(1-X139*(1-EXP(-((AI139*3/10)+(BE139))/Y139)))*(1-MIN(ABS(in_elas)*W139*R139*(AI139*3/10)/V139,1)))</f>
        <v/>
      </c>
      <c r="BQ139" s="15">
        <f>100*(1-(1-X139*(1-EXP(-((AI139*4/10)+(BF139))/Y139)))*(1-MIN(ABS(in_elas)*W139*R139*(AI139*4/10)/V139,1)))</f>
        <v/>
      </c>
      <c r="BR139" s="15">
        <f>100*(1-(1-X139*(1-EXP(-((AI139*5/10)+(BG139))/Y139)))*(1-MIN(ABS(in_elas)*W139*R139*(AI139*5/10)/V139,1)))</f>
        <v/>
      </c>
      <c r="BS139" s="15">
        <f>100*(1-(1-X139*(1-EXP(-((AI139*6/10)+(BH139))/Y139)))*(1-MIN(ABS(in_elas)*W139*R139*(AI139*6/10)/V139,1)))</f>
        <v/>
      </c>
      <c r="BT139" s="15">
        <f>100*(1-(1-X139*(1-EXP(-((AI139*7/10)+(BI139))/Y139)))*(1-MIN(ABS(in_elas)*W139*R139*(AI139*7/10)/V139,1)))</f>
        <v/>
      </c>
      <c r="BU139" s="15">
        <f>100*(1-(1-X139*(1-EXP(-((AI139*8/10)+(BJ139))/Y139)))*(1-MIN(ABS(in_elas)*W139*R139*(AI139*8/10)/V139,1)))</f>
        <v/>
      </c>
      <c r="BV139" s="15">
        <f>100*(1-(1-X139*(1-EXP(-((AI139*9/10)+(BK139))/Y139)))*(1-MIN(ABS(in_elas)*W139*R139*(AI139*9/10)/V139,1)))</f>
        <v/>
      </c>
      <c r="BW139" s="15">
        <f>100*(1-(1-X139*(1-EXP(-((AI139*10/10)+(BL139))/Y139)))*(1-MIN(ABS(in_elas)*W139*R139*(AI139*10/10)/V139,1)))</f>
        <v/>
      </c>
    </row>
    <row r="140">
      <c r="A140" s="17" t="inlineStr">
        <is>
          <t>SLB</t>
        </is>
      </c>
      <c r="B140" s="17">
        <f>INDEX(Data!$B:$B,MATCH($A140,Data!$A:$A,0))</f>
        <v/>
      </c>
      <c r="C140" s="17">
        <f>INDEX(Data!$D:$D,MATCH($A140,Data!$A:$A,0))</f>
        <v/>
      </c>
      <c r="D140" s="16">
        <f>SUMIFS(Data!$G:$G,Data!$A:$A,$A140,Data!$F:$F,"gen_coal_twh")</f>
        <v/>
      </c>
      <c r="E140" s="16">
        <f>SUMIFS(Data!$G:$G,Data!$A:$A,$A140,Data!$F:$F,"gen_gas_twh")</f>
        <v/>
      </c>
      <c r="F140" s="16">
        <f>SUMIFS(Data!$G:$G,Data!$A:$A,$A140,Data!$F:$F,"gen_oil_twh")</f>
        <v/>
      </c>
      <c r="G140" s="16">
        <f>SUMIFS(Data!$G:$G,Data!$A:$A,$A140,Data!$F:$F,"gen_total_twh")</f>
        <v/>
      </c>
      <c r="H140" s="16">
        <f>SUMIFS(Data!$G:$G,Data!$A:$A,$A140,Data!$F:$F,"em_coal_mt")</f>
        <v/>
      </c>
      <c r="I140" s="16">
        <f>SUMIFS(Data!$G:$G,Data!$A:$A,$A140,Data!$F:$F,"em_gas_mt")</f>
        <v/>
      </c>
      <c r="J140" s="16">
        <f>SUMIFS(Data!$G:$G,Data!$A:$A,$A140,Data!$F:$F,"em_oil_mt")</f>
        <v/>
      </c>
      <c r="K140" s="28">
        <f>IF(COUNTIFS(Data!$A:$A,$A140,Data!$F:$F,"price_electricity_residential_usd_kwh")=0,"",SUMIFS(Data!$G:$G,Data!$A:$A,$A140,Data!$F:$F,"price_electricity_residential_usd_kwh"))</f>
        <v/>
      </c>
      <c r="L140" s="28">
        <f>IF(COUNTIFS(Data!$A:$A,$A140,Data!$F:$F,"price_coal_power_usd_gj")=0,"",SUMIFS(Data!$G:$G,Data!$A:$A,$A140,Data!$F:$F,"price_coal_power_usd_gj"))</f>
        <v/>
      </c>
      <c r="M140" s="28">
        <f>IF(COUNTIFS(Data!$A:$A,$A140,Data!$F:$F,"price_gas_power_usd_gj")=0,"",SUMIFS(Data!$G:$G,Data!$A:$A,$A140,Data!$F:$F,"price_gas_power_usd_gj"))</f>
        <v/>
      </c>
      <c r="N140" s="28">
        <f>IF(COUNTIFS(Data!$A:$A,$A140,Data!$F:$F,"price_gas_industry_usd_gj")=0,"",SUMIFS(Data!$G:$G,Data!$A:$A,$A140,Data!$F:$F,"price_gas_industry_usd_gj"))</f>
        <v/>
      </c>
      <c r="O140" s="28">
        <f>IF(COUNTIFS(Data!$A:$A,$A140,Data!$F:$F,"power_market_structure")=0,"",SUMIFS(Data!$G:$G,Data!$A:$A,$A140,Data!$F:$F,"power_market_structure"))</f>
        <v/>
      </c>
      <c r="P140" s="28">
        <f>IF(COUNTIFS(Data!$A:$A,$A140,Data!$F:$F,"rise_renewable_energy_score")=0,"",SUMIFS(Data!$G:$G,Data!$A:$A,$A140,Data!$F:$F,"rise_renewable_energy_score"))</f>
        <v/>
      </c>
      <c r="Q140" s="16">
        <f>H140+I140+J140</f>
        <v/>
      </c>
      <c r="R140" s="28">
        <f>Q140/G140</f>
        <v/>
      </c>
      <c r="S140" s="28">
        <f>IF(D140&gt;0,H140/D140,0.85)</f>
        <v/>
      </c>
      <c r="T140" s="28">
        <f>IF(E140&gt;0,I140/E140,0.4)</f>
        <v/>
      </c>
      <c r="U140" s="28">
        <f>IF(D140+F140&gt;0,(H140+J140)/(D140+F140),0)</f>
        <v/>
      </c>
      <c r="V140" s="16">
        <f>K140*1000</f>
        <v/>
      </c>
      <c r="W140" s="15">
        <f>IF(O140=3,in_pt3,IF(O140=2,in_pt2,IF(O140=1,in_pt1,IF(C140="High income",in_pt_hi,in_pt_oth))))</f>
        <v/>
      </c>
      <c r="X140" s="28">
        <f>IF(Q140&gt;0,in_kappa*(in_rise_lo+(in_rise_hi-in_rise_lo)*IF(P140="",in_rise_miss,P140)/100)*(D140+F140)*MAX(U140-in_gas_rep*T140,0)/Q140,0)</f>
        <v/>
      </c>
      <c r="Y140" s="16">
        <f>IF(IF(M140="",N140,M140)="",MAX(in_sw_floor,in_sw_miss),MAX(in_sw_floor,(IF(M140="",N140,M140)*in_hr_gas-L140*in_hr_coal)/MAX(S140-T140,0.1)))</f>
        <v/>
      </c>
      <c r="Z140" s="28">
        <f>IF(C140="Low income",in_b40_li,IF(C140="Lower middle income",in_b40_lmi,IF(C140="Upper middle income",in_b40_umi,IF(C140="High income",in_b40_hi,0.03))))</f>
        <v/>
      </c>
      <c r="AA140" s="15">
        <f>(D140+F140)/G140</f>
        <v/>
      </c>
      <c r="AB140" s="28">
        <f>100*W140*R140/V140/in_phase</f>
        <v/>
      </c>
      <c r="AC140" s="29">
        <f>100*Z140*W140*R140/V140*(1-IF(W140&gt;0,MIN(in_rebate/(W140*in_res_sh*in_q40),1),1))</f>
        <v/>
      </c>
      <c r="AD140" s="28">
        <f>IF(AA140&gt;0,100*U140*(1-W140)/(in_whole_sh*V140),0)</f>
        <v/>
      </c>
      <c r="AE140" s="28">
        <f>IF(AA140&gt;0,100*MAX(U140-R140,0)/(in_whole_sh*V140),0)</f>
        <v/>
      </c>
      <c r="AF140" s="16">
        <f>IF(AB140&gt;0,in_f1/AB140,in_cap)</f>
        <v/>
      </c>
      <c r="AG140" s="16">
        <f>IF(AC140&gt;0,in_f2/AC140,in_cap)</f>
        <v/>
      </c>
      <c r="AH140" s="16">
        <f>IF(AD140&gt;0,in_f3/AD140,in_cap)</f>
        <v/>
      </c>
      <c r="AI140" s="16">
        <f>MIN(in_cap,AF140,AG140,AH140)</f>
        <v/>
      </c>
      <c r="AJ140" s="30">
        <f>100*(1-(1-X140*(1-EXP(-((AI140)+(0))/Y140)))*(1-MIN(ABS(in_elas)*W140*R140*(AI140)/V140,1)))</f>
        <v/>
      </c>
      <c r="AK140" s="17">
        <f>IF(AI140&gt;=in_cap-1E-9,"rate cap",TRIM(IF(ABS(AI140-AF140)&lt;1E-9,"F1 ","")&amp;IF(ABS(AI140-AG140)&lt;1E-9,"F2 ","")&amp;IF(ABS(AI140-AH140)&lt;1E-9,"F3","")))</f>
        <v/>
      </c>
      <c r="AL140" s="15">
        <f>100*(1-(1-X140*(1-EXP(-((MIN(in_cap,IF(AB140&gt;0,(in_f1+1)/AB140,in_cap),AG140,AH140))+(0))/Y140)))*(1-MIN(ABS(in_elas)*W140*R140*(MIN(in_cap,IF(AB140&gt;0,(in_f1+1)/AB140,in_cap),AG140,AH140))/V140,1)))-AJ140</f>
        <v/>
      </c>
      <c r="AM140" s="16">
        <f>MIN(in_cap,IF(AE140&gt;0,in_f3/AE140,in_cap))</f>
        <v/>
      </c>
      <c r="AN140" s="30">
        <f>100*(1-(1-X140*(1-EXP(-((0)+(AM140))/Y140)))*(1-MIN(ABS(in_elas)*W140*R140*(0)/V140,1)))</f>
        <v/>
      </c>
      <c r="AO140" s="17">
        <f>IF(AM140&gt;=in_cap-1E-9,"rate cap","F3")</f>
        <v/>
      </c>
      <c r="AP140" s="15">
        <f>100*(1-(1-X140*(1-EXP(-((50)+(0))/Y140)))*(1-MIN(ABS(in_elas)*W140*R140*(50)/V140,1)))</f>
        <v/>
      </c>
      <c r="AQ140" s="15">
        <f>100*(1-(1-X140*(1-EXP(-((0)+(50))/Y140)))*(1-MIN(ABS(in_elas)*W140*R140*(0)/V140,1)))</f>
        <v/>
      </c>
      <c r="AR140" s="15">
        <f>IF(AP140&gt;0,AQ140/AP140,"")</f>
        <v/>
      </c>
      <c r="AS140" s="16">
        <f>50*AB140</f>
        <v/>
      </c>
      <c r="AT140" s="30">
        <f>MAX(BM140:BW140)</f>
        <v/>
      </c>
      <c r="AU140" s="31">
        <f>AI140*(MATCH(AT140,BM140:BW140,0)-1)/10</f>
        <v/>
      </c>
      <c r="AV140" s="31">
        <f>INDEX(BB140:BL140,1,(MATCH(AT140,BM140:BW140,0)-1)+1)</f>
        <v/>
      </c>
      <c r="AW140" s="31">
        <f>AB140*AU140</f>
        <v/>
      </c>
      <c r="AX140" s="30">
        <f>AC140*AU140</f>
        <v/>
      </c>
      <c r="AY140" s="31">
        <f>AD140*AU140+AE140*AV140</f>
        <v/>
      </c>
      <c r="AZ140" s="32">
        <f>TRIM(IF(AND(AU140&gt;0,ABS(AU140-AF140)&lt;1E-6),"F1 ","")&amp;IF(AND(AU140&gt;0,ABS(AU140-AG140)&lt;1E-6),"F2 ","")&amp;IF(AY140&gt;=in_f3-1E-6,"F3 ","")&amp;IF(AV140&gt;=in_cap-1E-9,"rate cap",""))</f>
        <v/>
      </c>
      <c r="BA140" s="31">
        <f>Q140*AT140/100</f>
        <v/>
      </c>
      <c r="BB140" s="16">
        <f>MAX(0,MIN(in_cap,IF(AE140&gt;0,(in_f3-AD140*AI140*0/10)/AE140,in_cap)))</f>
        <v/>
      </c>
      <c r="BC140" s="16">
        <f>MAX(0,MIN(in_cap,IF(AE140&gt;0,(in_f3-AD140*AI140*1/10)/AE140,in_cap)))</f>
        <v/>
      </c>
      <c r="BD140" s="16">
        <f>MAX(0,MIN(in_cap,IF(AE140&gt;0,(in_f3-AD140*AI140*2/10)/AE140,in_cap)))</f>
        <v/>
      </c>
      <c r="BE140" s="16">
        <f>MAX(0,MIN(in_cap,IF(AE140&gt;0,(in_f3-AD140*AI140*3/10)/AE140,in_cap)))</f>
        <v/>
      </c>
      <c r="BF140" s="16">
        <f>MAX(0,MIN(in_cap,IF(AE140&gt;0,(in_f3-AD140*AI140*4/10)/AE140,in_cap)))</f>
        <v/>
      </c>
      <c r="BG140" s="16">
        <f>MAX(0,MIN(in_cap,IF(AE140&gt;0,(in_f3-AD140*AI140*5/10)/AE140,in_cap)))</f>
        <v/>
      </c>
      <c r="BH140" s="16">
        <f>MAX(0,MIN(in_cap,IF(AE140&gt;0,(in_f3-AD140*AI140*6/10)/AE140,in_cap)))</f>
        <v/>
      </c>
      <c r="BI140" s="16">
        <f>MAX(0,MIN(in_cap,IF(AE140&gt;0,(in_f3-AD140*AI140*7/10)/AE140,in_cap)))</f>
        <v/>
      </c>
      <c r="BJ140" s="16">
        <f>MAX(0,MIN(in_cap,IF(AE140&gt;0,(in_f3-AD140*AI140*8/10)/AE140,in_cap)))</f>
        <v/>
      </c>
      <c r="BK140" s="16">
        <f>MAX(0,MIN(in_cap,IF(AE140&gt;0,(in_f3-AD140*AI140*9/10)/AE140,in_cap)))</f>
        <v/>
      </c>
      <c r="BL140" s="16">
        <f>MAX(0,MIN(in_cap,IF(AE140&gt;0,(in_f3-AD140*AI140*10/10)/AE140,in_cap)))</f>
        <v/>
      </c>
      <c r="BM140" s="15">
        <f>100*(1-(1-X140*(1-EXP(-((AI140*0/10)+(BB140))/Y140)))*(1-MIN(ABS(in_elas)*W140*R140*(AI140*0/10)/V140,1)))</f>
        <v/>
      </c>
      <c r="BN140" s="15">
        <f>100*(1-(1-X140*(1-EXP(-((AI140*1/10)+(BC140))/Y140)))*(1-MIN(ABS(in_elas)*W140*R140*(AI140*1/10)/V140,1)))</f>
        <v/>
      </c>
      <c r="BO140" s="15">
        <f>100*(1-(1-X140*(1-EXP(-((AI140*2/10)+(BD140))/Y140)))*(1-MIN(ABS(in_elas)*W140*R140*(AI140*2/10)/V140,1)))</f>
        <v/>
      </c>
      <c r="BP140" s="15">
        <f>100*(1-(1-X140*(1-EXP(-((AI140*3/10)+(BE140))/Y140)))*(1-MIN(ABS(in_elas)*W140*R140*(AI140*3/10)/V140,1)))</f>
        <v/>
      </c>
      <c r="BQ140" s="15">
        <f>100*(1-(1-X140*(1-EXP(-((AI140*4/10)+(BF140))/Y140)))*(1-MIN(ABS(in_elas)*W140*R140*(AI140*4/10)/V140,1)))</f>
        <v/>
      </c>
      <c r="BR140" s="15">
        <f>100*(1-(1-X140*(1-EXP(-((AI140*5/10)+(BG140))/Y140)))*(1-MIN(ABS(in_elas)*W140*R140*(AI140*5/10)/V140,1)))</f>
        <v/>
      </c>
      <c r="BS140" s="15">
        <f>100*(1-(1-X140*(1-EXP(-((AI140*6/10)+(BH140))/Y140)))*(1-MIN(ABS(in_elas)*W140*R140*(AI140*6/10)/V140,1)))</f>
        <v/>
      </c>
      <c r="BT140" s="15">
        <f>100*(1-(1-X140*(1-EXP(-((AI140*7/10)+(BI140))/Y140)))*(1-MIN(ABS(in_elas)*W140*R140*(AI140*7/10)/V140,1)))</f>
        <v/>
      </c>
      <c r="BU140" s="15">
        <f>100*(1-(1-X140*(1-EXP(-((AI140*8/10)+(BJ140))/Y140)))*(1-MIN(ABS(in_elas)*W140*R140*(AI140*8/10)/V140,1)))</f>
        <v/>
      </c>
      <c r="BV140" s="15">
        <f>100*(1-(1-X140*(1-EXP(-((AI140*9/10)+(BK140))/Y140)))*(1-MIN(ABS(in_elas)*W140*R140*(AI140*9/10)/V140,1)))</f>
        <v/>
      </c>
      <c r="BW140" s="15">
        <f>100*(1-(1-X140*(1-EXP(-((AI140*10/10)+(BL140))/Y140)))*(1-MIN(ABS(in_elas)*W140*R140*(AI140*10/10)/V140,1)))</f>
        <v/>
      </c>
    </row>
    <row r="141">
      <c r="A141" s="17" t="inlineStr">
        <is>
          <t>SLE</t>
        </is>
      </c>
      <c r="B141" s="17">
        <f>INDEX(Data!$B:$B,MATCH($A141,Data!$A:$A,0))</f>
        <v/>
      </c>
      <c r="C141" s="17">
        <f>INDEX(Data!$D:$D,MATCH($A141,Data!$A:$A,0))</f>
        <v/>
      </c>
      <c r="D141" s="16">
        <f>SUMIFS(Data!$G:$G,Data!$A:$A,$A141,Data!$F:$F,"gen_coal_twh")</f>
        <v/>
      </c>
      <c r="E141" s="16">
        <f>SUMIFS(Data!$G:$G,Data!$A:$A,$A141,Data!$F:$F,"gen_gas_twh")</f>
        <v/>
      </c>
      <c r="F141" s="16">
        <f>SUMIFS(Data!$G:$G,Data!$A:$A,$A141,Data!$F:$F,"gen_oil_twh")</f>
        <v/>
      </c>
      <c r="G141" s="16">
        <f>SUMIFS(Data!$G:$G,Data!$A:$A,$A141,Data!$F:$F,"gen_total_twh")</f>
        <v/>
      </c>
      <c r="H141" s="16">
        <f>SUMIFS(Data!$G:$G,Data!$A:$A,$A141,Data!$F:$F,"em_coal_mt")</f>
        <v/>
      </c>
      <c r="I141" s="16">
        <f>SUMIFS(Data!$G:$G,Data!$A:$A,$A141,Data!$F:$F,"em_gas_mt")</f>
        <v/>
      </c>
      <c r="J141" s="16">
        <f>SUMIFS(Data!$G:$G,Data!$A:$A,$A141,Data!$F:$F,"em_oil_mt")</f>
        <v/>
      </c>
      <c r="K141" s="28">
        <f>IF(COUNTIFS(Data!$A:$A,$A141,Data!$F:$F,"price_electricity_residential_usd_kwh")=0,"",SUMIFS(Data!$G:$G,Data!$A:$A,$A141,Data!$F:$F,"price_electricity_residential_usd_kwh"))</f>
        <v/>
      </c>
      <c r="L141" s="28">
        <f>IF(COUNTIFS(Data!$A:$A,$A141,Data!$F:$F,"price_coal_power_usd_gj")=0,"",SUMIFS(Data!$G:$G,Data!$A:$A,$A141,Data!$F:$F,"price_coal_power_usd_gj"))</f>
        <v/>
      </c>
      <c r="M141" s="28">
        <f>IF(COUNTIFS(Data!$A:$A,$A141,Data!$F:$F,"price_gas_power_usd_gj")=0,"",SUMIFS(Data!$G:$G,Data!$A:$A,$A141,Data!$F:$F,"price_gas_power_usd_gj"))</f>
        <v/>
      </c>
      <c r="N141" s="28">
        <f>IF(COUNTIFS(Data!$A:$A,$A141,Data!$F:$F,"price_gas_industry_usd_gj")=0,"",SUMIFS(Data!$G:$G,Data!$A:$A,$A141,Data!$F:$F,"price_gas_industry_usd_gj"))</f>
        <v/>
      </c>
      <c r="O141" s="28">
        <f>IF(COUNTIFS(Data!$A:$A,$A141,Data!$F:$F,"power_market_structure")=0,"",SUMIFS(Data!$G:$G,Data!$A:$A,$A141,Data!$F:$F,"power_market_structure"))</f>
        <v/>
      </c>
      <c r="P141" s="28">
        <f>IF(COUNTIFS(Data!$A:$A,$A141,Data!$F:$F,"rise_renewable_energy_score")=0,"",SUMIFS(Data!$G:$G,Data!$A:$A,$A141,Data!$F:$F,"rise_renewable_energy_score"))</f>
        <v/>
      </c>
      <c r="Q141" s="16">
        <f>H141+I141+J141</f>
        <v/>
      </c>
      <c r="R141" s="28">
        <f>Q141/G141</f>
        <v/>
      </c>
      <c r="S141" s="28">
        <f>IF(D141&gt;0,H141/D141,0.85)</f>
        <v/>
      </c>
      <c r="T141" s="28">
        <f>IF(E141&gt;0,I141/E141,0.4)</f>
        <v/>
      </c>
      <c r="U141" s="28">
        <f>IF(D141+F141&gt;0,(H141+J141)/(D141+F141),0)</f>
        <v/>
      </c>
      <c r="V141" s="16">
        <f>K141*1000</f>
        <v/>
      </c>
      <c r="W141" s="15">
        <f>IF(O141=3,in_pt3,IF(O141=2,in_pt2,IF(O141=1,in_pt1,IF(C141="High income",in_pt_hi,in_pt_oth))))</f>
        <v/>
      </c>
      <c r="X141" s="28">
        <f>IF(Q141&gt;0,in_kappa*(in_rise_lo+(in_rise_hi-in_rise_lo)*IF(P141="",in_rise_miss,P141)/100)*(D141+F141)*MAX(U141-in_gas_rep*T141,0)/Q141,0)</f>
        <v/>
      </c>
      <c r="Y141" s="16">
        <f>IF(IF(M141="",N141,M141)="",MAX(in_sw_floor,in_sw_miss),MAX(in_sw_floor,(IF(M141="",N141,M141)*in_hr_gas-L141*in_hr_coal)/MAX(S141-T141,0.1)))</f>
        <v/>
      </c>
      <c r="Z141" s="28">
        <f>IF(C141="Low income",in_b40_li,IF(C141="Lower middle income",in_b40_lmi,IF(C141="Upper middle income",in_b40_umi,IF(C141="High income",in_b40_hi,0.03))))</f>
        <v/>
      </c>
      <c r="AA141" s="15">
        <f>(D141+F141)/G141</f>
        <v/>
      </c>
      <c r="AB141" s="28">
        <f>100*W141*R141/V141/in_phase</f>
        <v/>
      </c>
      <c r="AC141" s="29">
        <f>100*Z141*W141*R141/V141*(1-IF(W141&gt;0,MIN(in_rebate/(W141*in_res_sh*in_q40),1),1))</f>
        <v/>
      </c>
      <c r="AD141" s="28">
        <f>IF(AA141&gt;0,100*U141*(1-W141)/(in_whole_sh*V141),0)</f>
        <v/>
      </c>
      <c r="AE141" s="28">
        <f>IF(AA141&gt;0,100*MAX(U141-R141,0)/(in_whole_sh*V141),0)</f>
        <v/>
      </c>
      <c r="AF141" s="16">
        <f>IF(AB141&gt;0,in_f1/AB141,in_cap)</f>
        <v/>
      </c>
      <c r="AG141" s="16">
        <f>IF(AC141&gt;0,in_f2/AC141,in_cap)</f>
        <v/>
      </c>
      <c r="AH141" s="16">
        <f>IF(AD141&gt;0,in_f3/AD141,in_cap)</f>
        <v/>
      </c>
      <c r="AI141" s="16">
        <f>MIN(in_cap,AF141,AG141,AH141)</f>
        <v/>
      </c>
      <c r="AJ141" s="30">
        <f>100*(1-(1-X141*(1-EXP(-((AI141)+(0))/Y141)))*(1-MIN(ABS(in_elas)*W141*R141*(AI141)/V141,1)))</f>
        <v/>
      </c>
      <c r="AK141" s="17">
        <f>IF(AI141&gt;=in_cap-1E-9,"rate cap",TRIM(IF(ABS(AI141-AF141)&lt;1E-9,"F1 ","")&amp;IF(ABS(AI141-AG141)&lt;1E-9,"F2 ","")&amp;IF(ABS(AI141-AH141)&lt;1E-9,"F3","")))</f>
        <v/>
      </c>
      <c r="AL141" s="15">
        <f>100*(1-(1-X141*(1-EXP(-((MIN(in_cap,IF(AB141&gt;0,(in_f1+1)/AB141,in_cap),AG141,AH141))+(0))/Y141)))*(1-MIN(ABS(in_elas)*W141*R141*(MIN(in_cap,IF(AB141&gt;0,(in_f1+1)/AB141,in_cap),AG141,AH141))/V141,1)))-AJ141</f>
        <v/>
      </c>
      <c r="AM141" s="16">
        <f>MIN(in_cap,IF(AE141&gt;0,in_f3/AE141,in_cap))</f>
        <v/>
      </c>
      <c r="AN141" s="30">
        <f>100*(1-(1-X141*(1-EXP(-((0)+(AM141))/Y141)))*(1-MIN(ABS(in_elas)*W141*R141*(0)/V141,1)))</f>
        <v/>
      </c>
      <c r="AO141" s="17">
        <f>IF(AM141&gt;=in_cap-1E-9,"rate cap","F3")</f>
        <v/>
      </c>
      <c r="AP141" s="15">
        <f>100*(1-(1-X141*(1-EXP(-((50)+(0))/Y141)))*(1-MIN(ABS(in_elas)*W141*R141*(50)/V141,1)))</f>
        <v/>
      </c>
      <c r="AQ141" s="15">
        <f>100*(1-(1-X141*(1-EXP(-((0)+(50))/Y141)))*(1-MIN(ABS(in_elas)*W141*R141*(0)/V141,1)))</f>
        <v/>
      </c>
      <c r="AR141" s="15">
        <f>IF(AP141&gt;0,AQ141/AP141,"")</f>
        <v/>
      </c>
      <c r="AS141" s="16">
        <f>50*AB141</f>
        <v/>
      </c>
      <c r="AT141" s="30">
        <f>MAX(BM141:BW141)</f>
        <v/>
      </c>
      <c r="AU141" s="31">
        <f>AI141*(MATCH(AT141,BM141:BW141,0)-1)/10</f>
        <v/>
      </c>
      <c r="AV141" s="31">
        <f>INDEX(BB141:BL141,1,(MATCH(AT141,BM141:BW141,0)-1)+1)</f>
        <v/>
      </c>
      <c r="AW141" s="31">
        <f>AB141*AU141</f>
        <v/>
      </c>
      <c r="AX141" s="30">
        <f>AC141*AU141</f>
        <v/>
      </c>
      <c r="AY141" s="31">
        <f>AD141*AU141+AE141*AV141</f>
        <v/>
      </c>
      <c r="AZ141" s="32">
        <f>TRIM(IF(AND(AU141&gt;0,ABS(AU141-AF141)&lt;1E-6),"F1 ","")&amp;IF(AND(AU141&gt;0,ABS(AU141-AG141)&lt;1E-6),"F2 ","")&amp;IF(AY141&gt;=in_f3-1E-6,"F3 ","")&amp;IF(AV141&gt;=in_cap-1E-9,"rate cap",""))</f>
        <v/>
      </c>
      <c r="BA141" s="31">
        <f>Q141*AT141/100</f>
        <v/>
      </c>
      <c r="BB141" s="16">
        <f>MAX(0,MIN(in_cap,IF(AE141&gt;0,(in_f3-AD141*AI141*0/10)/AE141,in_cap)))</f>
        <v/>
      </c>
      <c r="BC141" s="16">
        <f>MAX(0,MIN(in_cap,IF(AE141&gt;0,(in_f3-AD141*AI141*1/10)/AE141,in_cap)))</f>
        <v/>
      </c>
      <c r="BD141" s="16">
        <f>MAX(0,MIN(in_cap,IF(AE141&gt;0,(in_f3-AD141*AI141*2/10)/AE141,in_cap)))</f>
        <v/>
      </c>
      <c r="BE141" s="16">
        <f>MAX(0,MIN(in_cap,IF(AE141&gt;0,(in_f3-AD141*AI141*3/10)/AE141,in_cap)))</f>
        <v/>
      </c>
      <c r="BF141" s="16">
        <f>MAX(0,MIN(in_cap,IF(AE141&gt;0,(in_f3-AD141*AI141*4/10)/AE141,in_cap)))</f>
        <v/>
      </c>
      <c r="BG141" s="16">
        <f>MAX(0,MIN(in_cap,IF(AE141&gt;0,(in_f3-AD141*AI141*5/10)/AE141,in_cap)))</f>
        <v/>
      </c>
      <c r="BH141" s="16">
        <f>MAX(0,MIN(in_cap,IF(AE141&gt;0,(in_f3-AD141*AI141*6/10)/AE141,in_cap)))</f>
        <v/>
      </c>
      <c r="BI141" s="16">
        <f>MAX(0,MIN(in_cap,IF(AE141&gt;0,(in_f3-AD141*AI141*7/10)/AE141,in_cap)))</f>
        <v/>
      </c>
      <c r="BJ141" s="16">
        <f>MAX(0,MIN(in_cap,IF(AE141&gt;0,(in_f3-AD141*AI141*8/10)/AE141,in_cap)))</f>
        <v/>
      </c>
      <c r="BK141" s="16">
        <f>MAX(0,MIN(in_cap,IF(AE141&gt;0,(in_f3-AD141*AI141*9/10)/AE141,in_cap)))</f>
        <v/>
      </c>
      <c r="BL141" s="16">
        <f>MAX(0,MIN(in_cap,IF(AE141&gt;0,(in_f3-AD141*AI141*10/10)/AE141,in_cap)))</f>
        <v/>
      </c>
      <c r="BM141" s="15">
        <f>100*(1-(1-X141*(1-EXP(-((AI141*0/10)+(BB141))/Y141)))*(1-MIN(ABS(in_elas)*W141*R141*(AI141*0/10)/V141,1)))</f>
        <v/>
      </c>
      <c r="BN141" s="15">
        <f>100*(1-(1-X141*(1-EXP(-((AI141*1/10)+(BC141))/Y141)))*(1-MIN(ABS(in_elas)*W141*R141*(AI141*1/10)/V141,1)))</f>
        <v/>
      </c>
      <c r="BO141" s="15">
        <f>100*(1-(1-X141*(1-EXP(-((AI141*2/10)+(BD141))/Y141)))*(1-MIN(ABS(in_elas)*W141*R141*(AI141*2/10)/V141,1)))</f>
        <v/>
      </c>
      <c r="BP141" s="15">
        <f>100*(1-(1-X141*(1-EXP(-((AI141*3/10)+(BE141))/Y141)))*(1-MIN(ABS(in_elas)*W141*R141*(AI141*3/10)/V141,1)))</f>
        <v/>
      </c>
      <c r="BQ141" s="15">
        <f>100*(1-(1-X141*(1-EXP(-((AI141*4/10)+(BF141))/Y141)))*(1-MIN(ABS(in_elas)*W141*R141*(AI141*4/10)/V141,1)))</f>
        <v/>
      </c>
      <c r="BR141" s="15">
        <f>100*(1-(1-X141*(1-EXP(-((AI141*5/10)+(BG141))/Y141)))*(1-MIN(ABS(in_elas)*W141*R141*(AI141*5/10)/V141,1)))</f>
        <v/>
      </c>
      <c r="BS141" s="15">
        <f>100*(1-(1-X141*(1-EXP(-((AI141*6/10)+(BH141))/Y141)))*(1-MIN(ABS(in_elas)*W141*R141*(AI141*6/10)/V141,1)))</f>
        <v/>
      </c>
      <c r="BT141" s="15">
        <f>100*(1-(1-X141*(1-EXP(-((AI141*7/10)+(BI141))/Y141)))*(1-MIN(ABS(in_elas)*W141*R141*(AI141*7/10)/V141,1)))</f>
        <v/>
      </c>
      <c r="BU141" s="15">
        <f>100*(1-(1-X141*(1-EXP(-((AI141*8/10)+(BJ141))/Y141)))*(1-MIN(ABS(in_elas)*W141*R141*(AI141*8/10)/V141,1)))</f>
        <v/>
      </c>
      <c r="BV141" s="15">
        <f>100*(1-(1-X141*(1-EXP(-((AI141*9/10)+(BK141))/Y141)))*(1-MIN(ABS(in_elas)*W141*R141*(AI141*9/10)/V141,1)))</f>
        <v/>
      </c>
      <c r="BW141" s="15">
        <f>100*(1-(1-X141*(1-EXP(-((AI141*10/10)+(BL141))/Y141)))*(1-MIN(ABS(in_elas)*W141*R141*(AI141*10/10)/V141,1)))</f>
        <v/>
      </c>
    </row>
    <row r="142">
      <c r="A142" s="17" t="inlineStr">
        <is>
          <t>SLV</t>
        </is>
      </c>
      <c r="B142" s="17">
        <f>INDEX(Data!$B:$B,MATCH($A142,Data!$A:$A,0))</f>
        <v/>
      </c>
      <c r="C142" s="17">
        <f>INDEX(Data!$D:$D,MATCH($A142,Data!$A:$A,0))</f>
        <v/>
      </c>
      <c r="D142" s="16">
        <f>SUMIFS(Data!$G:$G,Data!$A:$A,$A142,Data!$F:$F,"gen_coal_twh")</f>
        <v/>
      </c>
      <c r="E142" s="16">
        <f>SUMIFS(Data!$G:$G,Data!$A:$A,$A142,Data!$F:$F,"gen_gas_twh")</f>
        <v/>
      </c>
      <c r="F142" s="16">
        <f>SUMIFS(Data!$G:$G,Data!$A:$A,$A142,Data!$F:$F,"gen_oil_twh")</f>
        <v/>
      </c>
      <c r="G142" s="16">
        <f>SUMIFS(Data!$G:$G,Data!$A:$A,$A142,Data!$F:$F,"gen_total_twh")</f>
        <v/>
      </c>
      <c r="H142" s="16">
        <f>SUMIFS(Data!$G:$G,Data!$A:$A,$A142,Data!$F:$F,"em_coal_mt")</f>
        <v/>
      </c>
      <c r="I142" s="16">
        <f>SUMIFS(Data!$G:$G,Data!$A:$A,$A142,Data!$F:$F,"em_gas_mt")</f>
        <v/>
      </c>
      <c r="J142" s="16">
        <f>SUMIFS(Data!$G:$G,Data!$A:$A,$A142,Data!$F:$F,"em_oil_mt")</f>
        <v/>
      </c>
      <c r="K142" s="28">
        <f>IF(COUNTIFS(Data!$A:$A,$A142,Data!$F:$F,"price_electricity_residential_usd_kwh")=0,"",SUMIFS(Data!$G:$G,Data!$A:$A,$A142,Data!$F:$F,"price_electricity_residential_usd_kwh"))</f>
        <v/>
      </c>
      <c r="L142" s="28">
        <f>IF(COUNTIFS(Data!$A:$A,$A142,Data!$F:$F,"price_coal_power_usd_gj")=0,"",SUMIFS(Data!$G:$G,Data!$A:$A,$A142,Data!$F:$F,"price_coal_power_usd_gj"))</f>
        <v/>
      </c>
      <c r="M142" s="28">
        <f>IF(COUNTIFS(Data!$A:$A,$A142,Data!$F:$F,"price_gas_power_usd_gj")=0,"",SUMIFS(Data!$G:$G,Data!$A:$A,$A142,Data!$F:$F,"price_gas_power_usd_gj"))</f>
        <v/>
      </c>
      <c r="N142" s="28">
        <f>IF(COUNTIFS(Data!$A:$A,$A142,Data!$F:$F,"price_gas_industry_usd_gj")=0,"",SUMIFS(Data!$G:$G,Data!$A:$A,$A142,Data!$F:$F,"price_gas_industry_usd_gj"))</f>
        <v/>
      </c>
      <c r="O142" s="28">
        <f>IF(COUNTIFS(Data!$A:$A,$A142,Data!$F:$F,"power_market_structure")=0,"",SUMIFS(Data!$G:$G,Data!$A:$A,$A142,Data!$F:$F,"power_market_structure"))</f>
        <v/>
      </c>
      <c r="P142" s="28">
        <f>IF(COUNTIFS(Data!$A:$A,$A142,Data!$F:$F,"rise_renewable_energy_score")=0,"",SUMIFS(Data!$G:$G,Data!$A:$A,$A142,Data!$F:$F,"rise_renewable_energy_score"))</f>
        <v/>
      </c>
      <c r="Q142" s="16">
        <f>H142+I142+J142</f>
        <v/>
      </c>
      <c r="R142" s="28">
        <f>Q142/G142</f>
        <v/>
      </c>
      <c r="S142" s="28">
        <f>IF(D142&gt;0,H142/D142,0.85)</f>
        <v/>
      </c>
      <c r="T142" s="28">
        <f>IF(E142&gt;0,I142/E142,0.4)</f>
        <v/>
      </c>
      <c r="U142" s="28">
        <f>IF(D142+F142&gt;0,(H142+J142)/(D142+F142),0)</f>
        <v/>
      </c>
      <c r="V142" s="16">
        <f>K142*1000</f>
        <v/>
      </c>
      <c r="W142" s="15">
        <f>IF(O142=3,in_pt3,IF(O142=2,in_pt2,IF(O142=1,in_pt1,IF(C142="High income",in_pt_hi,in_pt_oth))))</f>
        <v/>
      </c>
      <c r="X142" s="28">
        <f>IF(Q142&gt;0,in_kappa*(in_rise_lo+(in_rise_hi-in_rise_lo)*IF(P142="",in_rise_miss,P142)/100)*(D142+F142)*MAX(U142-in_gas_rep*T142,0)/Q142,0)</f>
        <v/>
      </c>
      <c r="Y142" s="16">
        <f>IF(IF(M142="",N142,M142)="",MAX(in_sw_floor,in_sw_miss),MAX(in_sw_floor,(IF(M142="",N142,M142)*in_hr_gas-L142*in_hr_coal)/MAX(S142-T142,0.1)))</f>
        <v/>
      </c>
      <c r="Z142" s="28">
        <f>IF(C142="Low income",in_b40_li,IF(C142="Lower middle income",in_b40_lmi,IF(C142="Upper middle income",in_b40_umi,IF(C142="High income",in_b40_hi,0.03))))</f>
        <v/>
      </c>
      <c r="AA142" s="15">
        <f>(D142+F142)/G142</f>
        <v/>
      </c>
      <c r="AB142" s="28">
        <f>100*W142*R142/V142/in_phase</f>
        <v/>
      </c>
      <c r="AC142" s="29">
        <f>100*Z142*W142*R142/V142*(1-IF(W142&gt;0,MIN(in_rebate/(W142*in_res_sh*in_q40),1),1))</f>
        <v/>
      </c>
      <c r="AD142" s="28">
        <f>IF(AA142&gt;0,100*U142*(1-W142)/(in_whole_sh*V142),0)</f>
        <v/>
      </c>
      <c r="AE142" s="28">
        <f>IF(AA142&gt;0,100*MAX(U142-R142,0)/(in_whole_sh*V142),0)</f>
        <v/>
      </c>
      <c r="AF142" s="16">
        <f>IF(AB142&gt;0,in_f1/AB142,in_cap)</f>
        <v/>
      </c>
      <c r="AG142" s="16">
        <f>IF(AC142&gt;0,in_f2/AC142,in_cap)</f>
        <v/>
      </c>
      <c r="AH142" s="16">
        <f>IF(AD142&gt;0,in_f3/AD142,in_cap)</f>
        <v/>
      </c>
      <c r="AI142" s="16">
        <f>MIN(in_cap,AF142,AG142,AH142)</f>
        <v/>
      </c>
      <c r="AJ142" s="30">
        <f>100*(1-(1-X142*(1-EXP(-((AI142)+(0))/Y142)))*(1-MIN(ABS(in_elas)*W142*R142*(AI142)/V142,1)))</f>
        <v/>
      </c>
      <c r="AK142" s="17">
        <f>IF(AI142&gt;=in_cap-1E-9,"rate cap",TRIM(IF(ABS(AI142-AF142)&lt;1E-9,"F1 ","")&amp;IF(ABS(AI142-AG142)&lt;1E-9,"F2 ","")&amp;IF(ABS(AI142-AH142)&lt;1E-9,"F3","")))</f>
        <v/>
      </c>
      <c r="AL142" s="15">
        <f>100*(1-(1-X142*(1-EXP(-((MIN(in_cap,IF(AB142&gt;0,(in_f1+1)/AB142,in_cap),AG142,AH142))+(0))/Y142)))*(1-MIN(ABS(in_elas)*W142*R142*(MIN(in_cap,IF(AB142&gt;0,(in_f1+1)/AB142,in_cap),AG142,AH142))/V142,1)))-AJ142</f>
        <v/>
      </c>
      <c r="AM142" s="16">
        <f>MIN(in_cap,IF(AE142&gt;0,in_f3/AE142,in_cap))</f>
        <v/>
      </c>
      <c r="AN142" s="30">
        <f>100*(1-(1-X142*(1-EXP(-((0)+(AM142))/Y142)))*(1-MIN(ABS(in_elas)*W142*R142*(0)/V142,1)))</f>
        <v/>
      </c>
      <c r="AO142" s="17">
        <f>IF(AM142&gt;=in_cap-1E-9,"rate cap","F3")</f>
        <v/>
      </c>
      <c r="AP142" s="15">
        <f>100*(1-(1-X142*(1-EXP(-((50)+(0))/Y142)))*(1-MIN(ABS(in_elas)*W142*R142*(50)/V142,1)))</f>
        <v/>
      </c>
      <c r="AQ142" s="15">
        <f>100*(1-(1-X142*(1-EXP(-((0)+(50))/Y142)))*(1-MIN(ABS(in_elas)*W142*R142*(0)/V142,1)))</f>
        <v/>
      </c>
      <c r="AR142" s="15">
        <f>IF(AP142&gt;0,AQ142/AP142,"")</f>
        <v/>
      </c>
      <c r="AS142" s="16">
        <f>50*AB142</f>
        <v/>
      </c>
      <c r="AT142" s="30">
        <f>MAX(BM142:BW142)</f>
        <v/>
      </c>
      <c r="AU142" s="31">
        <f>AI142*(MATCH(AT142,BM142:BW142,0)-1)/10</f>
        <v/>
      </c>
      <c r="AV142" s="31">
        <f>INDEX(BB142:BL142,1,(MATCH(AT142,BM142:BW142,0)-1)+1)</f>
        <v/>
      </c>
      <c r="AW142" s="31">
        <f>AB142*AU142</f>
        <v/>
      </c>
      <c r="AX142" s="30">
        <f>AC142*AU142</f>
        <v/>
      </c>
      <c r="AY142" s="31">
        <f>AD142*AU142+AE142*AV142</f>
        <v/>
      </c>
      <c r="AZ142" s="32">
        <f>TRIM(IF(AND(AU142&gt;0,ABS(AU142-AF142)&lt;1E-6),"F1 ","")&amp;IF(AND(AU142&gt;0,ABS(AU142-AG142)&lt;1E-6),"F2 ","")&amp;IF(AY142&gt;=in_f3-1E-6,"F3 ","")&amp;IF(AV142&gt;=in_cap-1E-9,"rate cap",""))</f>
        <v/>
      </c>
      <c r="BA142" s="31">
        <f>Q142*AT142/100</f>
        <v/>
      </c>
      <c r="BB142" s="16">
        <f>MAX(0,MIN(in_cap,IF(AE142&gt;0,(in_f3-AD142*AI142*0/10)/AE142,in_cap)))</f>
        <v/>
      </c>
      <c r="BC142" s="16">
        <f>MAX(0,MIN(in_cap,IF(AE142&gt;0,(in_f3-AD142*AI142*1/10)/AE142,in_cap)))</f>
        <v/>
      </c>
      <c r="BD142" s="16">
        <f>MAX(0,MIN(in_cap,IF(AE142&gt;0,(in_f3-AD142*AI142*2/10)/AE142,in_cap)))</f>
        <v/>
      </c>
      <c r="BE142" s="16">
        <f>MAX(0,MIN(in_cap,IF(AE142&gt;0,(in_f3-AD142*AI142*3/10)/AE142,in_cap)))</f>
        <v/>
      </c>
      <c r="BF142" s="16">
        <f>MAX(0,MIN(in_cap,IF(AE142&gt;0,(in_f3-AD142*AI142*4/10)/AE142,in_cap)))</f>
        <v/>
      </c>
      <c r="BG142" s="16">
        <f>MAX(0,MIN(in_cap,IF(AE142&gt;0,(in_f3-AD142*AI142*5/10)/AE142,in_cap)))</f>
        <v/>
      </c>
      <c r="BH142" s="16">
        <f>MAX(0,MIN(in_cap,IF(AE142&gt;0,(in_f3-AD142*AI142*6/10)/AE142,in_cap)))</f>
        <v/>
      </c>
      <c r="BI142" s="16">
        <f>MAX(0,MIN(in_cap,IF(AE142&gt;0,(in_f3-AD142*AI142*7/10)/AE142,in_cap)))</f>
        <v/>
      </c>
      <c r="BJ142" s="16">
        <f>MAX(0,MIN(in_cap,IF(AE142&gt;0,(in_f3-AD142*AI142*8/10)/AE142,in_cap)))</f>
        <v/>
      </c>
      <c r="BK142" s="16">
        <f>MAX(0,MIN(in_cap,IF(AE142&gt;0,(in_f3-AD142*AI142*9/10)/AE142,in_cap)))</f>
        <v/>
      </c>
      <c r="BL142" s="16">
        <f>MAX(0,MIN(in_cap,IF(AE142&gt;0,(in_f3-AD142*AI142*10/10)/AE142,in_cap)))</f>
        <v/>
      </c>
      <c r="BM142" s="15">
        <f>100*(1-(1-X142*(1-EXP(-((AI142*0/10)+(BB142))/Y142)))*(1-MIN(ABS(in_elas)*W142*R142*(AI142*0/10)/V142,1)))</f>
        <v/>
      </c>
      <c r="BN142" s="15">
        <f>100*(1-(1-X142*(1-EXP(-((AI142*1/10)+(BC142))/Y142)))*(1-MIN(ABS(in_elas)*W142*R142*(AI142*1/10)/V142,1)))</f>
        <v/>
      </c>
      <c r="BO142" s="15">
        <f>100*(1-(1-X142*(1-EXP(-((AI142*2/10)+(BD142))/Y142)))*(1-MIN(ABS(in_elas)*W142*R142*(AI142*2/10)/V142,1)))</f>
        <v/>
      </c>
      <c r="BP142" s="15">
        <f>100*(1-(1-X142*(1-EXP(-((AI142*3/10)+(BE142))/Y142)))*(1-MIN(ABS(in_elas)*W142*R142*(AI142*3/10)/V142,1)))</f>
        <v/>
      </c>
      <c r="BQ142" s="15">
        <f>100*(1-(1-X142*(1-EXP(-((AI142*4/10)+(BF142))/Y142)))*(1-MIN(ABS(in_elas)*W142*R142*(AI142*4/10)/V142,1)))</f>
        <v/>
      </c>
      <c r="BR142" s="15">
        <f>100*(1-(1-X142*(1-EXP(-((AI142*5/10)+(BG142))/Y142)))*(1-MIN(ABS(in_elas)*W142*R142*(AI142*5/10)/V142,1)))</f>
        <v/>
      </c>
      <c r="BS142" s="15">
        <f>100*(1-(1-X142*(1-EXP(-((AI142*6/10)+(BH142))/Y142)))*(1-MIN(ABS(in_elas)*W142*R142*(AI142*6/10)/V142,1)))</f>
        <v/>
      </c>
      <c r="BT142" s="15">
        <f>100*(1-(1-X142*(1-EXP(-((AI142*7/10)+(BI142))/Y142)))*(1-MIN(ABS(in_elas)*W142*R142*(AI142*7/10)/V142,1)))</f>
        <v/>
      </c>
      <c r="BU142" s="15">
        <f>100*(1-(1-X142*(1-EXP(-((AI142*8/10)+(BJ142))/Y142)))*(1-MIN(ABS(in_elas)*W142*R142*(AI142*8/10)/V142,1)))</f>
        <v/>
      </c>
      <c r="BV142" s="15">
        <f>100*(1-(1-X142*(1-EXP(-((AI142*9/10)+(BK142))/Y142)))*(1-MIN(ABS(in_elas)*W142*R142*(AI142*9/10)/V142,1)))</f>
        <v/>
      </c>
      <c r="BW142" s="15">
        <f>100*(1-(1-X142*(1-EXP(-((AI142*10/10)+(BL142))/Y142)))*(1-MIN(ABS(in_elas)*W142*R142*(AI142*10/10)/V142,1)))</f>
        <v/>
      </c>
    </row>
    <row r="143">
      <c r="A143" s="17" t="inlineStr">
        <is>
          <t>SOM</t>
        </is>
      </c>
      <c r="B143" s="17">
        <f>INDEX(Data!$B:$B,MATCH($A143,Data!$A:$A,0))</f>
        <v/>
      </c>
      <c r="C143" s="17">
        <f>INDEX(Data!$D:$D,MATCH($A143,Data!$A:$A,0))</f>
        <v/>
      </c>
      <c r="D143" s="16">
        <f>SUMIFS(Data!$G:$G,Data!$A:$A,$A143,Data!$F:$F,"gen_coal_twh")</f>
        <v/>
      </c>
      <c r="E143" s="16">
        <f>SUMIFS(Data!$G:$G,Data!$A:$A,$A143,Data!$F:$F,"gen_gas_twh")</f>
        <v/>
      </c>
      <c r="F143" s="16">
        <f>SUMIFS(Data!$G:$G,Data!$A:$A,$A143,Data!$F:$F,"gen_oil_twh")</f>
        <v/>
      </c>
      <c r="G143" s="16">
        <f>SUMIFS(Data!$G:$G,Data!$A:$A,$A143,Data!$F:$F,"gen_total_twh")</f>
        <v/>
      </c>
      <c r="H143" s="16">
        <f>SUMIFS(Data!$G:$G,Data!$A:$A,$A143,Data!$F:$F,"em_coal_mt")</f>
        <v/>
      </c>
      <c r="I143" s="16">
        <f>SUMIFS(Data!$G:$G,Data!$A:$A,$A143,Data!$F:$F,"em_gas_mt")</f>
        <v/>
      </c>
      <c r="J143" s="16">
        <f>SUMIFS(Data!$G:$G,Data!$A:$A,$A143,Data!$F:$F,"em_oil_mt")</f>
        <v/>
      </c>
      <c r="K143" s="28">
        <f>IF(COUNTIFS(Data!$A:$A,$A143,Data!$F:$F,"price_electricity_residential_usd_kwh")=0,"",SUMIFS(Data!$G:$G,Data!$A:$A,$A143,Data!$F:$F,"price_electricity_residential_usd_kwh"))</f>
        <v/>
      </c>
      <c r="L143" s="28">
        <f>IF(COUNTIFS(Data!$A:$A,$A143,Data!$F:$F,"price_coal_power_usd_gj")=0,"",SUMIFS(Data!$G:$G,Data!$A:$A,$A143,Data!$F:$F,"price_coal_power_usd_gj"))</f>
        <v/>
      </c>
      <c r="M143" s="28">
        <f>IF(COUNTIFS(Data!$A:$A,$A143,Data!$F:$F,"price_gas_power_usd_gj")=0,"",SUMIFS(Data!$G:$G,Data!$A:$A,$A143,Data!$F:$F,"price_gas_power_usd_gj"))</f>
        <v/>
      </c>
      <c r="N143" s="28">
        <f>IF(COUNTIFS(Data!$A:$A,$A143,Data!$F:$F,"price_gas_industry_usd_gj")=0,"",SUMIFS(Data!$G:$G,Data!$A:$A,$A143,Data!$F:$F,"price_gas_industry_usd_gj"))</f>
        <v/>
      </c>
      <c r="O143" s="28">
        <f>IF(COUNTIFS(Data!$A:$A,$A143,Data!$F:$F,"power_market_structure")=0,"",SUMIFS(Data!$G:$G,Data!$A:$A,$A143,Data!$F:$F,"power_market_structure"))</f>
        <v/>
      </c>
      <c r="P143" s="28">
        <f>IF(COUNTIFS(Data!$A:$A,$A143,Data!$F:$F,"rise_renewable_energy_score")=0,"",SUMIFS(Data!$G:$G,Data!$A:$A,$A143,Data!$F:$F,"rise_renewable_energy_score"))</f>
        <v/>
      </c>
      <c r="Q143" s="16">
        <f>H143+I143+J143</f>
        <v/>
      </c>
      <c r="R143" s="28">
        <f>Q143/G143</f>
        <v/>
      </c>
      <c r="S143" s="28">
        <f>IF(D143&gt;0,H143/D143,0.85)</f>
        <v/>
      </c>
      <c r="T143" s="28">
        <f>IF(E143&gt;0,I143/E143,0.4)</f>
        <v/>
      </c>
      <c r="U143" s="28">
        <f>IF(D143+F143&gt;0,(H143+J143)/(D143+F143),0)</f>
        <v/>
      </c>
      <c r="V143" s="16">
        <f>K143*1000</f>
        <v/>
      </c>
      <c r="W143" s="15">
        <f>IF(O143=3,in_pt3,IF(O143=2,in_pt2,IF(O143=1,in_pt1,IF(C143="High income",in_pt_hi,in_pt_oth))))</f>
        <v/>
      </c>
      <c r="X143" s="28">
        <f>IF(Q143&gt;0,in_kappa*(in_rise_lo+(in_rise_hi-in_rise_lo)*IF(P143="",in_rise_miss,P143)/100)*(D143+F143)*MAX(U143-in_gas_rep*T143,0)/Q143,0)</f>
        <v/>
      </c>
      <c r="Y143" s="16">
        <f>IF(IF(M143="",N143,M143)="",MAX(in_sw_floor,in_sw_miss),MAX(in_sw_floor,(IF(M143="",N143,M143)*in_hr_gas-L143*in_hr_coal)/MAX(S143-T143,0.1)))</f>
        <v/>
      </c>
      <c r="Z143" s="28">
        <f>IF(C143="Low income",in_b40_li,IF(C143="Lower middle income",in_b40_lmi,IF(C143="Upper middle income",in_b40_umi,IF(C143="High income",in_b40_hi,0.03))))</f>
        <v/>
      </c>
      <c r="AA143" s="15">
        <f>(D143+F143)/G143</f>
        <v/>
      </c>
      <c r="AB143" s="28">
        <f>100*W143*R143/V143/in_phase</f>
        <v/>
      </c>
      <c r="AC143" s="29">
        <f>100*Z143*W143*R143/V143*(1-IF(W143&gt;0,MIN(in_rebate/(W143*in_res_sh*in_q40),1),1))</f>
        <v/>
      </c>
      <c r="AD143" s="28">
        <f>IF(AA143&gt;0,100*U143*(1-W143)/(in_whole_sh*V143),0)</f>
        <v/>
      </c>
      <c r="AE143" s="28">
        <f>IF(AA143&gt;0,100*MAX(U143-R143,0)/(in_whole_sh*V143),0)</f>
        <v/>
      </c>
      <c r="AF143" s="16">
        <f>IF(AB143&gt;0,in_f1/AB143,in_cap)</f>
        <v/>
      </c>
      <c r="AG143" s="16">
        <f>IF(AC143&gt;0,in_f2/AC143,in_cap)</f>
        <v/>
      </c>
      <c r="AH143" s="16">
        <f>IF(AD143&gt;0,in_f3/AD143,in_cap)</f>
        <v/>
      </c>
      <c r="AI143" s="16">
        <f>MIN(in_cap,AF143,AG143,AH143)</f>
        <v/>
      </c>
      <c r="AJ143" s="30">
        <f>100*(1-(1-X143*(1-EXP(-((AI143)+(0))/Y143)))*(1-MIN(ABS(in_elas)*W143*R143*(AI143)/V143,1)))</f>
        <v/>
      </c>
      <c r="AK143" s="17">
        <f>IF(AI143&gt;=in_cap-1E-9,"rate cap",TRIM(IF(ABS(AI143-AF143)&lt;1E-9,"F1 ","")&amp;IF(ABS(AI143-AG143)&lt;1E-9,"F2 ","")&amp;IF(ABS(AI143-AH143)&lt;1E-9,"F3","")))</f>
        <v/>
      </c>
      <c r="AL143" s="15">
        <f>100*(1-(1-X143*(1-EXP(-((MIN(in_cap,IF(AB143&gt;0,(in_f1+1)/AB143,in_cap),AG143,AH143))+(0))/Y143)))*(1-MIN(ABS(in_elas)*W143*R143*(MIN(in_cap,IF(AB143&gt;0,(in_f1+1)/AB143,in_cap),AG143,AH143))/V143,1)))-AJ143</f>
        <v/>
      </c>
      <c r="AM143" s="16">
        <f>MIN(in_cap,IF(AE143&gt;0,in_f3/AE143,in_cap))</f>
        <v/>
      </c>
      <c r="AN143" s="30">
        <f>100*(1-(1-X143*(1-EXP(-((0)+(AM143))/Y143)))*(1-MIN(ABS(in_elas)*W143*R143*(0)/V143,1)))</f>
        <v/>
      </c>
      <c r="AO143" s="17">
        <f>IF(AM143&gt;=in_cap-1E-9,"rate cap","F3")</f>
        <v/>
      </c>
      <c r="AP143" s="15">
        <f>100*(1-(1-X143*(1-EXP(-((50)+(0))/Y143)))*(1-MIN(ABS(in_elas)*W143*R143*(50)/V143,1)))</f>
        <v/>
      </c>
      <c r="AQ143" s="15">
        <f>100*(1-(1-X143*(1-EXP(-((0)+(50))/Y143)))*(1-MIN(ABS(in_elas)*W143*R143*(0)/V143,1)))</f>
        <v/>
      </c>
      <c r="AR143" s="15">
        <f>IF(AP143&gt;0,AQ143/AP143,"")</f>
        <v/>
      </c>
      <c r="AS143" s="16">
        <f>50*AB143</f>
        <v/>
      </c>
      <c r="AT143" s="30">
        <f>MAX(BM143:BW143)</f>
        <v/>
      </c>
      <c r="AU143" s="31">
        <f>AI143*(MATCH(AT143,BM143:BW143,0)-1)/10</f>
        <v/>
      </c>
      <c r="AV143" s="31">
        <f>INDEX(BB143:BL143,1,(MATCH(AT143,BM143:BW143,0)-1)+1)</f>
        <v/>
      </c>
      <c r="AW143" s="31">
        <f>AB143*AU143</f>
        <v/>
      </c>
      <c r="AX143" s="30">
        <f>AC143*AU143</f>
        <v/>
      </c>
      <c r="AY143" s="31">
        <f>AD143*AU143+AE143*AV143</f>
        <v/>
      </c>
      <c r="AZ143" s="32">
        <f>TRIM(IF(AND(AU143&gt;0,ABS(AU143-AF143)&lt;1E-6),"F1 ","")&amp;IF(AND(AU143&gt;0,ABS(AU143-AG143)&lt;1E-6),"F2 ","")&amp;IF(AY143&gt;=in_f3-1E-6,"F3 ","")&amp;IF(AV143&gt;=in_cap-1E-9,"rate cap",""))</f>
        <v/>
      </c>
      <c r="BA143" s="31">
        <f>Q143*AT143/100</f>
        <v/>
      </c>
      <c r="BB143" s="16">
        <f>MAX(0,MIN(in_cap,IF(AE143&gt;0,(in_f3-AD143*AI143*0/10)/AE143,in_cap)))</f>
        <v/>
      </c>
      <c r="BC143" s="16">
        <f>MAX(0,MIN(in_cap,IF(AE143&gt;0,(in_f3-AD143*AI143*1/10)/AE143,in_cap)))</f>
        <v/>
      </c>
      <c r="BD143" s="16">
        <f>MAX(0,MIN(in_cap,IF(AE143&gt;0,(in_f3-AD143*AI143*2/10)/AE143,in_cap)))</f>
        <v/>
      </c>
      <c r="BE143" s="16">
        <f>MAX(0,MIN(in_cap,IF(AE143&gt;0,(in_f3-AD143*AI143*3/10)/AE143,in_cap)))</f>
        <v/>
      </c>
      <c r="BF143" s="16">
        <f>MAX(0,MIN(in_cap,IF(AE143&gt;0,(in_f3-AD143*AI143*4/10)/AE143,in_cap)))</f>
        <v/>
      </c>
      <c r="BG143" s="16">
        <f>MAX(0,MIN(in_cap,IF(AE143&gt;0,(in_f3-AD143*AI143*5/10)/AE143,in_cap)))</f>
        <v/>
      </c>
      <c r="BH143" s="16">
        <f>MAX(0,MIN(in_cap,IF(AE143&gt;0,(in_f3-AD143*AI143*6/10)/AE143,in_cap)))</f>
        <v/>
      </c>
      <c r="BI143" s="16">
        <f>MAX(0,MIN(in_cap,IF(AE143&gt;0,(in_f3-AD143*AI143*7/10)/AE143,in_cap)))</f>
        <v/>
      </c>
      <c r="BJ143" s="16">
        <f>MAX(0,MIN(in_cap,IF(AE143&gt;0,(in_f3-AD143*AI143*8/10)/AE143,in_cap)))</f>
        <v/>
      </c>
      <c r="BK143" s="16">
        <f>MAX(0,MIN(in_cap,IF(AE143&gt;0,(in_f3-AD143*AI143*9/10)/AE143,in_cap)))</f>
        <v/>
      </c>
      <c r="BL143" s="16">
        <f>MAX(0,MIN(in_cap,IF(AE143&gt;0,(in_f3-AD143*AI143*10/10)/AE143,in_cap)))</f>
        <v/>
      </c>
      <c r="BM143" s="15">
        <f>100*(1-(1-X143*(1-EXP(-((AI143*0/10)+(BB143))/Y143)))*(1-MIN(ABS(in_elas)*W143*R143*(AI143*0/10)/V143,1)))</f>
        <v/>
      </c>
      <c r="BN143" s="15">
        <f>100*(1-(1-X143*(1-EXP(-((AI143*1/10)+(BC143))/Y143)))*(1-MIN(ABS(in_elas)*W143*R143*(AI143*1/10)/V143,1)))</f>
        <v/>
      </c>
      <c r="BO143" s="15">
        <f>100*(1-(1-X143*(1-EXP(-((AI143*2/10)+(BD143))/Y143)))*(1-MIN(ABS(in_elas)*W143*R143*(AI143*2/10)/V143,1)))</f>
        <v/>
      </c>
      <c r="BP143" s="15">
        <f>100*(1-(1-X143*(1-EXP(-((AI143*3/10)+(BE143))/Y143)))*(1-MIN(ABS(in_elas)*W143*R143*(AI143*3/10)/V143,1)))</f>
        <v/>
      </c>
      <c r="BQ143" s="15">
        <f>100*(1-(1-X143*(1-EXP(-((AI143*4/10)+(BF143))/Y143)))*(1-MIN(ABS(in_elas)*W143*R143*(AI143*4/10)/V143,1)))</f>
        <v/>
      </c>
      <c r="BR143" s="15">
        <f>100*(1-(1-X143*(1-EXP(-((AI143*5/10)+(BG143))/Y143)))*(1-MIN(ABS(in_elas)*W143*R143*(AI143*5/10)/V143,1)))</f>
        <v/>
      </c>
      <c r="BS143" s="15">
        <f>100*(1-(1-X143*(1-EXP(-((AI143*6/10)+(BH143))/Y143)))*(1-MIN(ABS(in_elas)*W143*R143*(AI143*6/10)/V143,1)))</f>
        <v/>
      </c>
      <c r="BT143" s="15">
        <f>100*(1-(1-X143*(1-EXP(-((AI143*7/10)+(BI143))/Y143)))*(1-MIN(ABS(in_elas)*W143*R143*(AI143*7/10)/V143,1)))</f>
        <v/>
      </c>
      <c r="BU143" s="15">
        <f>100*(1-(1-X143*(1-EXP(-((AI143*8/10)+(BJ143))/Y143)))*(1-MIN(ABS(in_elas)*W143*R143*(AI143*8/10)/V143,1)))</f>
        <v/>
      </c>
      <c r="BV143" s="15">
        <f>100*(1-(1-X143*(1-EXP(-((AI143*9/10)+(BK143))/Y143)))*(1-MIN(ABS(in_elas)*W143*R143*(AI143*9/10)/V143,1)))</f>
        <v/>
      </c>
      <c r="BW143" s="15">
        <f>100*(1-(1-X143*(1-EXP(-((AI143*10/10)+(BL143))/Y143)))*(1-MIN(ABS(in_elas)*W143*R143*(AI143*10/10)/V143,1)))</f>
        <v/>
      </c>
    </row>
    <row r="144">
      <c r="A144" s="17" t="inlineStr">
        <is>
          <t>SRB</t>
        </is>
      </c>
      <c r="B144" s="17">
        <f>INDEX(Data!$B:$B,MATCH($A144,Data!$A:$A,0))</f>
        <v/>
      </c>
      <c r="C144" s="17">
        <f>INDEX(Data!$D:$D,MATCH($A144,Data!$A:$A,0))</f>
        <v/>
      </c>
      <c r="D144" s="16">
        <f>SUMIFS(Data!$G:$G,Data!$A:$A,$A144,Data!$F:$F,"gen_coal_twh")</f>
        <v/>
      </c>
      <c r="E144" s="16">
        <f>SUMIFS(Data!$G:$G,Data!$A:$A,$A144,Data!$F:$F,"gen_gas_twh")</f>
        <v/>
      </c>
      <c r="F144" s="16">
        <f>SUMIFS(Data!$G:$G,Data!$A:$A,$A144,Data!$F:$F,"gen_oil_twh")</f>
        <v/>
      </c>
      <c r="G144" s="16">
        <f>SUMIFS(Data!$G:$G,Data!$A:$A,$A144,Data!$F:$F,"gen_total_twh")</f>
        <v/>
      </c>
      <c r="H144" s="16">
        <f>SUMIFS(Data!$G:$G,Data!$A:$A,$A144,Data!$F:$F,"em_coal_mt")</f>
        <v/>
      </c>
      <c r="I144" s="16">
        <f>SUMIFS(Data!$G:$G,Data!$A:$A,$A144,Data!$F:$F,"em_gas_mt")</f>
        <v/>
      </c>
      <c r="J144" s="16">
        <f>SUMIFS(Data!$G:$G,Data!$A:$A,$A144,Data!$F:$F,"em_oil_mt")</f>
        <v/>
      </c>
      <c r="K144" s="28">
        <f>IF(COUNTIFS(Data!$A:$A,$A144,Data!$F:$F,"price_electricity_residential_usd_kwh")=0,"",SUMIFS(Data!$G:$G,Data!$A:$A,$A144,Data!$F:$F,"price_electricity_residential_usd_kwh"))</f>
        <v/>
      </c>
      <c r="L144" s="28">
        <f>IF(COUNTIFS(Data!$A:$A,$A144,Data!$F:$F,"price_coal_power_usd_gj")=0,"",SUMIFS(Data!$G:$G,Data!$A:$A,$A144,Data!$F:$F,"price_coal_power_usd_gj"))</f>
        <v/>
      </c>
      <c r="M144" s="28">
        <f>IF(COUNTIFS(Data!$A:$A,$A144,Data!$F:$F,"price_gas_power_usd_gj")=0,"",SUMIFS(Data!$G:$G,Data!$A:$A,$A144,Data!$F:$F,"price_gas_power_usd_gj"))</f>
        <v/>
      </c>
      <c r="N144" s="28">
        <f>IF(COUNTIFS(Data!$A:$A,$A144,Data!$F:$F,"price_gas_industry_usd_gj")=0,"",SUMIFS(Data!$G:$G,Data!$A:$A,$A144,Data!$F:$F,"price_gas_industry_usd_gj"))</f>
        <v/>
      </c>
      <c r="O144" s="28">
        <f>IF(COUNTIFS(Data!$A:$A,$A144,Data!$F:$F,"power_market_structure")=0,"",SUMIFS(Data!$G:$G,Data!$A:$A,$A144,Data!$F:$F,"power_market_structure"))</f>
        <v/>
      </c>
      <c r="P144" s="28">
        <f>IF(COUNTIFS(Data!$A:$A,$A144,Data!$F:$F,"rise_renewable_energy_score")=0,"",SUMIFS(Data!$G:$G,Data!$A:$A,$A144,Data!$F:$F,"rise_renewable_energy_score"))</f>
        <v/>
      </c>
      <c r="Q144" s="16">
        <f>H144+I144+J144</f>
        <v/>
      </c>
      <c r="R144" s="28">
        <f>Q144/G144</f>
        <v/>
      </c>
      <c r="S144" s="28">
        <f>IF(D144&gt;0,H144/D144,0.85)</f>
        <v/>
      </c>
      <c r="T144" s="28">
        <f>IF(E144&gt;0,I144/E144,0.4)</f>
        <v/>
      </c>
      <c r="U144" s="28">
        <f>IF(D144+F144&gt;0,(H144+J144)/(D144+F144),0)</f>
        <v/>
      </c>
      <c r="V144" s="16">
        <f>K144*1000</f>
        <v/>
      </c>
      <c r="W144" s="15">
        <f>IF(O144=3,in_pt3,IF(O144=2,in_pt2,IF(O144=1,in_pt1,IF(C144="High income",in_pt_hi,in_pt_oth))))</f>
        <v/>
      </c>
      <c r="X144" s="28">
        <f>IF(Q144&gt;0,in_kappa*(in_rise_lo+(in_rise_hi-in_rise_lo)*IF(P144="",in_rise_miss,P144)/100)*(D144+F144)*MAX(U144-in_gas_rep*T144,0)/Q144,0)</f>
        <v/>
      </c>
      <c r="Y144" s="16">
        <f>IF(IF(M144="",N144,M144)="",MAX(in_sw_floor,in_sw_miss),MAX(in_sw_floor,(IF(M144="",N144,M144)*in_hr_gas-L144*in_hr_coal)/MAX(S144-T144,0.1)))</f>
        <v/>
      </c>
      <c r="Z144" s="28">
        <f>IF(C144="Low income",in_b40_li,IF(C144="Lower middle income",in_b40_lmi,IF(C144="Upper middle income",in_b40_umi,IF(C144="High income",in_b40_hi,0.03))))</f>
        <v/>
      </c>
      <c r="AA144" s="15">
        <f>(D144+F144)/G144</f>
        <v/>
      </c>
      <c r="AB144" s="28">
        <f>100*W144*R144/V144/in_phase</f>
        <v/>
      </c>
      <c r="AC144" s="29">
        <f>100*Z144*W144*R144/V144*(1-IF(W144&gt;0,MIN(in_rebate/(W144*in_res_sh*in_q40),1),1))</f>
        <v/>
      </c>
      <c r="AD144" s="28">
        <f>IF(AA144&gt;0,100*U144*(1-W144)/(in_whole_sh*V144),0)</f>
        <v/>
      </c>
      <c r="AE144" s="28">
        <f>IF(AA144&gt;0,100*MAX(U144-R144,0)/(in_whole_sh*V144),0)</f>
        <v/>
      </c>
      <c r="AF144" s="16">
        <f>IF(AB144&gt;0,in_f1/AB144,in_cap)</f>
        <v/>
      </c>
      <c r="AG144" s="16">
        <f>IF(AC144&gt;0,in_f2/AC144,in_cap)</f>
        <v/>
      </c>
      <c r="AH144" s="16">
        <f>IF(AD144&gt;0,in_f3/AD144,in_cap)</f>
        <v/>
      </c>
      <c r="AI144" s="16">
        <f>MIN(in_cap,AF144,AG144,AH144)</f>
        <v/>
      </c>
      <c r="AJ144" s="30">
        <f>100*(1-(1-X144*(1-EXP(-((AI144)+(0))/Y144)))*(1-MIN(ABS(in_elas)*W144*R144*(AI144)/V144,1)))</f>
        <v/>
      </c>
      <c r="AK144" s="17">
        <f>IF(AI144&gt;=in_cap-1E-9,"rate cap",TRIM(IF(ABS(AI144-AF144)&lt;1E-9,"F1 ","")&amp;IF(ABS(AI144-AG144)&lt;1E-9,"F2 ","")&amp;IF(ABS(AI144-AH144)&lt;1E-9,"F3","")))</f>
        <v/>
      </c>
      <c r="AL144" s="15">
        <f>100*(1-(1-X144*(1-EXP(-((MIN(in_cap,IF(AB144&gt;0,(in_f1+1)/AB144,in_cap),AG144,AH144))+(0))/Y144)))*(1-MIN(ABS(in_elas)*W144*R144*(MIN(in_cap,IF(AB144&gt;0,(in_f1+1)/AB144,in_cap),AG144,AH144))/V144,1)))-AJ144</f>
        <v/>
      </c>
      <c r="AM144" s="16">
        <f>MIN(in_cap,IF(AE144&gt;0,in_f3/AE144,in_cap))</f>
        <v/>
      </c>
      <c r="AN144" s="30">
        <f>100*(1-(1-X144*(1-EXP(-((0)+(AM144))/Y144)))*(1-MIN(ABS(in_elas)*W144*R144*(0)/V144,1)))</f>
        <v/>
      </c>
      <c r="AO144" s="17">
        <f>IF(AM144&gt;=in_cap-1E-9,"rate cap","F3")</f>
        <v/>
      </c>
      <c r="AP144" s="15">
        <f>100*(1-(1-X144*(1-EXP(-((50)+(0))/Y144)))*(1-MIN(ABS(in_elas)*W144*R144*(50)/V144,1)))</f>
        <v/>
      </c>
      <c r="AQ144" s="15">
        <f>100*(1-(1-X144*(1-EXP(-((0)+(50))/Y144)))*(1-MIN(ABS(in_elas)*W144*R144*(0)/V144,1)))</f>
        <v/>
      </c>
      <c r="AR144" s="15">
        <f>IF(AP144&gt;0,AQ144/AP144,"")</f>
        <v/>
      </c>
      <c r="AS144" s="16">
        <f>50*AB144</f>
        <v/>
      </c>
      <c r="AT144" s="30">
        <f>MAX(BM144:BW144)</f>
        <v/>
      </c>
      <c r="AU144" s="31">
        <f>AI144*(MATCH(AT144,BM144:BW144,0)-1)/10</f>
        <v/>
      </c>
      <c r="AV144" s="31">
        <f>INDEX(BB144:BL144,1,(MATCH(AT144,BM144:BW144,0)-1)+1)</f>
        <v/>
      </c>
      <c r="AW144" s="31">
        <f>AB144*AU144</f>
        <v/>
      </c>
      <c r="AX144" s="30">
        <f>AC144*AU144</f>
        <v/>
      </c>
      <c r="AY144" s="31">
        <f>AD144*AU144+AE144*AV144</f>
        <v/>
      </c>
      <c r="AZ144" s="32">
        <f>TRIM(IF(AND(AU144&gt;0,ABS(AU144-AF144)&lt;1E-6),"F1 ","")&amp;IF(AND(AU144&gt;0,ABS(AU144-AG144)&lt;1E-6),"F2 ","")&amp;IF(AY144&gt;=in_f3-1E-6,"F3 ","")&amp;IF(AV144&gt;=in_cap-1E-9,"rate cap",""))</f>
        <v/>
      </c>
      <c r="BA144" s="31">
        <f>Q144*AT144/100</f>
        <v/>
      </c>
      <c r="BB144" s="16">
        <f>MAX(0,MIN(in_cap,IF(AE144&gt;0,(in_f3-AD144*AI144*0/10)/AE144,in_cap)))</f>
        <v/>
      </c>
      <c r="BC144" s="16">
        <f>MAX(0,MIN(in_cap,IF(AE144&gt;0,(in_f3-AD144*AI144*1/10)/AE144,in_cap)))</f>
        <v/>
      </c>
      <c r="BD144" s="16">
        <f>MAX(0,MIN(in_cap,IF(AE144&gt;0,(in_f3-AD144*AI144*2/10)/AE144,in_cap)))</f>
        <v/>
      </c>
      <c r="BE144" s="16">
        <f>MAX(0,MIN(in_cap,IF(AE144&gt;0,(in_f3-AD144*AI144*3/10)/AE144,in_cap)))</f>
        <v/>
      </c>
      <c r="BF144" s="16">
        <f>MAX(0,MIN(in_cap,IF(AE144&gt;0,(in_f3-AD144*AI144*4/10)/AE144,in_cap)))</f>
        <v/>
      </c>
      <c r="BG144" s="16">
        <f>MAX(0,MIN(in_cap,IF(AE144&gt;0,(in_f3-AD144*AI144*5/10)/AE144,in_cap)))</f>
        <v/>
      </c>
      <c r="BH144" s="16">
        <f>MAX(0,MIN(in_cap,IF(AE144&gt;0,(in_f3-AD144*AI144*6/10)/AE144,in_cap)))</f>
        <v/>
      </c>
      <c r="BI144" s="16">
        <f>MAX(0,MIN(in_cap,IF(AE144&gt;0,(in_f3-AD144*AI144*7/10)/AE144,in_cap)))</f>
        <v/>
      </c>
      <c r="BJ144" s="16">
        <f>MAX(0,MIN(in_cap,IF(AE144&gt;0,(in_f3-AD144*AI144*8/10)/AE144,in_cap)))</f>
        <v/>
      </c>
      <c r="BK144" s="16">
        <f>MAX(0,MIN(in_cap,IF(AE144&gt;0,(in_f3-AD144*AI144*9/10)/AE144,in_cap)))</f>
        <v/>
      </c>
      <c r="BL144" s="16">
        <f>MAX(0,MIN(in_cap,IF(AE144&gt;0,(in_f3-AD144*AI144*10/10)/AE144,in_cap)))</f>
        <v/>
      </c>
      <c r="BM144" s="15">
        <f>100*(1-(1-X144*(1-EXP(-((AI144*0/10)+(BB144))/Y144)))*(1-MIN(ABS(in_elas)*W144*R144*(AI144*0/10)/V144,1)))</f>
        <v/>
      </c>
      <c r="BN144" s="15">
        <f>100*(1-(1-X144*(1-EXP(-((AI144*1/10)+(BC144))/Y144)))*(1-MIN(ABS(in_elas)*W144*R144*(AI144*1/10)/V144,1)))</f>
        <v/>
      </c>
      <c r="BO144" s="15">
        <f>100*(1-(1-X144*(1-EXP(-((AI144*2/10)+(BD144))/Y144)))*(1-MIN(ABS(in_elas)*W144*R144*(AI144*2/10)/V144,1)))</f>
        <v/>
      </c>
      <c r="BP144" s="15">
        <f>100*(1-(1-X144*(1-EXP(-((AI144*3/10)+(BE144))/Y144)))*(1-MIN(ABS(in_elas)*W144*R144*(AI144*3/10)/V144,1)))</f>
        <v/>
      </c>
      <c r="BQ144" s="15">
        <f>100*(1-(1-X144*(1-EXP(-((AI144*4/10)+(BF144))/Y144)))*(1-MIN(ABS(in_elas)*W144*R144*(AI144*4/10)/V144,1)))</f>
        <v/>
      </c>
      <c r="BR144" s="15">
        <f>100*(1-(1-X144*(1-EXP(-((AI144*5/10)+(BG144))/Y144)))*(1-MIN(ABS(in_elas)*W144*R144*(AI144*5/10)/V144,1)))</f>
        <v/>
      </c>
      <c r="BS144" s="15">
        <f>100*(1-(1-X144*(1-EXP(-((AI144*6/10)+(BH144))/Y144)))*(1-MIN(ABS(in_elas)*W144*R144*(AI144*6/10)/V144,1)))</f>
        <v/>
      </c>
      <c r="BT144" s="15">
        <f>100*(1-(1-X144*(1-EXP(-((AI144*7/10)+(BI144))/Y144)))*(1-MIN(ABS(in_elas)*W144*R144*(AI144*7/10)/V144,1)))</f>
        <v/>
      </c>
      <c r="BU144" s="15">
        <f>100*(1-(1-X144*(1-EXP(-((AI144*8/10)+(BJ144))/Y144)))*(1-MIN(ABS(in_elas)*W144*R144*(AI144*8/10)/V144,1)))</f>
        <v/>
      </c>
      <c r="BV144" s="15">
        <f>100*(1-(1-X144*(1-EXP(-((AI144*9/10)+(BK144))/Y144)))*(1-MIN(ABS(in_elas)*W144*R144*(AI144*9/10)/V144,1)))</f>
        <v/>
      </c>
      <c r="BW144" s="15">
        <f>100*(1-(1-X144*(1-EXP(-((AI144*10/10)+(BL144))/Y144)))*(1-MIN(ABS(in_elas)*W144*R144*(AI144*10/10)/V144,1)))</f>
        <v/>
      </c>
    </row>
    <row r="145">
      <c r="A145" s="17" t="inlineStr">
        <is>
          <t>SUR</t>
        </is>
      </c>
      <c r="B145" s="17">
        <f>INDEX(Data!$B:$B,MATCH($A145,Data!$A:$A,0))</f>
        <v/>
      </c>
      <c r="C145" s="17">
        <f>INDEX(Data!$D:$D,MATCH($A145,Data!$A:$A,0))</f>
        <v/>
      </c>
      <c r="D145" s="16">
        <f>SUMIFS(Data!$G:$G,Data!$A:$A,$A145,Data!$F:$F,"gen_coal_twh")</f>
        <v/>
      </c>
      <c r="E145" s="16">
        <f>SUMIFS(Data!$G:$G,Data!$A:$A,$A145,Data!$F:$F,"gen_gas_twh")</f>
        <v/>
      </c>
      <c r="F145" s="16">
        <f>SUMIFS(Data!$G:$G,Data!$A:$A,$A145,Data!$F:$F,"gen_oil_twh")</f>
        <v/>
      </c>
      <c r="G145" s="16">
        <f>SUMIFS(Data!$G:$G,Data!$A:$A,$A145,Data!$F:$F,"gen_total_twh")</f>
        <v/>
      </c>
      <c r="H145" s="16">
        <f>SUMIFS(Data!$G:$G,Data!$A:$A,$A145,Data!$F:$F,"em_coal_mt")</f>
        <v/>
      </c>
      <c r="I145" s="16">
        <f>SUMIFS(Data!$G:$G,Data!$A:$A,$A145,Data!$F:$F,"em_gas_mt")</f>
        <v/>
      </c>
      <c r="J145" s="16">
        <f>SUMIFS(Data!$G:$G,Data!$A:$A,$A145,Data!$F:$F,"em_oil_mt")</f>
        <v/>
      </c>
      <c r="K145" s="28">
        <f>IF(COUNTIFS(Data!$A:$A,$A145,Data!$F:$F,"price_electricity_residential_usd_kwh")=0,"",SUMIFS(Data!$G:$G,Data!$A:$A,$A145,Data!$F:$F,"price_electricity_residential_usd_kwh"))</f>
        <v/>
      </c>
      <c r="L145" s="28">
        <f>IF(COUNTIFS(Data!$A:$A,$A145,Data!$F:$F,"price_coal_power_usd_gj")=0,"",SUMIFS(Data!$G:$G,Data!$A:$A,$A145,Data!$F:$F,"price_coal_power_usd_gj"))</f>
        <v/>
      </c>
      <c r="M145" s="28">
        <f>IF(COUNTIFS(Data!$A:$A,$A145,Data!$F:$F,"price_gas_power_usd_gj")=0,"",SUMIFS(Data!$G:$G,Data!$A:$A,$A145,Data!$F:$F,"price_gas_power_usd_gj"))</f>
        <v/>
      </c>
      <c r="N145" s="28">
        <f>IF(COUNTIFS(Data!$A:$A,$A145,Data!$F:$F,"price_gas_industry_usd_gj")=0,"",SUMIFS(Data!$G:$G,Data!$A:$A,$A145,Data!$F:$F,"price_gas_industry_usd_gj"))</f>
        <v/>
      </c>
      <c r="O145" s="28">
        <f>IF(COUNTIFS(Data!$A:$A,$A145,Data!$F:$F,"power_market_structure")=0,"",SUMIFS(Data!$G:$G,Data!$A:$A,$A145,Data!$F:$F,"power_market_structure"))</f>
        <v/>
      </c>
      <c r="P145" s="28">
        <f>IF(COUNTIFS(Data!$A:$A,$A145,Data!$F:$F,"rise_renewable_energy_score")=0,"",SUMIFS(Data!$G:$G,Data!$A:$A,$A145,Data!$F:$F,"rise_renewable_energy_score"))</f>
        <v/>
      </c>
      <c r="Q145" s="16">
        <f>H145+I145+J145</f>
        <v/>
      </c>
      <c r="R145" s="28">
        <f>Q145/G145</f>
        <v/>
      </c>
      <c r="S145" s="28">
        <f>IF(D145&gt;0,H145/D145,0.85)</f>
        <v/>
      </c>
      <c r="T145" s="28">
        <f>IF(E145&gt;0,I145/E145,0.4)</f>
        <v/>
      </c>
      <c r="U145" s="28">
        <f>IF(D145+F145&gt;0,(H145+J145)/(D145+F145),0)</f>
        <v/>
      </c>
      <c r="V145" s="16">
        <f>K145*1000</f>
        <v/>
      </c>
      <c r="W145" s="15">
        <f>IF(O145=3,in_pt3,IF(O145=2,in_pt2,IF(O145=1,in_pt1,IF(C145="High income",in_pt_hi,in_pt_oth))))</f>
        <v/>
      </c>
      <c r="X145" s="28">
        <f>IF(Q145&gt;0,in_kappa*(in_rise_lo+(in_rise_hi-in_rise_lo)*IF(P145="",in_rise_miss,P145)/100)*(D145+F145)*MAX(U145-in_gas_rep*T145,0)/Q145,0)</f>
        <v/>
      </c>
      <c r="Y145" s="16">
        <f>IF(IF(M145="",N145,M145)="",MAX(in_sw_floor,in_sw_miss),MAX(in_sw_floor,(IF(M145="",N145,M145)*in_hr_gas-L145*in_hr_coal)/MAX(S145-T145,0.1)))</f>
        <v/>
      </c>
      <c r="Z145" s="28">
        <f>IF(C145="Low income",in_b40_li,IF(C145="Lower middle income",in_b40_lmi,IF(C145="Upper middle income",in_b40_umi,IF(C145="High income",in_b40_hi,0.03))))</f>
        <v/>
      </c>
      <c r="AA145" s="15">
        <f>(D145+F145)/G145</f>
        <v/>
      </c>
      <c r="AB145" s="28">
        <f>100*W145*R145/V145/in_phase</f>
        <v/>
      </c>
      <c r="AC145" s="29">
        <f>100*Z145*W145*R145/V145*(1-IF(W145&gt;0,MIN(in_rebate/(W145*in_res_sh*in_q40),1),1))</f>
        <v/>
      </c>
      <c r="AD145" s="28">
        <f>IF(AA145&gt;0,100*U145*(1-W145)/(in_whole_sh*V145),0)</f>
        <v/>
      </c>
      <c r="AE145" s="28">
        <f>IF(AA145&gt;0,100*MAX(U145-R145,0)/(in_whole_sh*V145),0)</f>
        <v/>
      </c>
      <c r="AF145" s="16">
        <f>IF(AB145&gt;0,in_f1/AB145,in_cap)</f>
        <v/>
      </c>
      <c r="AG145" s="16">
        <f>IF(AC145&gt;0,in_f2/AC145,in_cap)</f>
        <v/>
      </c>
      <c r="AH145" s="16">
        <f>IF(AD145&gt;0,in_f3/AD145,in_cap)</f>
        <v/>
      </c>
      <c r="AI145" s="16">
        <f>MIN(in_cap,AF145,AG145,AH145)</f>
        <v/>
      </c>
      <c r="AJ145" s="30">
        <f>100*(1-(1-X145*(1-EXP(-((AI145)+(0))/Y145)))*(1-MIN(ABS(in_elas)*W145*R145*(AI145)/V145,1)))</f>
        <v/>
      </c>
      <c r="AK145" s="17">
        <f>IF(AI145&gt;=in_cap-1E-9,"rate cap",TRIM(IF(ABS(AI145-AF145)&lt;1E-9,"F1 ","")&amp;IF(ABS(AI145-AG145)&lt;1E-9,"F2 ","")&amp;IF(ABS(AI145-AH145)&lt;1E-9,"F3","")))</f>
        <v/>
      </c>
      <c r="AL145" s="15">
        <f>100*(1-(1-X145*(1-EXP(-((MIN(in_cap,IF(AB145&gt;0,(in_f1+1)/AB145,in_cap),AG145,AH145))+(0))/Y145)))*(1-MIN(ABS(in_elas)*W145*R145*(MIN(in_cap,IF(AB145&gt;0,(in_f1+1)/AB145,in_cap),AG145,AH145))/V145,1)))-AJ145</f>
        <v/>
      </c>
      <c r="AM145" s="16">
        <f>MIN(in_cap,IF(AE145&gt;0,in_f3/AE145,in_cap))</f>
        <v/>
      </c>
      <c r="AN145" s="30">
        <f>100*(1-(1-X145*(1-EXP(-((0)+(AM145))/Y145)))*(1-MIN(ABS(in_elas)*W145*R145*(0)/V145,1)))</f>
        <v/>
      </c>
      <c r="AO145" s="17">
        <f>IF(AM145&gt;=in_cap-1E-9,"rate cap","F3")</f>
        <v/>
      </c>
      <c r="AP145" s="15">
        <f>100*(1-(1-X145*(1-EXP(-((50)+(0))/Y145)))*(1-MIN(ABS(in_elas)*W145*R145*(50)/V145,1)))</f>
        <v/>
      </c>
      <c r="AQ145" s="15">
        <f>100*(1-(1-X145*(1-EXP(-((0)+(50))/Y145)))*(1-MIN(ABS(in_elas)*W145*R145*(0)/V145,1)))</f>
        <v/>
      </c>
      <c r="AR145" s="15">
        <f>IF(AP145&gt;0,AQ145/AP145,"")</f>
        <v/>
      </c>
      <c r="AS145" s="16">
        <f>50*AB145</f>
        <v/>
      </c>
      <c r="AT145" s="30">
        <f>MAX(BM145:BW145)</f>
        <v/>
      </c>
      <c r="AU145" s="31">
        <f>AI145*(MATCH(AT145,BM145:BW145,0)-1)/10</f>
        <v/>
      </c>
      <c r="AV145" s="31">
        <f>INDEX(BB145:BL145,1,(MATCH(AT145,BM145:BW145,0)-1)+1)</f>
        <v/>
      </c>
      <c r="AW145" s="31">
        <f>AB145*AU145</f>
        <v/>
      </c>
      <c r="AX145" s="30">
        <f>AC145*AU145</f>
        <v/>
      </c>
      <c r="AY145" s="31">
        <f>AD145*AU145+AE145*AV145</f>
        <v/>
      </c>
      <c r="AZ145" s="32">
        <f>TRIM(IF(AND(AU145&gt;0,ABS(AU145-AF145)&lt;1E-6),"F1 ","")&amp;IF(AND(AU145&gt;0,ABS(AU145-AG145)&lt;1E-6),"F2 ","")&amp;IF(AY145&gt;=in_f3-1E-6,"F3 ","")&amp;IF(AV145&gt;=in_cap-1E-9,"rate cap",""))</f>
        <v/>
      </c>
      <c r="BA145" s="31">
        <f>Q145*AT145/100</f>
        <v/>
      </c>
      <c r="BB145" s="16">
        <f>MAX(0,MIN(in_cap,IF(AE145&gt;0,(in_f3-AD145*AI145*0/10)/AE145,in_cap)))</f>
        <v/>
      </c>
      <c r="BC145" s="16">
        <f>MAX(0,MIN(in_cap,IF(AE145&gt;0,(in_f3-AD145*AI145*1/10)/AE145,in_cap)))</f>
        <v/>
      </c>
      <c r="BD145" s="16">
        <f>MAX(0,MIN(in_cap,IF(AE145&gt;0,(in_f3-AD145*AI145*2/10)/AE145,in_cap)))</f>
        <v/>
      </c>
      <c r="BE145" s="16">
        <f>MAX(0,MIN(in_cap,IF(AE145&gt;0,(in_f3-AD145*AI145*3/10)/AE145,in_cap)))</f>
        <v/>
      </c>
      <c r="BF145" s="16">
        <f>MAX(0,MIN(in_cap,IF(AE145&gt;0,(in_f3-AD145*AI145*4/10)/AE145,in_cap)))</f>
        <v/>
      </c>
      <c r="BG145" s="16">
        <f>MAX(0,MIN(in_cap,IF(AE145&gt;0,(in_f3-AD145*AI145*5/10)/AE145,in_cap)))</f>
        <v/>
      </c>
      <c r="BH145" s="16">
        <f>MAX(0,MIN(in_cap,IF(AE145&gt;0,(in_f3-AD145*AI145*6/10)/AE145,in_cap)))</f>
        <v/>
      </c>
      <c r="BI145" s="16">
        <f>MAX(0,MIN(in_cap,IF(AE145&gt;0,(in_f3-AD145*AI145*7/10)/AE145,in_cap)))</f>
        <v/>
      </c>
      <c r="BJ145" s="16">
        <f>MAX(0,MIN(in_cap,IF(AE145&gt;0,(in_f3-AD145*AI145*8/10)/AE145,in_cap)))</f>
        <v/>
      </c>
      <c r="BK145" s="16">
        <f>MAX(0,MIN(in_cap,IF(AE145&gt;0,(in_f3-AD145*AI145*9/10)/AE145,in_cap)))</f>
        <v/>
      </c>
      <c r="BL145" s="16">
        <f>MAX(0,MIN(in_cap,IF(AE145&gt;0,(in_f3-AD145*AI145*10/10)/AE145,in_cap)))</f>
        <v/>
      </c>
      <c r="BM145" s="15">
        <f>100*(1-(1-X145*(1-EXP(-((AI145*0/10)+(BB145))/Y145)))*(1-MIN(ABS(in_elas)*W145*R145*(AI145*0/10)/V145,1)))</f>
        <v/>
      </c>
      <c r="BN145" s="15">
        <f>100*(1-(1-X145*(1-EXP(-((AI145*1/10)+(BC145))/Y145)))*(1-MIN(ABS(in_elas)*W145*R145*(AI145*1/10)/V145,1)))</f>
        <v/>
      </c>
      <c r="BO145" s="15">
        <f>100*(1-(1-X145*(1-EXP(-((AI145*2/10)+(BD145))/Y145)))*(1-MIN(ABS(in_elas)*W145*R145*(AI145*2/10)/V145,1)))</f>
        <v/>
      </c>
      <c r="BP145" s="15">
        <f>100*(1-(1-X145*(1-EXP(-((AI145*3/10)+(BE145))/Y145)))*(1-MIN(ABS(in_elas)*W145*R145*(AI145*3/10)/V145,1)))</f>
        <v/>
      </c>
      <c r="BQ145" s="15">
        <f>100*(1-(1-X145*(1-EXP(-((AI145*4/10)+(BF145))/Y145)))*(1-MIN(ABS(in_elas)*W145*R145*(AI145*4/10)/V145,1)))</f>
        <v/>
      </c>
      <c r="BR145" s="15">
        <f>100*(1-(1-X145*(1-EXP(-((AI145*5/10)+(BG145))/Y145)))*(1-MIN(ABS(in_elas)*W145*R145*(AI145*5/10)/V145,1)))</f>
        <v/>
      </c>
      <c r="BS145" s="15">
        <f>100*(1-(1-X145*(1-EXP(-((AI145*6/10)+(BH145))/Y145)))*(1-MIN(ABS(in_elas)*W145*R145*(AI145*6/10)/V145,1)))</f>
        <v/>
      </c>
      <c r="BT145" s="15">
        <f>100*(1-(1-X145*(1-EXP(-((AI145*7/10)+(BI145))/Y145)))*(1-MIN(ABS(in_elas)*W145*R145*(AI145*7/10)/V145,1)))</f>
        <v/>
      </c>
      <c r="BU145" s="15">
        <f>100*(1-(1-X145*(1-EXP(-((AI145*8/10)+(BJ145))/Y145)))*(1-MIN(ABS(in_elas)*W145*R145*(AI145*8/10)/V145,1)))</f>
        <v/>
      </c>
      <c r="BV145" s="15">
        <f>100*(1-(1-X145*(1-EXP(-((AI145*9/10)+(BK145))/Y145)))*(1-MIN(ABS(in_elas)*W145*R145*(AI145*9/10)/V145,1)))</f>
        <v/>
      </c>
      <c r="BW145" s="15">
        <f>100*(1-(1-X145*(1-EXP(-((AI145*10/10)+(BL145))/Y145)))*(1-MIN(ABS(in_elas)*W145*R145*(AI145*10/10)/V145,1)))</f>
        <v/>
      </c>
    </row>
    <row r="146">
      <c r="A146" s="17" t="inlineStr">
        <is>
          <t>SVK</t>
        </is>
      </c>
      <c r="B146" s="17">
        <f>INDEX(Data!$B:$B,MATCH($A146,Data!$A:$A,0))</f>
        <v/>
      </c>
      <c r="C146" s="17">
        <f>INDEX(Data!$D:$D,MATCH($A146,Data!$A:$A,0))</f>
        <v/>
      </c>
      <c r="D146" s="16">
        <f>SUMIFS(Data!$G:$G,Data!$A:$A,$A146,Data!$F:$F,"gen_coal_twh")</f>
        <v/>
      </c>
      <c r="E146" s="16">
        <f>SUMIFS(Data!$G:$G,Data!$A:$A,$A146,Data!$F:$F,"gen_gas_twh")</f>
        <v/>
      </c>
      <c r="F146" s="16">
        <f>SUMIFS(Data!$G:$G,Data!$A:$A,$A146,Data!$F:$F,"gen_oil_twh")</f>
        <v/>
      </c>
      <c r="G146" s="16">
        <f>SUMIFS(Data!$G:$G,Data!$A:$A,$A146,Data!$F:$F,"gen_total_twh")</f>
        <v/>
      </c>
      <c r="H146" s="16">
        <f>SUMIFS(Data!$G:$G,Data!$A:$A,$A146,Data!$F:$F,"em_coal_mt")</f>
        <v/>
      </c>
      <c r="I146" s="16">
        <f>SUMIFS(Data!$G:$G,Data!$A:$A,$A146,Data!$F:$F,"em_gas_mt")</f>
        <v/>
      </c>
      <c r="J146" s="16">
        <f>SUMIFS(Data!$G:$G,Data!$A:$A,$A146,Data!$F:$F,"em_oil_mt")</f>
        <v/>
      </c>
      <c r="K146" s="28">
        <f>IF(COUNTIFS(Data!$A:$A,$A146,Data!$F:$F,"price_electricity_residential_usd_kwh")=0,"",SUMIFS(Data!$G:$G,Data!$A:$A,$A146,Data!$F:$F,"price_electricity_residential_usd_kwh"))</f>
        <v/>
      </c>
      <c r="L146" s="28">
        <f>IF(COUNTIFS(Data!$A:$A,$A146,Data!$F:$F,"price_coal_power_usd_gj")=0,"",SUMIFS(Data!$G:$G,Data!$A:$A,$A146,Data!$F:$F,"price_coal_power_usd_gj"))</f>
        <v/>
      </c>
      <c r="M146" s="28">
        <f>IF(COUNTIFS(Data!$A:$A,$A146,Data!$F:$F,"price_gas_power_usd_gj")=0,"",SUMIFS(Data!$G:$G,Data!$A:$A,$A146,Data!$F:$F,"price_gas_power_usd_gj"))</f>
        <v/>
      </c>
      <c r="N146" s="28">
        <f>IF(COUNTIFS(Data!$A:$A,$A146,Data!$F:$F,"price_gas_industry_usd_gj")=0,"",SUMIFS(Data!$G:$G,Data!$A:$A,$A146,Data!$F:$F,"price_gas_industry_usd_gj"))</f>
        <v/>
      </c>
      <c r="O146" s="28">
        <f>IF(COUNTIFS(Data!$A:$A,$A146,Data!$F:$F,"power_market_structure")=0,"",SUMIFS(Data!$G:$G,Data!$A:$A,$A146,Data!$F:$F,"power_market_structure"))</f>
        <v/>
      </c>
      <c r="P146" s="28">
        <f>IF(COUNTIFS(Data!$A:$A,$A146,Data!$F:$F,"rise_renewable_energy_score")=0,"",SUMIFS(Data!$G:$G,Data!$A:$A,$A146,Data!$F:$F,"rise_renewable_energy_score"))</f>
        <v/>
      </c>
      <c r="Q146" s="16">
        <f>H146+I146+J146</f>
        <v/>
      </c>
      <c r="R146" s="28">
        <f>Q146/G146</f>
        <v/>
      </c>
      <c r="S146" s="28">
        <f>IF(D146&gt;0,H146/D146,0.85)</f>
        <v/>
      </c>
      <c r="T146" s="28">
        <f>IF(E146&gt;0,I146/E146,0.4)</f>
        <v/>
      </c>
      <c r="U146" s="28">
        <f>IF(D146+F146&gt;0,(H146+J146)/(D146+F146),0)</f>
        <v/>
      </c>
      <c r="V146" s="16">
        <f>K146*1000</f>
        <v/>
      </c>
      <c r="W146" s="15">
        <f>IF(O146=3,in_pt3,IF(O146=2,in_pt2,IF(O146=1,in_pt1,IF(C146="High income",in_pt_hi,in_pt_oth))))</f>
        <v/>
      </c>
      <c r="X146" s="28">
        <f>IF(Q146&gt;0,in_kappa*(in_rise_lo+(in_rise_hi-in_rise_lo)*IF(P146="",in_rise_miss,P146)/100)*(D146+F146)*MAX(U146-in_gas_rep*T146,0)/Q146,0)</f>
        <v/>
      </c>
      <c r="Y146" s="16">
        <f>IF(IF(M146="",N146,M146)="",MAX(in_sw_floor,in_sw_miss),MAX(in_sw_floor,(IF(M146="",N146,M146)*in_hr_gas-L146*in_hr_coal)/MAX(S146-T146,0.1)))</f>
        <v/>
      </c>
      <c r="Z146" s="28">
        <f>IF(C146="Low income",in_b40_li,IF(C146="Lower middle income",in_b40_lmi,IF(C146="Upper middle income",in_b40_umi,IF(C146="High income",in_b40_hi,0.03))))</f>
        <v/>
      </c>
      <c r="AA146" s="15">
        <f>(D146+F146)/G146</f>
        <v/>
      </c>
      <c r="AB146" s="28">
        <f>100*W146*R146/V146/in_phase</f>
        <v/>
      </c>
      <c r="AC146" s="29">
        <f>100*Z146*W146*R146/V146*(1-IF(W146&gt;0,MIN(in_rebate/(W146*in_res_sh*in_q40),1),1))</f>
        <v/>
      </c>
      <c r="AD146" s="28">
        <f>IF(AA146&gt;0,100*U146*(1-W146)/(in_whole_sh*V146),0)</f>
        <v/>
      </c>
      <c r="AE146" s="28">
        <f>IF(AA146&gt;0,100*MAX(U146-R146,0)/(in_whole_sh*V146),0)</f>
        <v/>
      </c>
      <c r="AF146" s="16">
        <f>IF(AB146&gt;0,in_f1/AB146,in_cap)</f>
        <v/>
      </c>
      <c r="AG146" s="16">
        <f>IF(AC146&gt;0,in_f2/AC146,in_cap)</f>
        <v/>
      </c>
      <c r="AH146" s="16">
        <f>IF(AD146&gt;0,in_f3/AD146,in_cap)</f>
        <v/>
      </c>
      <c r="AI146" s="16">
        <f>MIN(in_cap,AF146,AG146,AH146)</f>
        <v/>
      </c>
      <c r="AJ146" s="30">
        <f>100*(1-(1-X146*(1-EXP(-((AI146)+(0))/Y146)))*(1-MIN(ABS(in_elas)*W146*R146*(AI146)/V146,1)))</f>
        <v/>
      </c>
      <c r="AK146" s="17">
        <f>IF(AI146&gt;=in_cap-1E-9,"rate cap",TRIM(IF(ABS(AI146-AF146)&lt;1E-9,"F1 ","")&amp;IF(ABS(AI146-AG146)&lt;1E-9,"F2 ","")&amp;IF(ABS(AI146-AH146)&lt;1E-9,"F3","")))</f>
        <v/>
      </c>
      <c r="AL146" s="15">
        <f>100*(1-(1-X146*(1-EXP(-((MIN(in_cap,IF(AB146&gt;0,(in_f1+1)/AB146,in_cap),AG146,AH146))+(0))/Y146)))*(1-MIN(ABS(in_elas)*W146*R146*(MIN(in_cap,IF(AB146&gt;0,(in_f1+1)/AB146,in_cap),AG146,AH146))/V146,1)))-AJ146</f>
        <v/>
      </c>
      <c r="AM146" s="16">
        <f>MIN(in_cap,IF(AE146&gt;0,in_f3/AE146,in_cap))</f>
        <v/>
      </c>
      <c r="AN146" s="30">
        <f>100*(1-(1-X146*(1-EXP(-((0)+(AM146))/Y146)))*(1-MIN(ABS(in_elas)*W146*R146*(0)/V146,1)))</f>
        <v/>
      </c>
      <c r="AO146" s="17">
        <f>IF(AM146&gt;=in_cap-1E-9,"rate cap","F3")</f>
        <v/>
      </c>
      <c r="AP146" s="15">
        <f>100*(1-(1-X146*(1-EXP(-((50)+(0))/Y146)))*(1-MIN(ABS(in_elas)*W146*R146*(50)/V146,1)))</f>
        <v/>
      </c>
      <c r="AQ146" s="15">
        <f>100*(1-(1-X146*(1-EXP(-((0)+(50))/Y146)))*(1-MIN(ABS(in_elas)*W146*R146*(0)/V146,1)))</f>
        <v/>
      </c>
      <c r="AR146" s="15">
        <f>IF(AP146&gt;0,AQ146/AP146,"")</f>
        <v/>
      </c>
      <c r="AS146" s="16">
        <f>50*AB146</f>
        <v/>
      </c>
      <c r="AT146" s="30">
        <f>MAX(BM146:BW146)</f>
        <v/>
      </c>
      <c r="AU146" s="31">
        <f>AI146*(MATCH(AT146,BM146:BW146,0)-1)/10</f>
        <v/>
      </c>
      <c r="AV146" s="31">
        <f>INDEX(BB146:BL146,1,(MATCH(AT146,BM146:BW146,0)-1)+1)</f>
        <v/>
      </c>
      <c r="AW146" s="31">
        <f>AB146*AU146</f>
        <v/>
      </c>
      <c r="AX146" s="30">
        <f>AC146*AU146</f>
        <v/>
      </c>
      <c r="AY146" s="31">
        <f>AD146*AU146+AE146*AV146</f>
        <v/>
      </c>
      <c r="AZ146" s="32">
        <f>TRIM(IF(AND(AU146&gt;0,ABS(AU146-AF146)&lt;1E-6),"F1 ","")&amp;IF(AND(AU146&gt;0,ABS(AU146-AG146)&lt;1E-6),"F2 ","")&amp;IF(AY146&gt;=in_f3-1E-6,"F3 ","")&amp;IF(AV146&gt;=in_cap-1E-9,"rate cap",""))</f>
        <v/>
      </c>
      <c r="BA146" s="31">
        <f>Q146*AT146/100</f>
        <v/>
      </c>
      <c r="BB146" s="16">
        <f>MAX(0,MIN(in_cap,IF(AE146&gt;0,(in_f3-AD146*AI146*0/10)/AE146,in_cap)))</f>
        <v/>
      </c>
      <c r="BC146" s="16">
        <f>MAX(0,MIN(in_cap,IF(AE146&gt;0,(in_f3-AD146*AI146*1/10)/AE146,in_cap)))</f>
        <v/>
      </c>
      <c r="BD146" s="16">
        <f>MAX(0,MIN(in_cap,IF(AE146&gt;0,(in_f3-AD146*AI146*2/10)/AE146,in_cap)))</f>
        <v/>
      </c>
      <c r="BE146" s="16">
        <f>MAX(0,MIN(in_cap,IF(AE146&gt;0,(in_f3-AD146*AI146*3/10)/AE146,in_cap)))</f>
        <v/>
      </c>
      <c r="BF146" s="16">
        <f>MAX(0,MIN(in_cap,IF(AE146&gt;0,(in_f3-AD146*AI146*4/10)/AE146,in_cap)))</f>
        <v/>
      </c>
      <c r="BG146" s="16">
        <f>MAX(0,MIN(in_cap,IF(AE146&gt;0,(in_f3-AD146*AI146*5/10)/AE146,in_cap)))</f>
        <v/>
      </c>
      <c r="BH146" s="16">
        <f>MAX(0,MIN(in_cap,IF(AE146&gt;0,(in_f3-AD146*AI146*6/10)/AE146,in_cap)))</f>
        <v/>
      </c>
      <c r="BI146" s="16">
        <f>MAX(0,MIN(in_cap,IF(AE146&gt;0,(in_f3-AD146*AI146*7/10)/AE146,in_cap)))</f>
        <v/>
      </c>
      <c r="BJ146" s="16">
        <f>MAX(0,MIN(in_cap,IF(AE146&gt;0,(in_f3-AD146*AI146*8/10)/AE146,in_cap)))</f>
        <v/>
      </c>
      <c r="BK146" s="16">
        <f>MAX(0,MIN(in_cap,IF(AE146&gt;0,(in_f3-AD146*AI146*9/10)/AE146,in_cap)))</f>
        <v/>
      </c>
      <c r="BL146" s="16">
        <f>MAX(0,MIN(in_cap,IF(AE146&gt;0,(in_f3-AD146*AI146*10/10)/AE146,in_cap)))</f>
        <v/>
      </c>
      <c r="BM146" s="15">
        <f>100*(1-(1-X146*(1-EXP(-((AI146*0/10)+(BB146))/Y146)))*(1-MIN(ABS(in_elas)*W146*R146*(AI146*0/10)/V146,1)))</f>
        <v/>
      </c>
      <c r="BN146" s="15">
        <f>100*(1-(1-X146*(1-EXP(-((AI146*1/10)+(BC146))/Y146)))*(1-MIN(ABS(in_elas)*W146*R146*(AI146*1/10)/V146,1)))</f>
        <v/>
      </c>
      <c r="BO146" s="15">
        <f>100*(1-(1-X146*(1-EXP(-((AI146*2/10)+(BD146))/Y146)))*(1-MIN(ABS(in_elas)*W146*R146*(AI146*2/10)/V146,1)))</f>
        <v/>
      </c>
      <c r="BP146" s="15">
        <f>100*(1-(1-X146*(1-EXP(-((AI146*3/10)+(BE146))/Y146)))*(1-MIN(ABS(in_elas)*W146*R146*(AI146*3/10)/V146,1)))</f>
        <v/>
      </c>
      <c r="BQ146" s="15">
        <f>100*(1-(1-X146*(1-EXP(-((AI146*4/10)+(BF146))/Y146)))*(1-MIN(ABS(in_elas)*W146*R146*(AI146*4/10)/V146,1)))</f>
        <v/>
      </c>
      <c r="BR146" s="15">
        <f>100*(1-(1-X146*(1-EXP(-((AI146*5/10)+(BG146))/Y146)))*(1-MIN(ABS(in_elas)*W146*R146*(AI146*5/10)/V146,1)))</f>
        <v/>
      </c>
      <c r="BS146" s="15">
        <f>100*(1-(1-X146*(1-EXP(-((AI146*6/10)+(BH146))/Y146)))*(1-MIN(ABS(in_elas)*W146*R146*(AI146*6/10)/V146,1)))</f>
        <v/>
      </c>
      <c r="BT146" s="15">
        <f>100*(1-(1-X146*(1-EXP(-((AI146*7/10)+(BI146))/Y146)))*(1-MIN(ABS(in_elas)*W146*R146*(AI146*7/10)/V146,1)))</f>
        <v/>
      </c>
      <c r="BU146" s="15">
        <f>100*(1-(1-X146*(1-EXP(-((AI146*8/10)+(BJ146))/Y146)))*(1-MIN(ABS(in_elas)*W146*R146*(AI146*8/10)/V146,1)))</f>
        <v/>
      </c>
      <c r="BV146" s="15">
        <f>100*(1-(1-X146*(1-EXP(-((AI146*9/10)+(BK146))/Y146)))*(1-MIN(ABS(in_elas)*W146*R146*(AI146*9/10)/V146,1)))</f>
        <v/>
      </c>
      <c r="BW146" s="15">
        <f>100*(1-(1-X146*(1-EXP(-((AI146*10/10)+(BL146))/Y146)))*(1-MIN(ABS(in_elas)*W146*R146*(AI146*10/10)/V146,1)))</f>
        <v/>
      </c>
    </row>
    <row r="147">
      <c r="A147" s="17" t="inlineStr">
        <is>
          <t>SVN</t>
        </is>
      </c>
      <c r="B147" s="17">
        <f>INDEX(Data!$B:$B,MATCH($A147,Data!$A:$A,0))</f>
        <v/>
      </c>
      <c r="C147" s="17">
        <f>INDEX(Data!$D:$D,MATCH($A147,Data!$A:$A,0))</f>
        <v/>
      </c>
      <c r="D147" s="16">
        <f>SUMIFS(Data!$G:$G,Data!$A:$A,$A147,Data!$F:$F,"gen_coal_twh")</f>
        <v/>
      </c>
      <c r="E147" s="16">
        <f>SUMIFS(Data!$G:$G,Data!$A:$A,$A147,Data!$F:$F,"gen_gas_twh")</f>
        <v/>
      </c>
      <c r="F147" s="16">
        <f>SUMIFS(Data!$G:$G,Data!$A:$A,$A147,Data!$F:$F,"gen_oil_twh")</f>
        <v/>
      </c>
      <c r="G147" s="16">
        <f>SUMIFS(Data!$G:$G,Data!$A:$A,$A147,Data!$F:$F,"gen_total_twh")</f>
        <v/>
      </c>
      <c r="H147" s="16">
        <f>SUMIFS(Data!$G:$G,Data!$A:$A,$A147,Data!$F:$F,"em_coal_mt")</f>
        <v/>
      </c>
      <c r="I147" s="16">
        <f>SUMIFS(Data!$G:$G,Data!$A:$A,$A147,Data!$F:$F,"em_gas_mt")</f>
        <v/>
      </c>
      <c r="J147" s="16">
        <f>SUMIFS(Data!$G:$G,Data!$A:$A,$A147,Data!$F:$F,"em_oil_mt")</f>
        <v/>
      </c>
      <c r="K147" s="28">
        <f>IF(COUNTIFS(Data!$A:$A,$A147,Data!$F:$F,"price_electricity_residential_usd_kwh")=0,"",SUMIFS(Data!$G:$G,Data!$A:$A,$A147,Data!$F:$F,"price_electricity_residential_usd_kwh"))</f>
        <v/>
      </c>
      <c r="L147" s="28">
        <f>IF(COUNTIFS(Data!$A:$A,$A147,Data!$F:$F,"price_coal_power_usd_gj")=0,"",SUMIFS(Data!$G:$G,Data!$A:$A,$A147,Data!$F:$F,"price_coal_power_usd_gj"))</f>
        <v/>
      </c>
      <c r="M147" s="28">
        <f>IF(COUNTIFS(Data!$A:$A,$A147,Data!$F:$F,"price_gas_power_usd_gj")=0,"",SUMIFS(Data!$G:$G,Data!$A:$A,$A147,Data!$F:$F,"price_gas_power_usd_gj"))</f>
        <v/>
      </c>
      <c r="N147" s="28">
        <f>IF(COUNTIFS(Data!$A:$A,$A147,Data!$F:$F,"price_gas_industry_usd_gj")=0,"",SUMIFS(Data!$G:$G,Data!$A:$A,$A147,Data!$F:$F,"price_gas_industry_usd_gj"))</f>
        <v/>
      </c>
      <c r="O147" s="28">
        <f>IF(COUNTIFS(Data!$A:$A,$A147,Data!$F:$F,"power_market_structure")=0,"",SUMIFS(Data!$G:$G,Data!$A:$A,$A147,Data!$F:$F,"power_market_structure"))</f>
        <v/>
      </c>
      <c r="P147" s="28">
        <f>IF(COUNTIFS(Data!$A:$A,$A147,Data!$F:$F,"rise_renewable_energy_score")=0,"",SUMIFS(Data!$G:$G,Data!$A:$A,$A147,Data!$F:$F,"rise_renewable_energy_score"))</f>
        <v/>
      </c>
      <c r="Q147" s="16">
        <f>H147+I147+J147</f>
        <v/>
      </c>
      <c r="R147" s="28">
        <f>Q147/G147</f>
        <v/>
      </c>
      <c r="S147" s="28">
        <f>IF(D147&gt;0,H147/D147,0.85)</f>
        <v/>
      </c>
      <c r="T147" s="28">
        <f>IF(E147&gt;0,I147/E147,0.4)</f>
        <v/>
      </c>
      <c r="U147" s="28">
        <f>IF(D147+F147&gt;0,(H147+J147)/(D147+F147),0)</f>
        <v/>
      </c>
      <c r="V147" s="16">
        <f>K147*1000</f>
        <v/>
      </c>
      <c r="W147" s="15">
        <f>IF(O147=3,in_pt3,IF(O147=2,in_pt2,IF(O147=1,in_pt1,IF(C147="High income",in_pt_hi,in_pt_oth))))</f>
        <v/>
      </c>
      <c r="X147" s="28">
        <f>IF(Q147&gt;0,in_kappa*(in_rise_lo+(in_rise_hi-in_rise_lo)*IF(P147="",in_rise_miss,P147)/100)*(D147+F147)*MAX(U147-in_gas_rep*T147,0)/Q147,0)</f>
        <v/>
      </c>
      <c r="Y147" s="16">
        <f>IF(IF(M147="",N147,M147)="",MAX(in_sw_floor,in_sw_miss),MAX(in_sw_floor,(IF(M147="",N147,M147)*in_hr_gas-L147*in_hr_coal)/MAX(S147-T147,0.1)))</f>
        <v/>
      </c>
      <c r="Z147" s="28">
        <f>IF(C147="Low income",in_b40_li,IF(C147="Lower middle income",in_b40_lmi,IF(C147="Upper middle income",in_b40_umi,IF(C147="High income",in_b40_hi,0.03))))</f>
        <v/>
      </c>
      <c r="AA147" s="15">
        <f>(D147+F147)/G147</f>
        <v/>
      </c>
      <c r="AB147" s="28">
        <f>100*W147*R147/V147/in_phase</f>
        <v/>
      </c>
      <c r="AC147" s="29">
        <f>100*Z147*W147*R147/V147*(1-IF(W147&gt;0,MIN(in_rebate/(W147*in_res_sh*in_q40),1),1))</f>
        <v/>
      </c>
      <c r="AD147" s="28">
        <f>IF(AA147&gt;0,100*U147*(1-W147)/(in_whole_sh*V147),0)</f>
        <v/>
      </c>
      <c r="AE147" s="28">
        <f>IF(AA147&gt;0,100*MAX(U147-R147,0)/(in_whole_sh*V147),0)</f>
        <v/>
      </c>
      <c r="AF147" s="16">
        <f>IF(AB147&gt;0,in_f1/AB147,in_cap)</f>
        <v/>
      </c>
      <c r="AG147" s="16">
        <f>IF(AC147&gt;0,in_f2/AC147,in_cap)</f>
        <v/>
      </c>
      <c r="AH147" s="16">
        <f>IF(AD147&gt;0,in_f3/AD147,in_cap)</f>
        <v/>
      </c>
      <c r="AI147" s="16">
        <f>MIN(in_cap,AF147,AG147,AH147)</f>
        <v/>
      </c>
      <c r="AJ147" s="30">
        <f>100*(1-(1-X147*(1-EXP(-((AI147)+(0))/Y147)))*(1-MIN(ABS(in_elas)*W147*R147*(AI147)/V147,1)))</f>
        <v/>
      </c>
      <c r="AK147" s="17">
        <f>IF(AI147&gt;=in_cap-1E-9,"rate cap",TRIM(IF(ABS(AI147-AF147)&lt;1E-9,"F1 ","")&amp;IF(ABS(AI147-AG147)&lt;1E-9,"F2 ","")&amp;IF(ABS(AI147-AH147)&lt;1E-9,"F3","")))</f>
        <v/>
      </c>
      <c r="AL147" s="15">
        <f>100*(1-(1-X147*(1-EXP(-((MIN(in_cap,IF(AB147&gt;0,(in_f1+1)/AB147,in_cap),AG147,AH147))+(0))/Y147)))*(1-MIN(ABS(in_elas)*W147*R147*(MIN(in_cap,IF(AB147&gt;0,(in_f1+1)/AB147,in_cap),AG147,AH147))/V147,1)))-AJ147</f>
        <v/>
      </c>
      <c r="AM147" s="16">
        <f>MIN(in_cap,IF(AE147&gt;0,in_f3/AE147,in_cap))</f>
        <v/>
      </c>
      <c r="AN147" s="30">
        <f>100*(1-(1-X147*(1-EXP(-((0)+(AM147))/Y147)))*(1-MIN(ABS(in_elas)*W147*R147*(0)/V147,1)))</f>
        <v/>
      </c>
      <c r="AO147" s="17">
        <f>IF(AM147&gt;=in_cap-1E-9,"rate cap","F3")</f>
        <v/>
      </c>
      <c r="AP147" s="15">
        <f>100*(1-(1-X147*(1-EXP(-((50)+(0))/Y147)))*(1-MIN(ABS(in_elas)*W147*R147*(50)/V147,1)))</f>
        <v/>
      </c>
      <c r="AQ147" s="15">
        <f>100*(1-(1-X147*(1-EXP(-((0)+(50))/Y147)))*(1-MIN(ABS(in_elas)*W147*R147*(0)/V147,1)))</f>
        <v/>
      </c>
      <c r="AR147" s="15">
        <f>IF(AP147&gt;0,AQ147/AP147,"")</f>
        <v/>
      </c>
      <c r="AS147" s="16">
        <f>50*AB147</f>
        <v/>
      </c>
      <c r="AT147" s="30">
        <f>MAX(BM147:BW147)</f>
        <v/>
      </c>
      <c r="AU147" s="31">
        <f>AI147*(MATCH(AT147,BM147:BW147,0)-1)/10</f>
        <v/>
      </c>
      <c r="AV147" s="31">
        <f>INDEX(BB147:BL147,1,(MATCH(AT147,BM147:BW147,0)-1)+1)</f>
        <v/>
      </c>
      <c r="AW147" s="31">
        <f>AB147*AU147</f>
        <v/>
      </c>
      <c r="AX147" s="30">
        <f>AC147*AU147</f>
        <v/>
      </c>
      <c r="AY147" s="31">
        <f>AD147*AU147+AE147*AV147</f>
        <v/>
      </c>
      <c r="AZ147" s="32">
        <f>TRIM(IF(AND(AU147&gt;0,ABS(AU147-AF147)&lt;1E-6),"F1 ","")&amp;IF(AND(AU147&gt;0,ABS(AU147-AG147)&lt;1E-6),"F2 ","")&amp;IF(AY147&gt;=in_f3-1E-6,"F3 ","")&amp;IF(AV147&gt;=in_cap-1E-9,"rate cap",""))</f>
        <v/>
      </c>
      <c r="BA147" s="31">
        <f>Q147*AT147/100</f>
        <v/>
      </c>
      <c r="BB147" s="16">
        <f>MAX(0,MIN(in_cap,IF(AE147&gt;0,(in_f3-AD147*AI147*0/10)/AE147,in_cap)))</f>
        <v/>
      </c>
      <c r="BC147" s="16">
        <f>MAX(0,MIN(in_cap,IF(AE147&gt;0,(in_f3-AD147*AI147*1/10)/AE147,in_cap)))</f>
        <v/>
      </c>
      <c r="BD147" s="16">
        <f>MAX(0,MIN(in_cap,IF(AE147&gt;0,(in_f3-AD147*AI147*2/10)/AE147,in_cap)))</f>
        <v/>
      </c>
      <c r="BE147" s="16">
        <f>MAX(0,MIN(in_cap,IF(AE147&gt;0,(in_f3-AD147*AI147*3/10)/AE147,in_cap)))</f>
        <v/>
      </c>
      <c r="BF147" s="16">
        <f>MAX(0,MIN(in_cap,IF(AE147&gt;0,(in_f3-AD147*AI147*4/10)/AE147,in_cap)))</f>
        <v/>
      </c>
      <c r="BG147" s="16">
        <f>MAX(0,MIN(in_cap,IF(AE147&gt;0,(in_f3-AD147*AI147*5/10)/AE147,in_cap)))</f>
        <v/>
      </c>
      <c r="BH147" s="16">
        <f>MAX(0,MIN(in_cap,IF(AE147&gt;0,(in_f3-AD147*AI147*6/10)/AE147,in_cap)))</f>
        <v/>
      </c>
      <c r="BI147" s="16">
        <f>MAX(0,MIN(in_cap,IF(AE147&gt;0,(in_f3-AD147*AI147*7/10)/AE147,in_cap)))</f>
        <v/>
      </c>
      <c r="BJ147" s="16">
        <f>MAX(0,MIN(in_cap,IF(AE147&gt;0,(in_f3-AD147*AI147*8/10)/AE147,in_cap)))</f>
        <v/>
      </c>
      <c r="BK147" s="16">
        <f>MAX(0,MIN(in_cap,IF(AE147&gt;0,(in_f3-AD147*AI147*9/10)/AE147,in_cap)))</f>
        <v/>
      </c>
      <c r="BL147" s="16">
        <f>MAX(0,MIN(in_cap,IF(AE147&gt;0,(in_f3-AD147*AI147*10/10)/AE147,in_cap)))</f>
        <v/>
      </c>
      <c r="BM147" s="15">
        <f>100*(1-(1-X147*(1-EXP(-((AI147*0/10)+(BB147))/Y147)))*(1-MIN(ABS(in_elas)*W147*R147*(AI147*0/10)/V147,1)))</f>
        <v/>
      </c>
      <c r="BN147" s="15">
        <f>100*(1-(1-X147*(1-EXP(-((AI147*1/10)+(BC147))/Y147)))*(1-MIN(ABS(in_elas)*W147*R147*(AI147*1/10)/V147,1)))</f>
        <v/>
      </c>
      <c r="BO147" s="15">
        <f>100*(1-(1-X147*(1-EXP(-((AI147*2/10)+(BD147))/Y147)))*(1-MIN(ABS(in_elas)*W147*R147*(AI147*2/10)/V147,1)))</f>
        <v/>
      </c>
      <c r="BP147" s="15">
        <f>100*(1-(1-X147*(1-EXP(-((AI147*3/10)+(BE147))/Y147)))*(1-MIN(ABS(in_elas)*W147*R147*(AI147*3/10)/V147,1)))</f>
        <v/>
      </c>
      <c r="BQ147" s="15">
        <f>100*(1-(1-X147*(1-EXP(-((AI147*4/10)+(BF147))/Y147)))*(1-MIN(ABS(in_elas)*W147*R147*(AI147*4/10)/V147,1)))</f>
        <v/>
      </c>
      <c r="BR147" s="15">
        <f>100*(1-(1-X147*(1-EXP(-((AI147*5/10)+(BG147))/Y147)))*(1-MIN(ABS(in_elas)*W147*R147*(AI147*5/10)/V147,1)))</f>
        <v/>
      </c>
      <c r="BS147" s="15">
        <f>100*(1-(1-X147*(1-EXP(-((AI147*6/10)+(BH147))/Y147)))*(1-MIN(ABS(in_elas)*W147*R147*(AI147*6/10)/V147,1)))</f>
        <v/>
      </c>
      <c r="BT147" s="15">
        <f>100*(1-(1-X147*(1-EXP(-((AI147*7/10)+(BI147))/Y147)))*(1-MIN(ABS(in_elas)*W147*R147*(AI147*7/10)/V147,1)))</f>
        <v/>
      </c>
      <c r="BU147" s="15">
        <f>100*(1-(1-X147*(1-EXP(-((AI147*8/10)+(BJ147))/Y147)))*(1-MIN(ABS(in_elas)*W147*R147*(AI147*8/10)/V147,1)))</f>
        <v/>
      </c>
      <c r="BV147" s="15">
        <f>100*(1-(1-X147*(1-EXP(-((AI147*9/10)+(BK147))/Y147)))*(1-MIN(ABS(in_elas)*W147*R147*(AI147*9/10)/V147,1)))</f>
        <v/>
      </c>
      <c r="BW147" s="15">
        <f>100*(1-(1-X147*(1-EXP(-((AI147*10/10)+(BL147))/Y147)))*(1-MIN(ABS(in_elas)*W147*R147*(AI147*10/10)/V147,1)))</f>
        <v/>
      </c>
    </row>
    <row r="148">
      <c r="A148" s="17" t="inlineStr">
        <is>
          <t>SWE</t>
        </is>
      </c>
      <c r="B148" s="17">
        <f>INDEX(Data!$B:$B,MATCH($A148,Data!$A:$A,0))</f>
        <v/>
      </c>
      <c r="C148" s="17">
        <f>INDEX(Data!$D:$D,MATCH($A148,Data!$A:$A,0))</f>
        <v/>
      </c>
      <c r="D148" s="16">
        <f>SUMIFS(Data!$G:$G,Data!$A:$A,$A148,Data!$F:$F,"gen_coal_twh")</f>
        <v/>
      </c>
      <c r="E148" s="16">
        <f>SUMIFS(Data!$G:$G,Data!$A:$A,$A148,Data!$F:$F,"gen_gas_twh")</f>
        <v/>
      </c>
      <c r="F148" s="16">
        <f>SUMIFS(Data!$G:$G,Data!$A:$A,$A148,Data!$F:$F,"gen_oil_twh")</f>
        <v/>
      </c>
      <c r="G148" s="16">
        <f>SUMIFS(Data!$G:$G,Data!$A:$A,$A148,Data!$F:$F,"gen_total_twh")</f>
        <v/>
      </c>
      <c r="H148" s="16">
        <f>SUMIFS(Data!$G:$G,Data!$A:$A,$A148,Data!$F:$F,"em_coal_mt")</f>
        <v/>
      </c>
      <c r="I148" s="16">
        <f>SUMIFS(Data!$G:$G,Data!$A:$A,$A148,Data!$F:$F,"em_gas_mt")</f>
        <v/>
      </c>
      <c r="J148" s="16">
        <f>SUMIFS(Data!$G:$G,Data!$A:$A,$A148,Data!$F:$F,"em_oil_mt")</f>
        <v/>
      </c>
      <c r="K148" s="28">
        <f>IF(COUNTIFS(Data!$A:$A,$A148,Data!$F:$F,"price_electricity_residential_usd_kwh")=0,"",SUMIFS(Data!$G:$G,Data!$A:$A,$A148,Data!$F:$F,"price_electricity_residential_usd_kwh"))</f>
        <v/>
      </c>
      <c r="L148" s="28">
        <f>IF(COUNTIFS(Data!$A:$A,$A148,Data!$F:$F,"price_coal_power_usd_gj")=0,"",SUMIFS(Data!$G:$G,Data!$A:$A,$A148,Data!$F:$F,"price_coal_power_usd_gj"))</f>
        <v/>
      </c>
      <c r="M148" s="28">
        <f>IF(COUNTIFS(Data!$A:$A,$A148,Data!$F:$F,"price_gas_power_usd_gj")=0,"",SUMIFS(Data!$G:$G,Data!$A:$A,$A148,Data!$F:$F,"price_gas_power_usd_gj"))</f>
        <v/>
      </c>
      <c r="N148" s="28">
        <f>IF(COUNTIFS(Data!$A:$A,$A148,Data!$F:$F,"price_gas_industry_usd_gj")=0,"",SUMIFS(Data!$G:$G,Data!$A:$A,$A148,Data!$F:$F,"price_gas_industry_usd_gj"))</f>
        <v/>
      </c>
      <c r="O148" s="28">
        <f>IF(COUNTIFS(Data!$A:$A,$A148,Data!$F:$F,"power_market_structure")=0,"",SUMIFS(Data!$G:$G,Data!$A:$A,$A148,Data!$F:$F,"power_market_structure"))</f>
        <v/>
      </c>
      <c r="P148" s="28">
        <f>IF(COUNTIFS(Data!$A:$A,$A148,Data!$F:$F,"rise_renewable_energy_score")=0,"",SUMIFS(Data!$G:$G,Data!$A:$A,$A148,Data!$F:$F,"rise_renewable_energy_score"))</f>
        <v/>
      </c>
      <c r="Q148" s="16">
        <f>H148+I148+J148</f>
        <v/>
      </c>
      <c r="R148" s="28">
        <f>Q148/G148</f>
        <v/>
      </c>
      <c r="S148" s="28">
        <f>IF(D148&gt;0,H148/D148,0.85)</f>
        <v/>
      </c>
      <c r="T148" s="28">
        <f>IF(E148&gt;0,I148/E148,0.4)</f>
        <v/>
      </c>
      <c r="U148" s="28">
        <f>IF(D148+F148&gt;0,(H148+J148)/(D148+F148),0)</f>
        <v/>
      </c>
      <c r="V148" s="16">
        <f>K148*1000</f>
        <v/>
      </c>
      <c r="W148" s="15">
        <f>IF(O148=3,in_pt3,IF(O148=2,in_pt2,IF(O148=1,in_pt1,IF(C148="High income",in_pt_hi,in_pt_oth))))</f>
        <v/>
      </c>
      <c r="X148" s="28">
        <f>IF(Q148&gt;0,in_kappa*(in_rise_lo+(in_rise_hi-in_rise_lo)*IF(P148="",in_rise_miss,P148)/100)*(D148+F148)*MAX(U148-in_gas_rep*T148,0)/Q148,0)</f>
        <v/>
      </c>
      <c r="Y148" s="16">
        <f>IF(IF(M148="",N148,M148)="",MAX(in_sw_floor,in_sw_miss),MAX(in_sw_floor,(IF(M148="",N148,M148)*in_hr_gas-L148*in_hr_coal)/MAX(S148-T148,0.1)))</f>
        <v/>
      </c>
      <c r="Z148" s="28">
        <f>IF(C148="Low income",in_b40_li,IF(C148="Lower middle income",in_b40_lmi,IF(C148="Upper middle income",in_b40_umi,IF(C148="High income",in_b40_hi,0.03))))</f>
        <v/>
      </c>
      <c r="AA148" s="15">
        <f>(D148+F148)/G148</f>
        <v/>
      </c>
      <c r="AB148" s="28">
        <f>100*W148*R148/V148/in_phase</f>
        <v/>
      </c>
      <c r="AC148" s="29">
        <f>100*Z148*W148*R148/V148*(1-IF(W148&gt;0,MIN(in_rebate/(W148*in_res_sh*in_q40),1),1))</f>
        <v/>
      </c>
      <c r="AD148" s="28">
        <f>IF(AA148&gt;0,100*U148*(1-W148)/(in_whole_sh*V148),0)</f>
        <v/>
      </c>
      <c r="AE148" s="28">
        <f>IF(AA148&gt;0,100*MAX(U148-R148,0)/(in_whole_sh*V148),0)</f>
        <v/>
      </c>
      <c r="AF148" s="16">
        <f>IF(AB148&gt;0,in_f1/AB148,in_cap)</f>
        <v/>
      </c>
      <c r="AG148" s="16">
        <f>IF(AC148&gt;0,in_f2/AC148,in_cap)</f>
        <v/>
      </c>
      <c r="AH148" s="16">
        <f>IF(AD148&gt;0,in_f3/AD148,in_cap)</f>
        <v/>
      </c>
      <c r="AI148" s="16">
        <f>MIN(in_cap,AF148,AG148,AH148)</f>
        <v/>
      </c>
      <c r="AJ148" s="30">
        <f>100*(1-(1-X148*(1-EXP(-((AI148)+(0))/Y148)))*(1-MIN(ABS(in_elas)*W148*R148*(AI148)/V148,1)))</f>
        <v/>
      </c>
      <c r="AK148" s="17">
        <f>IF(AI148&gt;=in_cap-1E-9,"rate cap",TRIM(IF(ABS(AI148-AF148)&lt;1E-9,"F1 ","")&amp;IF(ABS(AI148-AG148)&lt;1E-9,"F2 ","")&amp;IF(ABS(AI148-AH148)&lt;1E-9,"F3","")))</f>
        <v/>
      </c>
      <c r="AL148" s="15">
        <f>100*(1-(1-X148*(1-EXP(-((MIN(in_cap,IF(AB148&gt;0,(in_f1+1)/AB148,in_cap),AG148,AH148))+(0))/Y148)))*(1-MIN(ABS(in_elas)*W148*R148*(MIN(in_cap,IF(AB148&gt;0,(in_f1+1)/AB148,in_cap),AG148,AH148))/V148,1)))-AJ148</f>
        <v/>
      </c>
      <c r="AM148" s="16">
        <f>MIN(in_cap,IF(AE148&gt;0,in_f3/AE148,in_cap))</f>
        <v/>
      </c>
      <c r="AN148" s="30">
        <f>100*(1-(1-X148*(1-EXP(-((0)+(AM148))/Y148)))*(1-MIN(ABS(in_elas)*W148*R148*(0)/V148,1)))</f>
        <v/>
      </c>
      <c r="AO148" s="17">
        <f>IF(AM148&gt;=in_cap-1E-9,"rate cap","F3")</f>
        <v/>
      </c>
      <c r="AP148" s="15">
        <f>100*(1-(1-X148*(1-EXP(-((50)+(0))/Y148)))*(1-MIN(ABS(in_elas)*W148*R148*(50)/V148,1)))</f>
        <v/>
      </c>
      <c r="AQ148" s="15">
        <f>100*(1-(1-X148*(1-EXP(-((0)+(50))/Y148)))*(1-MIN(ABS(in_elas)*W148*R148*(0)/V148,1)))</f>
        <v/>
      </c>
      <c r="AR148" s="15">
        <f>IF(AP148&gt;0,AQ148/AP148,"")</f>
        <v/>
      </c>
      <c r="AS148" s="16">
        <f>50*AB148</f>
        <v/>
      </c>
      <c r="AT148" s="30">
        <f>MAX(BM148:BW148)</f>
        <v/>
      </c>
      <c r="AU148" s="31">
        <f>AI148*(MATCH(AT148,BM148:BW148,0)-1)/10</f>
        <v/>
      </c>
      <c r="AV148" s="31">
        <f>INDEX(BB148:BL148,1,(MATCH(AT148,BM148:BW148,0)-1)+1)</f>
        <v/>
      </c>
      <c r="AW148" s="31">
        <f>AB148*AU148</f>
        <v/>
      </c>
      <c r="AX148" s="30">
        <f>AC148*AU148</f>
        <v/>
      </c>
      <c r="AY148" s="31">
        <f>AD148*AU148+AE148*AV148</f>
        <v/>
      </c>
      <c r="AZ148" s="32">
        <f>TRIM(IF(AND(AU148&gt;0,ABS(AU148-AF148)&lt;1E-6),"F1 ","")&amp;IF(AND(AU148&gt;0,ABS(AU148-AG148)&lt;1E-6),"F2 ","")&amp;IF(AY148&gt;=in_f3-1E-6,"F3 ","")&amp;IF(AV148&gt;=in_cap-1E-9,"rate cap",""))</f>
        <v/>
      </c>
      <c r="BA148" s="31">
        <f>Q148*AT148/100</f>
        <v/>
      </c>
      <c r="BB148" s="16">
        <f>MAX(0,MIN(in_cap,IF(AE148&gt;0,(in_f3-AD148*AI148*0/10)/AE148,in_cap)))</f>
        <v/>
      </c>
      <c r="BC148" s="16">
        <f>MAX(0,MIN(in_cap,IF(AE148&gt;0,(in_f3-AD148*AI148*1/10)/AE148,in_cap)))</f>
        <v/>
      </c>
      <c r="BD148" s="16">
        <f>MAX(0,MIN(in_cap,IF(AE148&gt;0,(in_f3-AD148*AI148*2/10)/AE148,in_cap)))</f>
        <v/>
      </c>
      <c r="BE148" s="16">
        <f>MAX(0,MIN(in_cap,IF(AE148&gt;0,(in_f3-AD148*AI148*3/10)/AE148,in_cap)))</f>
        <v/>
      </c>
      <c r="BF148" s="16">
        <f>MAX(0,MIN(in_cap,IF(AE148&gt;0,(in_f3-AD148*AI148*4/10)/AE148,in_cap)))</f>
        <v/>
      </c>
      <c r="BG148" s="16">
        <f>MAX(0,MIN(in_cap,IF(AE148&gt;0,(in_f3-AD148*AI148*5/10)/AE148,in_cap)))</f>
        <v/>
      </c>
      <c r="BH148" s="16">
        <f>MAX(0,MIN(in_cap,IF(AE148&gt;0,(in_f3-AD148*AI148*6/10)/AE148,in_cap)))</f>
        <v/>
      </c>
      <c r="BI148" s="16">
        <f>MAX(0,MIN(in_cap,IF(AE148&gt;0,(in_f3-AD148*AI148*7/10)/AE148,in_cap)))</f>
        <v/>
      </c>
      <c r="BJ148" s="16">
        <f>MAX(0,MIN(in_cap,IF(AE148&gt;0,(in_f3-AD148*AI148*8/10)/AE148,in_cap)))</f>
        <v/>
      </c>
      <c r="BK148" s="16">
        <f>MAX(0,MIN(in_cap,IF(AE148&gt;0,(in_f3-AD148*AI148*9/10)/AE148,in_cap)))</f>
        <v/>
      </c>
      <c r="BL148" s="16">
        <f>MAX(0,MIN(in_cap,IF(AE148&gt;0,(in_f3-AD148*AI148*10/10)/AE148,in_cap)))</f>
        <v/>
      </c>
      <c r="BM148" s="15">
        <f>100*(1-(1-X148*(1-EXP(-((AI148*0/10)+(BB148))/Y148)))*(1-MIN(ABS(in_elas)*W148*R148*(AI148*0/10)/V148,1)))</f>
        <v/>
      </c>
      <c r="BN148" s="15">
        <f>100*(1-(1-X148*(1-EXP(-((AI148*1/10)+(BC148))/Y148)))*(1-MIN(ABS(in_elas)*W148*R148*(AI148*1/10)/V148,1)))</f>
        <v/>
      </c>
      <c r="BO148" s="15">
        <f>100*(1-(1-X148*(1-EXP(-((AI148*2/10)+(BD148))/Y148)))*(1-MIN(ABS(in_elas)*W148*R148*(AI148*2/10)/V148,1)))</f>
        <v/>
      </c>
      <c r="BP148" s="15">
        <f>100*(1-(1-X148*(1-EXP(-((AI148*3/10)+(BE148))/Y148)))*(1-MIN(ABS(in_elas)*W148*R148*(AI148*3/10)/V148,1)))</f>
        <v/>
      </c>
      <c r="BQ148" s="15">
        <f>100*(1-(1-X148*(1-EXP(-((AI148*4/10)+(BF148))/Y148)))*(1-MIN(ABS(in_elas)*W148*R148*(AI148*4/10)/V148,1)))</f>
        <v/>
      </c>
      <c r="BR148" s="15">
        <f>100*(1-(1-X148*(1-EXP(-((AI148*5/10)+(BG148))/Y148)))*(1-MIN(ABS(in_elas)*W148*R148*(AI148*5/10)/V148,1)))</f>
        <v/>
      </c>
      <c r="BS148" s="15">
        <f>100*(1-(1-X148*(1-EXP(-((AI148*6/10)+(BH148))/Y148)))*(1-MIN(ABS(in_elas)*W148*R148*(AI148*6/10)/V148,1)))</f>
        <v/>
      </c>
      <c r="BT148" s="15">
        <f>100*(1-(1-X148*(1-EXP(-((AI148*7/10)+(BI148))/Y148)))*(1-MIN(ABS(in_elas)*W148*R148*(AI148*7/10)/V148,1)))</f>
        <v/>
      </c>
      <c r="BU148" s="15">
        <f>100*(1-(1-X148*(1-EXP(-((AI148*8/10)+(BJ148))/Y148)))*(1-MIN(ABS(in_elas)*W148*R148*(AI148*8/10)/V148,1)))</f>
        <v/>
      </c>
      <c r="BV148" s="15">
        <f>100*(1-(1-X148*(1-EXP(-((AI148*9/10)+(BK148))/Y148)))*(1-MIN(ABS(in_elas)*W148*R148*(AI148*9/10)/V148,1)))</f>
        <v/>
      </c>
      <c r="BW148" s="15">
        <f>100*(1-(1-X148*(1-EXP(-((AI148*10/10)+(BL148))/Y148)))*(1-MIN(ABS(in_elas)*W148*R148*(AI148*10/10)/V148,1)))</f>
        <v/>
      </c>
    </row>
    <row r="149">
      <c r="A149" s="17" t="inlineStr">
        <is>
          <t>SWZ</t>
        </is>
      </c>
      <c r="B149" s="17">
        <f>INDEX(Data!$B:$B,MATCH($A149,Data!$A:$A,0))</f>
        <v/>
      </c>
      <c r="C149" s="17">
        <f>INDEX(Data!$D:$D,MATCH($A149,Data!$A:$A,0))</f>
        <v/>
      </c>
      <c r="D149" s="16">
        <f>SUMIFS(Data!$G:$G,Data!$A:$A,$A149,Data!$F:$F,"gen_coal_twh")</f>
        <v/>
      </c>
      <c r="E149" s="16">
        <f>SUMIFS(Data!$G:$G,Data!$A:$A,$A149,Data!$F:$F,"gen_gas_twh")</f>
        <v/>
      </c>
      <c r="F149" s="16">
        <f>SUMIFS(Data!$G:$G,Data!$A:$A,$A149,Data!$F:$F,"gen_oil_twh")</f>
        <v/>
      </c>
      <c r="G149" s="16">
        <f>SUMIFS(Data!$G:$G,Data!$A:$A,$A149,Data!$F:$F,"gen_total_twh")</f>
        <v/>
      </c>
      <c r="H149" s="16">
        <f>SUMIFS(Data!$G:$G,Data!$A:$A,$A149,Data!$F:$F,"em_coal_mt")</f>
        <v/>
      </c>
      <c r="I149" s="16">
        <f>SUMIFS(Data!$G:$G,Data!$A:$A,$A149,Data!$F:$F,"em_gas_mt")</f>
        <v/>
      </c>
      <c r="J149" s="16">
        <f>SUMIFS(Data!$G:$G,Data!$A:$A,$A149,Data!$F:$F,"em_oil_mt")</f>
        <v/>
      </c>
      <c r="K149" s="28">
        <f>IF(COUNTIFS(Data!$A:$A,$A149,Data!$F:$F,"price_electricity_residential_usd_kwh")=0,"",SUMIFS(Data!$G:$G,Data!$A:$A,$A149,Data!$F:$F,"price_electricity_residential_usd_kwh"))</f>
        <v/>
      </c>
      <c r="L149" s="28">
        <f>IF(COUNTIFS(Data!$A:$A,$A149,Data!$F:$F,"price_coal_power_usd_gj")=0,"",SUMIFS(Data!$G:$G,Data!$A:$A,$A149,Data!$F:$F,"price_coal_power_usd_gj"))</f>
        <v/>
      </c>
      <c r="M149" s="28">
        <f>IF(COUNTIFS(Data!$A:$A,$A149,Data!$F:$F,"price_gas_power_usd_gj")=0,"",SUMIFS(Data!$G:$G,Data!$A:$A,$A149,Data!$F:$F,"price_gas_power_usd_gj"))</f>
        <v/>
      </c>
      <c r="N149" s="28">
        <f>IF(COUNTIFS(Data!$A:$A,$A149,Data!$F:$F,"price_gas_industry_usd_gj")=0,"",SUMIFS(Data!$G:$G,Data!$A:$A,$A149,Data!$F:$F,"price_gas_industry_usd_gj"))</f>
        <v/>
      </c>
      <c r="O149" s="28">
        <f>IF(COUNTIFS(Data!$A:$A,$A149,Data!$F:$F,"power_market_structure")=0,"",SUMIFS(Data!$G:$G,Data!$A:$A,$A149,Data!$F:$F,"power_market_structure"))</f>
        <v/>
      </c>
      <c r="P149" s="28">
        <f>IF(COUNTIFS(Data!$A:$A,$A149,Data!$F:$F,"rise_renewable_energy_score")=0,"",SUMIFS(Data!$G:$G,Data!$A:$A,$A149,Data!$F:$F,"rise_renewable_energy_score"))</f>
        <v/>
      </c>
      <c r="Q149" s="16">
        <f>H149+I149+J149</f>
        <v/>
      </c>
      <c r="R149" s="28">
        <f>Q149/G149</f>
        <v/>
      </c>
      <c r="S149" s="28">
        <f>IF(D149&gt;0,H149/D149,0.85)</f>
        <v/>
      </c>
      <c r="T149" s="28">
        <f>IF(E149&gt;0,I149/E149,0.4)</f>
        <v/>
      </c>
      <c r="U149" s="28">
        <f>IF(D149+F149&gt;0,(H149+J149)/(D149+F149),0)</f>
        <v/>
      </c>
      <c r="V149" s="16">
        <f>K149*1000</f>
        <v/>
      </c>
      <c r="W149" s="15">
        <f>IF(O149=3,in_pt3,IF(O149=2,in_pt2,IF(O149=1,in_pt1,IF(C149="High income",in_pt_hi,in_pt_oth))))</f>
        <v/>
      </c>
      <c r="X149" s="28">
        <f>IF(Q149&gt;0,in_kappa*(in_rise_lo+(in_rise_hi-in_rise_lo)*IF(P149="",in_rise_miss,P149)/100)*(D149+F149)*MAX(U149-in_gas_rep*T149,0)/Q149,0)</f>
        <v/>
      </c>
      <c r="Y149" s="16">
        <f>IF(IF(M149="",N149,M149)="",MAX(in_sw_floor,in_sw_miss),MAX(in_sw_floor,(IF(M149="",N149,M149)*in_hr_gas-L149*in_hr_coal)/MAX(S149-T149,0.1)))</f>
        <v/>
      </c>
      <c r="Z149" s="28">
        <f>IF(C149="Low income",in_b40_li,IF(C149="Lower middle income",in_b40_lmi,IF(C149="Upper middle income",in_b40_umi,IF(C149="High income",in_b40_hi,0.03))))</f>
        <v/>
      </c>
      <c r="AA149" s="15">
        <f>(D149+F149)/G149</f>
        <v/>
      </c>
      <c r="AB149" s="28">
        <f>100*W149*R149/V149/in_phase</f>
        <v/>
      </c>
      <c r="AC149" s="29">
        <f>100*Z149*W149*R149/V149*(1-IF(W149&gt;0,MIN(in_rebate/(W149*in_res_sh*in_q40),1),1))</f>
        <v/>
      </c>
      <c r="AD149" s="28">
        <f>IF(AA149&gt;0,100*U149*(1-W149)/(in_whole_sh*V149),0)</f>
        <v/>
      </c>
      <c r="AE149" s="28">
        <f>IF(AA149&gt;0,100*MAX(U149-R149,0)/(in_whole_sh*V149),0)</f>
        <v/>
      </c>
      <c r="AF149" s="16">
        <f>IF(AB149&gt;0,in_f1/AB149,in_cap)</f>
        <v/>
      </c>
      <c r="AG149" s="16">
        <f>IF(AC149&gt;0,in_f2/AC149,in_cap)</f>
        <v/>
      </c>
      <c r="AH149" s="16">
        <f>IF(AD149&gt;0,in_f3/AD149,in_cap)</f>
        <v/>
      </c>
      <c r="AI149" s="16">
        <f>MIN(in_cap,AF149,AG149,AH149)</f>
        <v/>
      </c>
      <c r="AJ149" s="30">
        <f>100*(1-(1-X149*(1-EXP(-((AI149)+(0))/Y149)))*(1-MIN(ABS(in_elas)*W149*R149*(AI149)/V149,1)))</f>
        <v/>
      </c>
      <c r="AK149" s="17">
        <f>IF(AI149&gt;=in_cap-1E-9,"rate cap",TRIM(IF(ABS(AI149-AF149)&lt;1E-9,"F1 ","")&amp;IF(ABS(AI149-AG149)&lt;1E-9,"F2 ","")&amp;IF(ABS(AI149-AH149)&lt;1E-9,"F3","")))</f>
        <v/>
      </c>
      <c r="AL149" s="15">
        <f>100*(1-(1-X149*(1-EXP(-((MIN(in_cap,IF(AB149&gt;0,(in_f1+1)/AB149,in_cap),AG149,AH149))+(0))/Y149)))*(1-MIN(ABS(in_elas)*W149*R149*(MIN(in_cap,IF(AB149&gt;0,(in_f1+1)/AB149,in_cap),AG149,AH149))/V149,1)))-AJ149</f>
        <v/>
      </c>
      <c r="AM149" s="16">
        <f>MIN(in_cap,IF(AE149&gt;0,in_f3/AE149,in_cap))</f>
        <v/>
      </c>
      <c r="AN149" s="30">
        <f>100*(1-(1-X149*(1-EXP(-((0)+(AM149))/Y149)))*(1-MIN(ABS(in_elas)*W149*R149*(0)/V149,1)))</f>
        <v/>
      </c>
      <c r="AO149" s="17">
        <f>IF(AM149&gt;=in_cap-1E-9,"rate cap","F3")</f>
        <v/>
      </c>
      <c r="AP149" s="15">
        <f>100*(1-(1-X149*(1-EXP(-((50)+(0))/Y149)))*(1-MIN(ABS(in_elas)*W149*R149*(50)/V149,1)))</f>
        <v/>
      </c>
      <c r="AQ149" s="15">
        <f>100*(1-(1-X149*(1-EXP(-((0)+(50))/Y149)))*(1-MIN(ABS(in_elas)*W149*R149*(0)/V149,1)))</f>
        <v/>
      </c>
      <c r="AR149" s="15">
        <f>IF(AP149&gt;0,AQ149/AP149,"")</f>
        <v/>
      </c>
      <c r="AS149" s="16">
        <f>50*AB149</f>
        <v/>
      </c>
      <c r="AT149" s="30">
        <f>MAX(BM149:BW149)</f>
        <v/>
      </c>
      <c r="AU149" s="31">
        <f>AI149*(MATCH(AT149,BM149:BW149,0)-1)/10</f>
        <v/>
      </c>
      <c r="AV149" s="31">
        <f>INDEX(BB149:BL149,1,(MATCH(AT149,BM149:BW149,0)-1)+1)</f>
        <v/>
      </c>
      <c r="AW149" s="31">
        <f>AB149*AU149</f>
        <v/>
      </c>
      <c r="AX149" s="30">
        <f>AC149*AU149</f>
        <v/>
      </c>
      <c r="AY149" s="31">
        <f>AD149*AU149+AE149*AV149</f>
        <v/>
      </c>
      <c r="AZ149" s="32">
        <f>TRIM(IF(AND(AU149&gt;0,ABS(AU149-AF149)&lt;1E-6),"F1 ","")&amp;IF(AND(AU149&gt;0,ABS(AU149-AG149)&lt;1E-6),"F2 ","")&amp;IF(AY149&gt;=in_f3-1E-6,"F3 ","")&amp;IF(AV149&gt;=in_cap-1E-9,"rate cap",""))</f>
        <v/>
      </c>
      <c r="BA149" s="31">
        <f>Q149*AT149/100</f>
        <v/>
      </c>
      <c r="BB149" s="16">
        <f>MAX(0,MIN(in_cap,IF(AE149&gt;0,(in_f3-AD149*AI149*0/10)/AE149,in_cap)))</f>
        <v/>
      </c>
      <c r="BC149" s="16">
        <f>MAX(0,MIN(in_cap,IF(AE149&gt;0,(in_f3-AD149*AI149*1/10)/AE149,in_cap)))</f>
        <v/>
      </c>
      <c r="BD149" s="16">
        <f>MAX(0,MIN(in_cap,IF(AE149&gt;0,(in_f3-AD149*AI149*2/10)/AE149,in_cap)))</f>
        <v/>
      </c>
      <c r="BE149" s="16">
        <f>MAX(0,MIN(in_cap,IF(AE149&gt;0,(in_f3-AD149*AI149*3/10)/AE149,in_cap)))</f>
        <v/>
      </c>
      <c r="BF149" s="16">
        <f>MAX(0,MIN(in_cap,IF(AE149&gt;0,(in_f3-AD149*AI149*4/10)/AE149,in_cap)))</f>
        <v/>
      </c>
      <c r="BG149" s="16">
        <f>MAX(0,MIN(in_cap,IF(AE149&gt;0,(in_f3-AD149*AI149*5/10)/AE149,in_cap)))</f>
        <v/>
      </c>
      <c r="BH149" s="16">
        <f>MAX(0,MIN(in_cap,IF(AE149&gt;0,(in_f3-AD149*AI149*6/10)/AE149,in_cap)))</f>
        <v/>
      </c>
      <c r="BI149" s="16">
        <f>MAX(0,MIN(in_cap,IF(AE149&gt;0,(in_f3-AD149*AI149*7/10)/AE149,in_cap)))</f>
        <v/>
      </c>
      <c r="BJ149" s="16">
        <f>MAX(0,MIN(in_cap,IF(AE149&gt;0,(in_f3-AD149*AI149*8/10)/AE149,in_cap)))</f>
        <v/>
      </c>
      <c r="BK149" s="16">
        <f>MAX(0,MIN(in_cap,IF(AE149&gt;0,(in_f3-AD149*AI149*9/10)/AE149,in_cap)))</f>
        <v/>
      </c>
      <c r="BL149" s="16">
        <f>MAX(0,MIN(in_cap,IF(AE149&gt;0,(in_f3-AD149*AI149*10/10)/AE149,in_cap)))</f>
        <v/>
      </c>
      <c r="BM149" s="15">
        <f>100*(1-(1-X149*(1-EXP(-((AI149*0/10)+(BB149))/Y149)))*(1-MIN(ABS(in_elas)*W149*R149*(AI149*0/10)/V149,1)))</f>
        <v/>
      </c>
      <c r="BN149" s="15">
        <f>100*(1-(1-X149*(1-EXP(-((AI149*1/10)+(BC149))/Y149)))*(1-MIN(ABS(in_elas)*W149*R149*(AI149*1/10)/V149,1)))</f>
        <v/>
      </c>
      <c r="BO149" s="15">
        <f>100*(1-(1-X149*(1-EXP(-((AI149*2/10)+(BD149))/Y149)))*(1-MIN(ABS(in_elas)*W149*R149*(AI149*2/10)/V149,1)))</f>
        <v/>
      </c>
      <c r="BP149" s="15">
        <f>100*(1-(1-X149*(1-EXP(-((AI149*3/10)+(BE149))/Y149)))*(1-MIN(ABS(in_elas)*W149*R149*(AI149*3/10)/V149,1)))</f>
        <v/>
      </c>
      <c r="BQ149" s="15">
        <f>100*(1-(1-X149*(1-EXP(-((AI149*4/10)+(BF149))/Y149)))*(1-MIN(ABS(in_elas)*W149*R149*(AI149*4/10)/V149,1)))</f>
        <v/>
      </c>
      <c r="BR149" s="15">
        <f>100*(1-(1-X149*(1-EXP(-((AI149*5/10)+(BG149))/Y149)))*(1-MIN(ABS(in_elas)*W149*R149*(AI149*5/10)/V149,1)))</f>
        <v/>
      </c>
      <c r="BS149" s="15">
        <f>100*(1-(1-X149*(1-EXP(-((AI149*6/10)+(BH149))/Y149)))*(1-MIN(ABS(in_elas)*W149*R149*(AI149*6/10)/V149,1)))</f>
        <v/>
      </c>
      <c r="BT149" s="15">
        <f>100*(1-(1-X149*(1-EXP(-((AI149*7/10)+(BI149))/Y149)))*(1-MIN(ABS(in_elas)*W149*R149*(AI149*7/10)/V149,1)))</f>
        <v/>
      </c>
      <c r="BU149" s="15">
        <f>100*(1-(1-X149*(1-EXP(-((AI149*8/10)+(BJ149))/Y149)))*(1-MIN(ABS(in_elas)*W149*R149*(AI149*8/10)/V149,1)))</f>
        <v/>
      </c>
      <c r="BV149" s="15">
        <f>100*(1-(1-X149*(1-EXP(-((AI149*9/10)+(BK149))/Y149)))*(1-MIN(ABS(in_elas)*W149*R149*(AI149*9/10)/V149,1)))</f>
        <v/>
      </c>
      <c r="BW149" s="15">
        <f>100*(1-(1-X149*(1-EXP(-((AI149*10/10)+(BL149))/Y149)))*(1-MIN(ABS(in_elas)*W149*R149*(AI149*10/10)/V149,1)))</f>
        <v/>
      </c>
    </row>
    <row r="150">
      <c r="A150" s="17" t="inlineStr">
        <is>
          <t>SYC</t>
        </is>
      </c>
      <c r="B150" s="17">
        <f>INDEX(Data!$B:$B,MATCH($A150,Data!$A:$A,0))</f>
        <v/>
      </c>
      <c r="C150" s="17">
        <f>INDEX(Data!$D:$D,MATCH($A150,Data!$A:$A,0))</f>
        <v/>
      </c>
      <c r="D150" s="16">
        <f>SUMIFS(Data!$G:$G,Data!$A:$A,$A150,Data!$F:$F,"gen_coal_twh")</f>
        <v/>
      </c>
      <c r="E150" s="16">
        <f>SUMIFS(Data!$G:$G,Data!$A:$A,$A150,Data!$F:$F,"gen_gas_twh")</f>
        <v/>
      </c>
      <c r="F150" s="16">
        <f>SUMIFS(Data!$G:$G,Data!$A:$A,$A150,Data!$F:$F,"gen_oil_twh")</f>
        <v/>
      </c>
      <c r="G150" s="16">
        <f>SUMIFS(Data!$G:$G,Data!$A:$A,$A150,Data!$F:$F,"gen_total_twh")</f>
        <v/>
      </c>
      <c r="H150" s="16">
        <f>SUMIFS(Data!$G:$G,Data!$A:$A,$A150,Data!$F:$F,"em_coal_mt")</f>
        <v/>
      </c>
      <c r="I150" s="16">
        <f>SUMIFS(Data!$G:$G,Data!$A:$A,$A150,Data!$F:$F,"em_gas_mt")</f>
        <v/>
      </c>
      <c r="J150" s="16">
        <f>SUMIFS(Data!$G:$G,Data!$A:$A,$A150,Data!$F:$F,"em_oil_mt")</f>
        <v/>
      </c>
      <c r="K150" s="28">
        <f>IF(COUNTIFS(Data!$A:$A,$A150,Data!$F:$F,"price_electricity_residential_usd_kwh")=0,"",SUMIFS(Data!$G:$G,Data!$A:$A,$A150,Data!$F:$F,"price_electricity_residential_usd_kwh"))</f>
        <v/>
      </c>
      <c r="L150" s="28">
        <f>IF(COUNTIFS(Data!$A:$A,$A150,Data!$F:$F,"price_coal_power_usd_gj")=0,"",SUMIFS(Data!$G:$G,Data!$A:$A,$A150,Data!$F:$F,"price_coal_power_usd_gj"))</f>
        <v/>
      </c>
      <c r="M150" s="28">
        <f>IF(COUNTIFS(Data!$A:$A,$A150,Data!$F:$F,"price_gas_power_usd_gj")=0,"",SUMIFS(Data!$G:$G,Data!$A:$A,$A150,Data!$F:$F,"price_gas_power_usd_gj"))</f>
        <v/>
      </c>
      <c r="N150" s="28">
        <f>IF(COUNTIFS(Data!$A:$A,$A150,Data!$F:$F,"price_gas_industry_usd_gj")=0,"",SUMIFS(Data!$G:$G,Data!$A:$A,$A150,Data!$F:$F,"price_gas_industry_usd_gj"))</f>
        <v/>
      </c>
      <c r="O150" s="28">
        <f>IF(COUNTIFS(Data!$A:$A,$A150,Data!$F:$F,"power_market_structure")=0,"",SUMIFS(Data!$G:$G,Data!$A:$A,$A150,Data!$F:$F,"power_market_structure"))</f>
        <v/>
      </c>
      <c r="P150" s="28">
        <f>IF(COUNTIFS(Data!$A:$A,$A150,Data!$F:$F,"rise_renewable_energy_score")=0,"",SUMIFS(Data!$G:$G,Data!$A:$A,$A150,Data!$F:$F,"rise_renewable_energy_score"))</f>
        <v/>
      </c>
      <c r="Q150" s="16">
        <f>H150+I150+J150</f>
        <v/>
      </c>
      <c r="R150" s="28">
        <f>Q150/G150</f>
        <v/>
      </c>
      <c r="S150" s="28">
        <f>IF(D150&gt;0,H150/D150,0.85)</f>
        <v/>
      </c>
      <c r="T150" s="28">
        <f>IF(E150&gt;0,I150/E150,0.4)</f>
        <v/>
      </c>
      <c r="U150" s="28">
        <f>IF(D150+F150&gt;0,(H150+J150)/(D150+F150),0)</f>
        <v/>
      </c>
      <c r="V150" s="16">
        <f>K150*1000</f>
        <v/>
      </c>
      <c r="W150" s="15">
        <f>IF(O150=3,in_pt3,IF(O150=2,in_pt2,IF(O150=1,in_pt1,IF(C150="High income",in_pt_hi,in_pt_oth))))</f>
        <v/>
      </c>
      <c r="X150" s="28">
        <f>IF(Q150&gt;0,in_kappa*(in_rise_lo+(in_rise_hi-in_rise_lo)*IF(P150="",in_rise_miss,P150)/100)*(D150+F150)*MAX(U150-in_gas_rep*T150,0)/Q150,0)</f>
        <v/>
      </c>
      <c r="Y150" s="16">
        <f>IF(IF(M150="",N150,M150)="",MAX(in_sw_floor,in_sw_miss),MAX(in_sw_floor,(IF(M150="",N150,M150)*in_hr_gas-L150*in_hr_coal)/MAX(S150-T150,0.1)))</f>
        <v/>
      </c>
      <c r="Z150" s="28">
        <f>IF(C150="Low income",in_b40_li,IF(C150="Lower middle income",in_b40_lmi,IF(C150="Upper middle income",in_b40_umi,IF(C150="High income",in_b40_hi,0.03))))</f>
        <v/>
      </c>
      <c r="AA150" s="15">
        <f>(D150+F150)/G150</f>
        <v/>
      </c>
      <c r="AB150" s="28">
        <f>100*W150*R150/V150/in_phase</f>
        <v/>
      </c>
      <c r="AC150" s="29">
        <f>100*Z150*W150*R150/V150*(1-IF(W150&gt;0,MIN(in_rebate/(W150*in_res_sh*in_q40),1),1))</f>
        <v/>
      </c>
      <c r="AD150" s="28">
        <f>IF(AA150&gt;0,100*U150*(1-W150)/(in_whole_sh*V150),0)</f>
        <v/>
      </c>
      <c r="AE150" s="28">
        <f>IF(AA150&gt;0,100*MAX(U150-R150,0)/(in_whole_sh*V150),0)</f>
        <v/>
      </c>
      <c r="AF150" s="16">
        <f>IF(AB150&gt;0,in_f1/AB150,in_cap)</f>
        <v/>
      </c>
      <c r="AG150" s="16">
        <f>IF(AC150&gt;0,in_f2/AC150,in_cap)</f>
        <v/>
      </c>
      <c r="AH150" s="16">
        <f>IF(AD150&gt;0,in_f3/AD150,in_cap)</f>
        <v/>
      </c>
      <c r="AI150" s="16">
        <f>MIN(in_cap,AF150,AG150,AH150)</f>
        <v/>
      </c>
      <c r="AJ150" s="30">
        <f>100*(1-(1-X150*(1-EXP(-((AI150)+(0))/Y150)))*(1-MIN(ABS(in_elas)*W150*R150*(AI150)/V150,1)))</f>
        <v/>
      </c>
      <c r="AK150" s="17">
        <f>IF(AI150&gt;=in_cap-1E-9,"rate cap",TRIM(IF(ABS(AI150-AF150)&lt;1E-9,"F1 ","")&amp;IF(ABS(AI150-AG150)&lt;1E-9,"F2 ","")&amp;IF(ABS(AI150-AH150)&lt;1E-9,"F3","")))</f>
        <v/>
      </c>
      <c r="AL150" s="15">
        <f>100*(1-(1-X150*(1-EXP(-((MIN(in_cap,IF(AB150&gt;0,(in_f1+1)/AB150,in_cap),AG150,AH150))+(0))/Y150)))*(1-MIN(ABS(in_elas)*W150*R150*(MIN(in_cap,IF(AB150&gt;0,(in_f1+1)/AB150,in_cap),AG150,AH150))/V150,1)))-AJ150</f>
        <v/>
      </c>
      <c r="AM150" s="16">
        <f>MIN(in_cap,IF(AE150&gt;0,in_f3/AE150,in_cap))</f>
        <v/>
      </c>
      <c r="AN150" s="30">
        <f>100*(1-(1-X150*(1-EXP(-((0)+(AM150))/Y150)))*(1-MIN(ABS(in_elas)*W150*R150*(0)/V150,1)))</f>
        <v/>
      </c>
      <c r="AO150" s="17">
        <f>IF(AM150&gt;=in_cap-1E-9,"rate cap","F3")</f>
        <v/>
      </c>
      <c r="AP150" s="15">
        <f>100*(1-(1-X150*(1-EXP(-((50)+(0))/Y150)))*(1-MIN(ABS(in_elas)*W150*R150*(50)/V150,1)))</f>
        <v/>
      </c>
      <c r="AQ150" s="15">
        <f>100*(1-(1-X150*(1-EXP(-((0)+(50))/Y150)))*(1-MIN(ABS(in_elas)*W150*R150*(0)/V150,1)))</f>
        <v/>
      </c>
      <c r="AR150" s="15">
        <f>IF(AP150&gt;0,AQ150/AP150,"")</f>
        <v/>
      </c>
      <c r="AS150" s="16">
        <f>50*AB150</f>
        <v/>
      </c>
      <c r="AT150" s="30">
        <f>MAX(BM150:BW150)</f>
        <v/>
      </c>
      <c r="AU150" s="31">
        <f>AI150*(MATCH(AT150,BM150:BW150,0)-1)/10</f>
        <v/>
      </c>
      <c r="AV150" s="31">
        <f>INDEX(BB150:BL150,1,(MATCH(AT150,BM150:BW150,0)-1)+1)</f>
        <v/>
      </c>
      <c r="AW150" s="31">
        <f>AB150*AU150</f>
        <v/>
      </c>
      <c r="AX150" s="30">
        <f>AC150*AU150</f>
        <v/>
      </c>
      <c r="AY150" s="31">
        <f>AD150*AU150+AE150*AV150</f>
        <v/>
      </c>
      <c r="AZ150" s="32">
        <f>TRIM(IF(AND(AU150&gt;0,ABS(AU150-AF150)&lt;1E-6),"F1 ","")&amp;IF(AND(AU150&gt;0,ABS(AU150-AG150)&lt;1E-6),"F2 ","")&amp;IF(AY150&gt;=in_f3-1E-6,"F3 ","")&amp;IF(AV150&gt;=in_cap-1E-9,"rate cap",""))</f>
        <v/>
      </c>
      <c r="BA150" s="31">
        <f>Q150*AT150/100</f>
        <v/>
      </c>
      <c r="BB150" s="16">
        <f>MAX(0,MIN(in_cap,IF(AE150&gt;0,(in_f3-AD150*AI150*0/10)/AE150,in_cap)))</f>
        <v/>
      </c>
      <c r="BC150" s="16">
        <f>MAX(0,MIN(in_cap,IF(AE150&gt;0,(in_f3-AD150*AI150*1/10)/AE150,in_cap)))</f>
        <v/>
      </c>
      <c r="BD150" s="16">
        <f>MAX(0,MIN(in_cap,IF(AE150&gt;0,(in_f3-AD150*AI150*2/10)/AE150,in_cap)))</f>
        <v/>
      </c>
      <c r="BE150" s="16">
        <f>MAX(0,MIN(in_cap,IF(AE150&gt;0,(in_f3-AD150*AI150*3/10)/AE150,in_cap)))</f>
        <v/>
      </c>
      <c r="BF150" s="16">
        <f>MAX(0,MIN(in_cap,IF(AE150&gt;0,(in_f3-AD150*AI150*4/10)/AE150,in_cap)))</f>
        <v/>
      </c>
      <c r="BG150" s="16">
        <f>MAX(0,MIN(in_cap,IF(AE150&gt;0,(in_f3-AD150*AI150*5/10)/AE150,in_cap)))</f>
        <v/>
      </c>
      <c r="BH150" s="16">
        <f>MAX(0,MIN(in_cap,IF(AE150&gt;0,(in_f3-AD150*AI150*6/10)/AE150,in_cap)))</f>
        <v/>
      </c>
      <c r="BI150" s="16">
        <f>MAX(0,MIN(in_cap,IF(AE150&gt;0,(in_f3-AD150*AI150*7/10)/AE150,in_cap)))</f>
        <v/>
      </c>
      <c r="BJ150" s="16">
        <f>MAX(0,MIN(in_cap,IF(AE150&gt;0,(in_f3-AD150*AI150*8/10)/AE150,in_cap)))</f>
        <v/>
      </c>
      <c r="BK150" s="16">
        <f>MAX(0,MIN(in_cap,IF(AE150&gt;0,(in_f3-AD150*AI150*9/10)/AE150,in_cap)))</f>
        <v/>
      </c>
      <c r="BL150" s="16">
        <f>MAX(0,MIN(in_cap,IF(AE150&gt;0,(in_f3-AD150*AI150*10/10)/AE150,in_cap)))</f>
        <v/>
      </c>
      <c r="BM150" s="15">
        <f>100*(1-(1-X150*(1-EXP(-((AI150*0/10)+(BB150))/Y150)))*(1-MIN(ABS(in_elas)*W150*R150*(AI150*0/10)/V150,1)))</f>
        <v/>
      </c>
      <c r="BN150" s="15">
        <f>100*(1-(1-X150*(1-EXP(-((AI150*1/10)+(BC150))/Y150)))*(1-MIN(ABS(in_elas)*W150*R150*(AI150*1/10)/V150,1)))</f>
        <v/>
      </c>
      <c r="BO150" s="15">
        <f>100*(1-(1-X150*(1-EXP(-((AI150*2/10)+(BD150))/Y150)))*(1-MIN(ABS(in_elas)*W150*R150*(AI150*2/10)/V150,1)))</f>
        <v/>
      </c>
      <c r="BP150" s="15">
        <f>100*(1-(1-X150*(1-EXP(-((AI150*3/10)+(BE150))/Y150)))*(1-MIN(ABS(in_elas)*W150*R150*(AI150*3/10)/V150,1)))</f>
        <v/>
      </c>
      <c r="BQ150" s="15">
        <f>100*(1-(1-X150*(1-EXP(-((AI150*4/10)+(BF150))/Y150)))*(1-MIN(ABS(in_elas)*W150*R150*(AI150*4/10)/V150,1)))</f>
        <v/>
      </c>
      <c r="BR150" s="15">
        <f>100*(1-(1-X150*(1-EXP(-((AI150*5/10)+(BG150))/Y150)))*(1-MIN(ABS(in_elas)*W150*R150*(AI150*5/10)/V150,1)))</f>
        <v/>
      </c>
      <c r="BS150" s="15">
        <f>100*(1-(1-X150*(1-EXP(-((AI150*6/10)+(BH150))/Y150)))*(1-MIN(ABS(in_elas)*W150*R150*(AI150*6/10)/V150,1)))</f>
        <v/>
      </c>
      <c r="BT150" s="15">
        <f>100*(1-(1-X150*(1-EXP(-((AI150*7/10)+(BI150))/Y150)))*(1-MIN(ABS(in_elas)*W150*R150*(AI150*7/10)/V150,1)))</f>
        <v/>
      </c>
      <c r="BU150" s="15">
        <f>100*(1-(1-X150*(1-EXP(-((AI150*8/10)+(BJ150))/Y150)))*(1-MIN(ABS(in_elas)*W150*R150*(AI150*8/10)/V150,1)))</f>
        <v/>
      </c>
      <c r="BV150" s="15">
        <f>100*(1-(1-X150*(1-EXP(-((AI150*9/10)+(BK150))/Y150)))*(1-MIN(ABS(in_elas)*W150*R150*(AI150*9/10)/V150,1)))</f>
        <v/>
      </c>
      <c r="BW150" s="15">
        <f>100*(1-(1-X150*(1-EXP(-((AI150*10/10)+(BL150))/Y150)))*(1-MIN(ABS(in_elas)*W150*R150*(AI150*10/10)/V150,1)))</f>
        <v/>
      </c>
    </row>
    <row r="151">
      <c r="A151" s="17" t="inlineStr">
        <is>
          <t>SYR</t>
        </is>
      </c>
      <c r="B151" s="17">
        <f>INDEX(Data!$B:$B,MATCH($A151,Data!$A:$A,0))</f>
        <v/>
      </c>
      <c r="C151" s="17">
        <f>INDEX(Data!$D:$D,MATCH($A151,Data!$A:$A,0))</f>
        <v/>
      </c>
      <c r="D151" s="16">
        <f>SUMIFS(Data!$G:$G,Data!$A:$A,$A151,Data!$F:$F,"gen_coal_twh")</f>
        <v/>
      </c>
      <c r="E151" s="16">
        <f>SUMIFS(Data!$G:$G,Data!$A:$A,$A151,Data!$F:$F,"gen_gas_twh")</f>
        <v/>
      </c>
      <c r="F151" s="16">
        <f>SUMIFS(Data!$G:$G,Data!$A:$A,$A151,Data!$F:$F,"gen_oil_twh")</f>
        <v/>
      </c>
      <c r="G151" s="16">
        <f>SUMIFS(Data!$G:$G,Data!$A:$A,$A151,Data!$F:$F,"gen_total_twh")</f>
        <v/>
      </c>
      <c r="H151" s="16">
        <f>SUMIFS(Data!$G:$G,Data!$A:$A,$A151,Data!$F:$F,"em_coal_mt")</f>
        <v/>
      </c>
      <c r="I151" s="16">
        <f>SUMIFS(Data!$G:$G,Data!$A:$A,$A151,Data!$F:$F,"em_gas_mt")</f>
        <v/>
      </c>
      <c r="J151" s="16">
        <f>SUMIFS(Data!$G:$G,Data!$A:$A,$A151,Data!$F:$F,"em_oil_mt")</f>
        <v/>
      </c>
      <c r="K151" s="28">
        <f>IF(COUNTIFS(Data!$A:$A,$A151,Data!$F:$F,"price_electricity_residential_usd_kwh")=0,"",SUMIFS(Data!$G:$G,Data!$A:$A,$A151,Data!$F:$F,"price_electricity_residential_usd_kwh"))</f>
        <v/>
      </c>
      <c r="L151" s="28">
        <f>IF(COUNTIFS(Data!$A:$A,$A151,Data!$F:$F,"price_coal_power_usd_gj")=0,"",SUMIFS(Data!$G:$G,Data!$A:$A,$A151,Data!$F:$F,"price_coal_power_usd_gj"))</f>
        <v/>
      </c>
      <c r="M151" s="28">
        <f>IF(COUNTIFS(Data!$A:$A,$A151,Data!$F:$F,"price_gas_power_usd_gj")=0,"",SUMIFS(Data!$G:$G,Data!$A:$A,$A151,Data!$F:$F,"price_gas_power_usd_gj"))</f>
        <v/>
      </c>
      <c r="N151" s="28">
        <f>IF(COUNTIFS(Data!$A:$A,$A151,Data!$F:$F,"price_gas_industry_usd_gj")=0,"",SUMIFS(Data!$G:$G,Data!$A:$A,$A151,Data!$F:$F,"price_gas_industry_usd_gj"))</f>
        <v/>
      </c>
      <c r="O151" s="28">
        <f>IF(COUNTIFS(Data!$A:$A,$A151,Data!$F:$F,"power_market_structure")=0,"",SUMIFS(Data!$G:$G,Data!$A:$A,$A151,Data!$F:$F,"power_market_structure"))</f>
        <v/>
      </c>
      <c r="P151" s="28">
        <f>IF(COUNTIFS(Data!$A:$A,$A151,Data!$F:$F,"rise_renewable_energy_score")=0,"",SUMIFS(Data!$G:$G,Data!$A:$A,$A151,Data!$F:$F,"rise_renewable_energy_score"))</f>
        <v/>
      </c>
      <c r="Q151" s="16">
        <f>H151+I151+J151</f>
        <v/>
      </c>
      <c r="R151" s="28">
        <f>Q151/G151</f>
        <v/>
      </c>
      <c r="S151" s="28">
        <f>IF(D151&gt;0,H151/D151,0.85)</f>
        <v/>
      </c>
      <c r="T151" s="28">
        <f>IF(E151&gt;0,I151/E151,0.4)</f>
        <v/>
      </c>
      <c r="U151" s="28">
        <f>IF(D151+F151&gt;0,(H151+J151)/(D151+F151),0)</f>
        <v/>
      </c>
      <c r="V151" s="16">
        <f>K151*1000</f>
        <v/>
      </c>
      <c r="W151" s="15">
        <f>IF(O151=3,in_pt3,IF(O151=2,in_pt2,IF(O151=1,in_pt1,IF(C151="High income",in_pt_hi,in_pt_oth))))</f>
        <v/>
      </c>
      <c r="X151" s="28">
        <f>IF(Q151&gt;0,in_kappa*(in_rise_lo+(in_rise_hi-in_rise_lo)*IF(P151="",in_rise_miss,P151)/100)*(D151+F151)*MAX(U151-in_gas_rep*T151,0)/Q151,0)</f>
        <v/>
      </c>
      <c r="Y151" s="16">
        <f>IF(IF(M151="",N151,M151)="",MAX(in_sw_floor,in_sw_miss),MAX(in_sw_floor,(IF(M151="",N151,M151)*in_hr_gas-L151*in_hr_coal)/MAX(S151-T151,0.1)))</f>
        <v/>
      </c>
      <c r="Z151" s="28">
        <f>IF(C151="Low income",in_b40_li,IF(C151="Lower middle income",in_b40_lmi,IF(C151="Upper middle income",in_b40_umi,IF(C151="High income",in_b40_hi,0.03))))</f>
        <v/>
      </c>
      <c r="AA151" s="15">
        <f>(D151+F151)/G151</f>
        <v/>
      </c>
      <c r="AB151" s="28">
        <f>100*W151*R151/V151/in_phase</f>
        <v/>
      </c>
      <c r="AC151" s="29">
        <f>100*Z151*W151*R151/V151*(1-IF(W151&gt;0,MIN(in_rebate/(W151*in_res_sh*in_q40),1),1))</f>
        <v/>
      </c>
      <c r="AD151" s="28">
        <f>IF(AA151&gt;0,100*U151*(1-W151)/(in_whole_sh*V151),0)</f>
        <v/>
      </c>
      <c r="AE151" s="28">
        <f>IF(AA151&gt;0,100*MAX(U151-R151,0)/(in_whole_sh*V151),0)</f>
        <v/>
      </c>
      <c r="AF151" s="16">
        <f>IF(AB151&gt;0,in_f1/AB151,in_cap)</f>
        <v/>
      </c>
      <c r="AG151" s="16">
        <f>IF(AC151&gt;0,in_f2/AC151,in_cap)</f>
        <v/>
      </c>
      <c r="AH151" s="16">
        <f>IF(AD151&gt;0,in_f3/AD151,in_cap)</f>
        <v/>
      </c>
      <c r="AI151" s="16">
        <f>MIN(in_cap,AF151,AG151,AH151)</f>
        <v/>
      </c>
      <c r="AJ151" s="30">
        <f>100*(1-(1-X151*(1-EXP(-((AI151)+(0))/Y151)))*(1-MIN(ABS(in_elas)*W151*R151*(AI151)/V151,1)))</f>
        <v/>
      </c>
      <c r="AK151" s="17">
        <f>IF(AI151&gt;=in_cap-1E-9,"rate cap",TRIM(IF(ABS(AI151-AF151)&lt;1E-9,"F1 ","")&amp;IF(ABS(AI151-AG151)&lt;1E-9,"F2 ","")&amp;IF(ABS(AI151-AH151)&lt;1E-9,"F3","")))</f>
        <v/>
      </c>
      <c r="AL151" s="15">
        <f>100*(1-(1-X151*(1-EXP(-((MIN(in_cap,IF(AB151&gt;0,(in_f1+1)/AB151,in_cap),AG151,AH151))+(0))/Y151)))*(1-MIN(ABS(in_elas)*W151*R151*(MIN(in_cap,IF(AB151&gt;0,(in_f1+1)/AB151,in_cap),AG151,AH151))/V151,1)))-AJ151</f>
        <v/>
      </c>
      <c r="AM151" s="16">
        <f>MIN(in_cap,IF(AE151&gt;0,in_f3/AE151,in_cap))</f>
        <v/>
      </c>
      <c r="AN151" s="30">
        <f>100*(1-(1-X151*(1-EXP(-((0)+(AM151))/Y151)))*(1-MIN(ABS(in_elas)*W151*R151*(0)/V151,1)))</f>
        <v/>
      </c>
      <c r="AO151" s="17">
        <f>IF(AM151&gt;=in_cap-1E-9,"rate cap","F3")</f>
        <v/>
      </c>
      <c r="AP151" s="15">
        <f>100*(1-(1-X151*(1-EXP(-((50)+(0))/Y151)))*(1-MIN(ABS(in_elas)*W151*R151*(50)/V151,1)))</f>
        <v/>
      </c>
      <c r="AQ151" s="15">
        <f>100*(1-(1-X151*(1-EXP(-((0)+(50))/Y151)))*(1-MIN(ABS(in_elas)*W151*R151*(0)/V151,1)))</f>
        <v/>
      </c>
      <c r="AR151" s="15">
        <f>IF(AP151&gt;0,AQ151/AP151,"")</f>
        <v/>
      </c>
      <c r="AS151" s="16">
        <f>50*AB151</f>
        <v/>
      </c>
      <c r="AT151" s="30">
        <f>MAX(BM151:BW151)</f>
        <v/>
      </c>
      <c r="AU151" s="31">
        <f>AI151*(MATCH(AT151,BM151:BW151,0)-1)/10</f>
        <v/>
      </c>
      <c r="AV151" s="31">
        <f>INDEX(BB151:BL151,1,(MATCH(AT151,BM151:BW151,0)-1)+1)</f>
        <v/>
      </c>
      <c r="AW151" s="31">
        <f>AB151*AU151</f>
        <v/>
      </c>
      <c r="AX151" s="30">
        <f>AC151*AU151</f>
        <v/>
      </c>
      <c r="AY151" s="31">
        <f>AD151*AU151+AE151*AV151</f>
        <v/>
      </c>
      <c r="AZ151" s="32">
        <f>TRIM(IF(AND(AU151&gt;0,ABS(AU151-AF151)&lt;1E-6),"F1 ","")&amp;IF(AND(AU151&gt;0,ABS(AU151-AG151)&lt;1E-6),"F2 ","")&amp;IF(AY151&gt;=in_f3-1E-6,"F3 ","")&amp;IF(AV151&gt;=in_cap-1E-9,"rate cap",""))</f>
        <v/>
      </c>
      <c r="BA151" s="31">
        <f>Q151*AT151/100</f>
        <v/>
      </c>
      <c r="BB151" s="16">
        <f>MAX(0,MIN(in_cap,IF(AE151&gt;0,(in_f3-AD151*AI151*0/10)/AE151,in_cap)))</f>
        <v/>
      </c>
      <c r="BC151" s="16">
        <f>MAX(0,MIN(in_cap,IF(AE151&gt;0,(in_f3-AD151*AI151*1/10)/AE151,in_cap)))</f>
        <v/>
      </c>
      <c r="BD151" s="16">
        <f>MAX(0,MIN(in_cap,IF(AE151&gt;0,(in_f3-AD151*AI151*2/10)/AE151,in_cap)))</f>
        <v/>
      </c>
      <c r="BE151" s="16">
        <f>MAX(0,MIN(in_cap,IF(AE151&gt;0,(in_f3-AD151*AI151*3/10)/AE151,in_cap)))</f>
        <v/>
      </c>
      <c r="BF151" s="16">
        <f>MAX(0,MIN(in_cap,IF(AE151&gt;0,(in_f3-AD151*AI151*4/10)/AE151,in_cap)))</f>
        <v/>
      </c>
      <c r="BG151" s="16">
        <f>MAX(0,MIN(in_cap,IF(AE151&gt;0,(in_f3-AD151*AI151*5/10)/AE151,in_cap)))</f>
        <v/>
      </c>
      <c r="BH151" s="16">
        <f>MAX(0,MIN(in_cap,IF(AE151&gt;0,(in_f3-AD151*AI151*6/10)/AE151,in_cap)))</f>
        <v/>
      </c>
      <c r="BI151" s="16">
        <f>MAX(0,MIN(in_cap,IF(AE151&gt;0,(in_f3-AD151*AI151*7/10)/AE151,in_cap)))</f>
        <v/>
      </c>
      <c r="BJ151" s="16">
        <f>MAX(0,MIN(in_cap,IF(AE151&gt;0,(in_f3-AD151*AI151*8/10)/AE151,in_cap)))</f>
        <v/>
      </c>
      <c r="BK151" s="16">
        <f>MAX(0,MIN(in_cap,IF(AE151&gt;0,(in_f3-AD151*AI151*9/10)/AE151,in_cap)))</f>
        <v/>
      </c>
      <c r="BL151" s="16">
        <f>MAX(0,MIN(in_cap,IF(AE151&gt;0,(in_f3-AD151*AI151*10/10)/AE151,in_cap)))</f>
        <v/>
      </c>
      <c r="BM151" s="15">
        <f>100*(1-(1-X151*(1-EXP(-((AI151*0/10)+(BB151))/Y151)))*(1-MIN(ABS(in_elas)*W151*R151*(AI151*0/10)/V151,1)))</f>
        <v/>
      </c>
      <c r="BN151" s="15">
        <f>100*(1-(1-X151*(1-EXP(-((AI151*1/10)+(BC151))/Y151)))*(1-MIN(ABS(in_elas)*W151*R151*(AI151*1/10)/V151,1)))</f>
        <v/>
      </c>
      <c r="BO151" s="15">
        <f>100*(1-(1-X151*(1-EXP(-((AI151*2/10)+(BD151))/Y151)))*(1-MIN(ABS(in_elas)*W151*R151*(AI151*2/10)/V151,1)))</f>
        <v/>
      </c>
      <c r="BP151" s="15">
        <f>100*(1-(1-X151*(1-EXP(-((AI151*3/10)+(BE151))/Y151)))*(1-MIN(ABS(in_elas)*W151*R151*(AI151*3/10)/V151,1)))</f>
        <v/>
      </c>
      <c r="BQ151" s="15">
        <f>100*(1-(1-X151*(1-EXP(-((AI151*4/10)+(BF151))/Y151)))*(1-MIN(ABS(in_elas)*W151*R151*(AI151*4/10)/V151,1)))</f>
        <v/>
      </c>
      <c r="BR151" s="15">
        <f>100*(1-(1-X151*(1-EXP(-((AI151*5/10)+(BG151))/Y151)))*(1-MIN(ABS(in_elas)*W151*R151*(AI151*5/10)/V151,1)))</f>
        <v/>
      </c>
      <c r="BS151" s="15">
        <f>100*(1-(1-X151*(1-EXP(-((AI151*6/10)+(BH151))/Y151)))*(1-MIN(ABS(in_elas)*W151*R151*(AI151*6/10)/V151,1)))</f>
        <v/>
      </c>
      <c r="BT151" s="15">
        <f>100*(1-(1-X151*(1-EXP(-((AI151*7/10)+(BI151))/Y151)))*(1-MIN(ABS(in_elas)*W151*R151*(AI151*7/10)/V151,1)))</f>
        <v/>
      </c>
      <c r="BU151" s="15">
        <f>100*(1-(1-X151*(1-EXP(-((AI151*8/10)+(BJ151))/Y151)))*(1-MIN(ABS(in_elas)*W151*R151*(AI151*8/10)/V151,1)))</f>
        <v/>
      </c>
      <c r="BV151" s="15">
        <f>100*(1-(1-X151*(1-EXP(-((AI151*9/10)+(BK151))/Y151)))*(1-MIN(ABS(in_elas)*W151*R151*(AI151*9/10)/V151,1)))</f>
        <v/>
      </c>
      <c r="BW151" s="15">
        <f>100*(1-(1-X151*(1-EXP(-((AI151*10/10)+(BL151))/Y151)))*(1-MIN(ABS(in_elas)*W151*R151*(AI151*10/10)/V151,1)))</f>
        <v/>
      </c>
    </row>
    <row r="152">
      <c r="A152" s="17" t="inlineStr">
        <is>
          <t>TCD</t>
        </is>
      </c>
      <c r="B152" s="17">
        <f>INDEX(Data!$B:$B,MATCH($A152,Data!$A:$A,0))</f>
        <v/>
      </c>
      <c r="C152" s="17">
        <f>INDEX(Data!$D:$D,MATCH($A152,Data!$A:$A,0))</f>
        <v/>
      </c>
      <c r="D152" s="16">
        <f>SUMIFS(Data!$G:$G,Data!$A:$A,$A152,Data!$F:$F,"gen_coal_twh")</f>
        <v/>
      </c>
      <c r="E152" s="16">
        <f>SUMIFS(Data!$G:$G,Data!$A:$A,$A152,Data!$F:$F,"gen_gas_twh")</f>
        <v/>
      </c>
      <c r="F152" s="16">
        <f>SUMIFS(Data!$G:$G,Data!$A:$A,$A152,Data!$F:$F,"gen_oil_twh")</f>
        <v/>
      </c>
      <c r="G152" s="16">
        <f>SUMIFS(Data!$G:$G,Data!$A:$A,$A152,Data!$F:$F,"gen_total_twh")</f>
        <v/>
      </c>
      <c r="H152" s="16">
        <f>SUMIFS(Data!$G:$G,Data!$A:$A,$A152,Data!$F:$F,"em_coal_mt")</f>
        <v/>
      </c>
      <c r="I152" s="16">
        <f>SUMIFS(Data!$G:$G,Data!$A:$A,$A152,Data!$F:$F,"em_gas_mt")</f>
        <v/>
      </c>
      <c r="J152" s="16">
        <f>SUMIFS(Data!$G:$G,Data!$A:$A,$A152,Data!$F:$F,"em_oil_mt")</f>
        <v/>
      </c>
      <c r="K152" s="28">
        <f>IF(COUNTIFS(Data!$A:$A,$A152,Data!$F:$F,"price_electricity_residential_usd_kwh")=0,"",SUMIFS(Data!$G:$G,Data!$A:$A,$A152,Data!$F:$F,"price_electricity_residential_usd_kwh"))</f>
        <v/>
      </c>
      <c r="L152" s="28">
        <f>IF(COUNTIFS(Data!$A:$A,$A152,Data!$F:$F,"price_coal_power_usd_gj")=0,"",SUMIFS(Data!$G:$G,Data!$A:$A,$A152,Data!$F:$F,"price_coal_power_usd_gj"))</f>
        <v/>
      </c>
      <c r="M152" s="28">
        <f>IF(COUNTIFS(Data!$A:$A,$A152,Data!$F:$F,"price_gas_power_usd_gj")=0,"",SUMIFS(Data!$G:$G,Data!$A:$A,$A152,Data!$F:$F,"price_gas_power_usd_gj"))</f>
        <v/>
      </c>
      <c r="N152" s="28">
        <f>IF(COUNTIFS(Data!$A:$A,$A152,Data!$F:$F,"price_gas_industry_usd_gj")=0,"",SUMIFS(Data!$G:$G,Data!$A:$A,$A152,Data!$F:$F,"price_gas_industry_usd_gj"))</f>
        <v/>
      </c>
      <c r="O152" s="28">
        <f>IF(COUNTIFS(Data!$A:$A,$A152,Data!$F:$F,"power_market_structure")=0,"",SUMIFS(Data!$G:$G,Data!$A:$A,$A152,Data!$F:$F,"power_market_structure"))</f>
        <v/>
      </c>
      <c r="P152" s="28">
        <f>IF(COUNTIFS(Data!$A:$A,$A152,Data!$F:$F,"rise_renewable_energy_score")=0,"",SUMIFS(Data!$G:$G,Data!$A:$A,$A152,Data!$F:$F,"rise_renewable_energy_score"))</f>
        <v/>
      </c>
      <c r="Q152" s="16">
        <f>H152+I152+J152</f>
        <v/>
      </c>
      <c r="R152" s="28">
        <f>Q152/G152</f>
        <v/>
      </c>
      <c r="S152" s="28">
        <f>IF(D152&gt;0,H152/D152,0.85)</f>
        <v/>
      </c>
      <c r="T152" s="28">
        <f>IF(E152&gt;0,I152/E152,0.4)</f>
        <v/>
      </c>
      <c r="U152" s="28">
        <f>IF(D152+F152&gt;0,(H152+J152)/(D152+F152),0)</f>
        <v/>
      </c>
      <c r="V152" s="16">
        <f>K152*1000</f>
        <v/>
      </c>
      <c r="W152" s="15">
        <f>IF(O152=3,in_pt3,IF(O152=2,in_pt2,IF(O152=1,in_pt1,IF(C152="High income",in_pt_hi,in_pt_oth))))</f>
        <v/>
      </c>
      <c r="X152" s="28">
        <f>IF(Q152&gt;0,in_kappa*(in_rise_lo+(in_rise_hi-in_rise_lo)*IF(P152="",in_rise_miss,P152)/100)*(D152+F152)*MAX(U152-in_gas_rep*T152,0)/Q152,0)</f>
        <v/>
      </c>
      <c r="Y152" s="16">
        <f>IF(IF(M152="",N152,M152)="",MAX(in_sw_floor,in_sw_miss),MAX(in_sw_floor,(IF(M152="",N152,M152)*in_hr_gas-L152*in_hr_coal)/MAX(S152-T152,0.1)))</f>
        <v/>
      </c>
      <c r="Z152" s="28">
        <f>IF(C152="Low income",in_b40_li,IF(C152="Lower middle income",in_b40_lmi,IF(C152="Upper middle income",in_b40_umi,IF(C152="High income",in_b40_hi,0.03))))</f>
        <v/>
      </c>
      <c r="AA152" s="15">
        <f>(D152+F152)/G152</f>
        <v/>
      </c>
      <c r="AB152" s="28">
        <f>100*W152*R152/V152/in_phase</f>
        <v/>
      </c>
      <c r="AC152" s="29">
        <f>100*Z152*W152*R152/V152*(1-IF(W152&gt;0,MIN(in_rebate/(W152*in_res_sh*in_q40),1),1))</f>
        <v/>
      </c>
      <c r="AD152" s="28">
        <f>IF(AA152&gt;0,100*U152*(1-W152)/(in_whole_sh*V152),0)</f>
        <v/>
      </c>
      <c r="AE152" s="28">
        <f>IF(AA152&gt;0,100*MAX(U152-R152,0)/(in_whole_sh*V152),0)</f>
        <v/>
      </c>
      <c r="AF152" s="16">
        <f>IF(AB152&gt;0,in_f1/AB152,in_cap)</f>
        <v/>
      </c>
      <c r="AG152" s="16">
        <f>IF(AC152&gt;0,in_f2/AC152,in_cap)</f>
        <v/>
      </c>
      <c r="AH152" s="16">
        <f>IF(AD152&gt;0,in_f3/AD152,in_cap)</f>
        <v/>
      </c>
      <c r="AI152" s="16">
        <f>MIN(in_cap,AF152,AG152,AH152)</f>
        <v/>
      </c>
      <c r="AJ152" s="30">
        <f>100*(1-(1-X152*(1-EXP(-((AI152)+(0))/Y152)))*(1-MIN(ABS(in_elas)*W152*R152*(AI152)/V152,1)))</f>
        <v/>
      </c>
      <c r="AK152" s="17">
        <f>IF(AI152&gt;=in_cap-1E-9,"rate cap",TRIM(IF(ABS(AI152-AF152)&lt;1E-9,"F1 ","")&amp;IF(ABS(AI152-AG152)&lt;1E-9,"F2 ","")&amp;IF(ABS(AI152-AH152)&lt;1E-9,"F3","")))</f>
        <v/>
      </c>
      <c r="AL152" s="15">
        <f>100*(1-(1-X152*(1-EXP(-((MIN(in_cap,IF(AB152&gt;0,(in_f1+1)/AB152,in_cap),AG152,AH152))+(0))/Y152)))*(1-MIN(ABS(in_elas)*W152*R152*(MIN(in_cap,IF(AB152&gt;0,(in_f1+1)/AB152,in_cap),AG152,AH152))/V152,1)))-AJ152</f>
        <v/>
      </c>
      <c r="AM152" s="16">
        <f>MIN(in_cap,IF(AE152&gt;0,in_f3/AE152,in_cap))</f>
        <v/>
      </c>
      <c r="AN152" s="30">
        <f>100*(1-(1-X152*(1-EXP(-((0)+(AM152))/Y152)))*(1-MIN(ABS(in_elas)*W152*R152*(0)/V152,1)))</f>
        <v/>
      </c>
      <c r="AO152" s="17">
        <f>IF(AM152&gt;=in_cap-1E-9,"rate cap","F3")</f>
        <v/>
      </c>
      <c r="AP152" s="15">
        <f>100*(1-(1-X152*(1-EXP(-((50)+(0))/Y152)))*(1-MIN(ABS(in_elas)*W152*R152*(50)/V152,1)))</f>
        <v/>
      </c>
      <c r="AQ152" s="15">
        <f>100*(1-(1-X152*(1-EXP(-((0)+(50))/Y152)))*(1-MIN(ABS(in_elas)*W152*R152*(0)/V152,1)))</f>
        <v/>
      </c>
      <c r="AR152" s="15">
        <f>IF(AP152&gt;0,AQ152/AP152,"")</f>
        <v/>
      </c>
      <c r="AS152" s="16">
        <f>50*AB152</f>
        <v/>
      </c>
      <c r="AT152" s="30">
        <f>MAX(BM152:BW152)</f>
        <v/>
      </c>
      <c r="AU152" s="31">
        <f>AI152*(MATCH(AT152,BM152:BW152,0)-1)/10</f>
        <v/>
      </c>
      <c r="AV152" s="31">
        <f>INDEX(BB152:BL152,1,(MATCH(AT152,BM152:BW152,0)-1)+1)</f>
        <v/>
      </c>
      <c r="AW152" s="31">
        <f>AB152*AU152</f>
        <v/>
      </c>
      <c r="AX152" s="30">
        <f>AC152*AU152</f>
        <v/>
      </c>
      <c r="AY152" s="31">
        <f>AD152*AU152+AE152*AV152</f>
        <v/>
      </c>
      <c r="AZ152" s="32">
        <f>TRIM(IF(AND(AU152&gt;0,ABS(AU152-AF152)&lt;1E-6),"F1 ","")&amp;IF(AND(AU152&gt;0,ABS(AU152-AG152)&lt;1E-6),"F2 ","")&amp;IF(AY152&gt;=in_f3-1E-6,"F3 ","")&amp;IF(AV152&gt;=in_cap-1E-9,"rate cap",""))</f>
        <v/>
      </c>
      <c r="BA152" s="31">
        <f>Q152*AT152/100</f>
        <v/>
      </c>
      <c r="BB152" s="16">
        <f>MAX(0,MIN(in_cap,IF(AE152&gt;0,(in_f3-AD152*AI152*0/10)/AE152,in_cap)))</f>
        <v/>
      </c>
      <c r="BC152" s="16">
        <f>MAX(0,MIN(in_cap,IF(AE152&gt;0,(in_f3-AD152*AI152*1/10)/AE152,in_cap)))</f>
        <v/>
      </c>
      <c r="BD152" s="16">
        <f>MAX(0,MIN(in_cap,IF(AE152&gt;0,(in_f3-AD152*AI152*2/10)/AE152,in_cap)))</f>
        <v/>
      </c>
      <c r="BE152" s="16">
        <f>MAX(0,MIN(in_cap,IF(AE152&gt;0,(in_f3-AD152*AI152*3/10)/AE152,in_cap)))</f>
        <v/>
      </c>
      <c r="BF152" s="16">
        <f>MAX(0,MIN(in_cap,IF(AE152&gt;0,(in_f3-AD152*AI152*4/10)/AE152,in_cap)))</f>
        <v/>
      </c>
      <c r="BG152" s="16">
        <f>MAX(0,MIN(in_cap,IF(AE152&gt;0,(in_f3-AD152*AI152*5/10)/AE152,in_cap)))</f>
        <v/>
      </c>
      <c r="BH152" s="16">
        <f>MAX(0,MIN(in_cap,IF(AE152&gt;0,(in_f3-AD152*AI152*6/10)/AE152,in_cap)))</f>
        <v/>
      </c>
      <c r="BI152" s="16">
        <f>MAX(0,MIN(in_cap,IF(AE152&gt;0,(in_f3-AD152*AI152*7/10)/AE152,in_cap)))</f>
        <v/>
      </c>
      <c r="BJ152" s="16">
        <f>MAX(0,MIN(in_cap,IF(AE152&gt;0,(in_f3-AD152*AI152*8/10)/AE152,in_cap)))</f>
        <v/>
      </c>
      <c r="BK152" s="16">
        <f>MAX(0,MIN(in_cap,IF(AE152&gt;0,(in_f3-AD152*AI152*9/10)/AE152,in_cap)))</f>
        <v/>
      </c>
      <c r="BL152" s="16">
        <f>MAX(0,MIN(in_cap,IF(AE152&gt;0,(in_f3-AD152*AI152*10/10)/AE152,in_cap)))</f>
        <v/>
      </c>
      <c r="BM152" s="15">
        <f>100*(1-(1-X152*(1-EXP(-((AI152*0/10)+(BB152))/Y152)))*(1-MIN(ABS(in_elas)*W152*R152*(AI152*0/10)/V152,1)))</f>
        <v/>
      </c>
      <c r="BN152" s="15">
        <f>100*(1-(1-X152*(1-EXP(-((AI152*1/10)+(BC152))/Y152)))*(1-MIN(ABS(in_elas)*W152*R152*(AI152*1/10)/V152,1)))</f>
        <v/>
      </c>
      <c r="BO152" s="15">
        <f>100*(1-(1-X152*(1-EXP(-((AI152*2/10)+(BD152))/Y152)))*(1-MIN(ABS(in_elas)*W152*R152*(AI152*2/10)/V152,1)))</f>
        <v/>
      </c>
      <c r="BP152" s="15">
        <f>100*(1-(1-X152*(1-EXP(-((AI152*3/10)+(BE152))/Y152)))*(1-MIN(ABS(in_elas)*W152*R152*(AI152*3/10)/V152,1)))</f>
        <v/>
      </c>
      <c r="BQ152" s="15">
        <f>100*(1-(1-X152*(1-EXP(-((AI152*4/10)+(BF152))/Y152)))*(1-MIN(ABS(in_elas)*W152*R152*(AI152*4/10)/V152,1)))</f>
        <v/>
      </c>
      <c r="BR152" s="15">
        <f>100*(1-(1-X152*(1-EXP(-((AI152*5/10)+(BG152))/Y152)))*(1-MIN(ABS(in_elas)*W152*R152*(AI152*5/10)/V152,1)))</f>
        <v/>
      </c>
      <c r="BS152" s="15">
        <f>100*(1-(1-X152*(1-EXP(-((AI152*6/10)+(BH152))/Y152)))*(1-MIN(ABS(in_elas)*W152*R152*(AI152*6/10)/V152,1)))</f>
        <v/>
      </c>
      <c r="BT152" s="15">
        <f>100*(1-(1-X152*(1-EXP(-((AI152*7/10)+(BI152))/Y152)))*(1-MIN(ABS(in_elas)*W152*R152*(AI152*7/10)/V152,1)))</f>
        <v/>
      </c>
      <c r="BU152" s="15">
        <f>100*(1-(1-X152*(1-EXP(-((AI152*8/10)+(BJ152))/Y152)))*(1-MIN(ABS(in_elas)*W152*R152*(AI152*8/10)/V152,1)))</f>
        <v/>
      </c>
      <c r="BV152" s="15">
        <f>100*(1-(1-X152*(1-EXP(-((AI152*9/10)+(BK152))/Y152)))*(1-MIN(ABS(in_elas)*W152*R152*(AI152*9/10)/V152,1)))</f>
        <v/>
      </c>
      <c r="BW152" s="15">
        <f>100*(1-(1-X152*(1-EXP(-((AI152*10/10)+(BL152))/Y152)))*(1-MIN(ABS(in_elas)*W152*R152*(AI152*10/10)/V152,1)))</f>
        <v/>
      </c>
    </row>
    <row r="153">
      <c r="A153" s="17" t="inlineStr">
        <is>
          <t>TGO</t>
        </is>
      </c>
      <c r="B153" s="17">
        <f>INDEX(Data!$B:$B,MATCH($A153,Data!$A:$A,0))</f>
        <v/>
      </c>
      <c r="C153" s="17">
        <f>INDEX(Data!$D:$D,MATCH($A153,Data!$A:$A,0))</f>
        <v/>
      </c>
      <c r="D153" s="16">
        <f>SUMIFS(Data!$G:$G,Data!$A:$A,$A153,Data!$F:$F,"gen_coal_twh")</f>
        <v/>
      </c>
      <c r="E153" s="16">
        <f>SUMIFS(Data!$G:$G,Data!$A:$A,$A153,Data!$F:$F,"gen_gas_twh")</f>
        <v/>
      </c>
      <c r="F153" s="16">
        <f>SUMIFS(Data!$G:$G,Data!$A:$A,$A153,Data!$F:$F,"gen_oil_twh")</f>
        <v/>
      </c>
      <c r="G153" s="16">
        <f>SUMIFS(Data!$G:$G,Data!$A:$A,$A153,Data!$F:$F,"gen_total_twh")</f>
        <v/>
      </c>
      <c r="H153" s="16">
        <f>SUMIFS(Data!$G:$G,Data!$A:$A,$A153,Data!$F:$F,"em_coal_mt")</f>
        <v/>
      </c>
      <c r="I153" s="16">
        <f>SUMIFS(Data!$G:$G,Data!$A:$A,$A153,Data!$F:$F,"em_gas_mt")</f>
        <v/>
      </c>
      <c r="J153" s="16">
        <f>SUMIFS(Data!$G:$G,Data!$A:$A,$A153,Data!$F:$F,"em_oil_mt")</f>
        <v/>
      </c>
      <c r="K153" s="28">
        <f>IF(COUNTIFS(Data!$A:$A,$A153,Data!$F:$F,"price_electricity_residential_usd_kwh")=0,"",SUMIFS(Data!$G:$G,Data!$A:$A,$A153,Data!$F:$F,"price_electricity_residential_usd_kwh"))</f>
        <v/>
      </c>
      <c r="L153" s="28">
        <f>IF(COUNTIFS(Data!$A:$A,$A153,Data!$F:$F,"price_coal_power_usd_gj")=0,"",SUMIFS(Data!$G:$G,Data!$A:$A,$A153,Data!$F:$F,"price_coal_power_usd_gj"))</f>
        <v/>
      </c>
      <c r="M153" s="28">
        <f>IF(COUNTIFS(Data!$A:$A,$A153,Data!$F:$F,"price_gas_power_usd_gj")=0,"",SUMIFS(Data!$G:$G,Data!$A:$A,$A153,Data!$F:$F,"price_gas_power_usd_gj"))</f>
        <v/>
      </c>
      <c r="N153" s="28">
        <f>IF(COUNTIFS(Data!$A:$A,$A153,Data!$F:$F,"price_gas_industry_usd_gj")=0,"",SUMIFS(Data!$G:$G,Data!$A:$A,$A153,Data!$F:$F,"price_gas_industry_usd_gj"))</f>
        <v/>
      </c>
      <c r="O153" s="28">
        <f>IF(COUNTIFS(Data!$A:$A,$A153,Data!$F:$F,"power_market_structure")=0,"",SUMIFS(Data!$G:$G,Data!$A:$A,$A153,Data!$F:$F,"power_market_structure"))</f>
        <v/>
      </c>
      <c r="P153" s="28">
        <f>IF(COUNTIFS(Data!$A:$A,$A153,Data!$F:$F,"rise_renewable_energy_score")=0,"",SUMIFS(Data!$G:$G,Data!$A:$A,$A153,Data!$F:$F,"rise_renewable_energy_score"))</f>
        <v/>
      </c>
      <c r="Q153" s="16">
        <f>H153+I153+J153</f>
        <v/>
      </c>
      <c r="R153" s="28">
        <f>Q153/G153</f>
        <v/>
      </c>
      <c r="S153" s="28">
        <f>IF(D153&gt;0,H153/D153,0.85)</f>
        <v/>
      </c>
      <c r="T153" s="28">
        <f>IF(E153&gt;0,I153/E153,0.4)</f>
        <v/>
      </c>
      <c r="U153" s="28">
        <f>IF(D153+F153&gt;0,(H153+J153)/(D153+F153),0)</f>
        <v/>
      </c>
      <c r="V153" s="16">
        <f>K153*1000</f>
        <v/>
      </c>
      <c r="W153" s="15">
        <f>IF(O153=3,in_pt3,IF(O153=2,in_pt2,IF(O153=1,in_pt1,IF(C153="High income",in_pt_hi,in_pt_oth))))</f>
        <v/>
      </c>
      <c r="X153" s="28">
        <f>IF(Q153&gt;0,in_kappa*(in_rise_lo+(in_rise_hi-in_rise_lo)*IF(P153="",in_rise_miss,P153)/100)*(D153+F153)*MAX(U153-in_gas_rep*T153,0)/Q153,0)</f>
        <v/>
      </c>
      <c r="Y153" s="16">
        <f>IF(IF(M153="",N153,M153)="",MAX(in_sw_floor,in_sw_miss),MAX(in_sw_floor,(IF(M153="",N153,M153)*in_hr_gas-L153*in_hr_coal)/MAX(S153-T153,0.1)))</f>
        <v/>
      </c>
      <c r="Z153" s="28">
        <f>IF(C153="Low income",in_b40_li,IF(C153="Lower middle income",in_b40_lmi,IF(C153="Upper middle income",in_b40_umi,IF(C153="High income",in_b40_hi,0.03))))</f>
        <v/>
      </c>
      <c r="AA153" s="15">
        <f>(D153+F153)/G153</f>
        <v/>
      </c>
      <c r="AB153" s="28">
        <f>100*W153*R153/V153/in_phase</f>
        <v/>
      </c>
      <c r="AC153" s="29">
        <f>100*Z153*W153*R153/V153*(1-IF(W153&gt;0,MIN(in_rebate/(W153*in_res_sh*in_q40),1),1))</f>
        <v/>
      </c>
      <c r="AD153" s="28">
        <f>IF(AA153&gt;0,100*U153*(1-W153)/(in_whole_sh*V153),0)</f>
        <v/>
      </c>
      <c r="AE153" s="28">
        <f>IF(AA153&gt;0,100*MAX(U153-R153,0)/(in_whole_sh*V153),0)</f>
        <v/>
      </c>
      <c r="AF153" s="16">
        <f>IF(AB153&gt;0,in_f1/AB153,in_cap)</f>
        <v/>
      </c>
      <c r="AG153" s="16">
        <f>IF(AC153&gt;0,in_f2/AC153,in_cap)</f>
        <v/>
      </c>
      <c r="AH153" s="16">
        <f>IF(AD153&gt;0,in_f3/AD153,in_cap)</f>
        <v/>
      </c>
      <c r="AI153" s="16">
        <f>MIN(in_cap,AF153,AG153,AH153)</f>
        <v/>
      </c>
      <c r="AJ153" s="30">
        <f>100*(1-(1-X153*(1-EXP(-((AI153)+(0))/Y153)))*(1-MIN(ABS(in_elas)*W153*R153*(AI153)/V153,1)))</f>
        <v/>
      </c>
      <c r="AK153" s="17">
        <f>IF(AI153&gt;=in_cap-1E-9,"rate cap",TRIM(IF(ABS(AI153-AF153)&lt;1E-9,"F1 ","")&amp;IF(ABS(AI153-AG153)&lt;1E-9,"F2 ","")&amp;IF(ABS(AI153-AH153)&lt;1E-9,"F3","")))</f>
        <v/>
      </c>
      <c r="AL153" s="15">
        <f>100*(1-(1-X153*(1-EXP(-((MIN(in_cap,IF(AB153&gt;0,(in_f1+1)/AB153,in_cap),AG153,AH153))+(0))/Y153)))*(1-MIN(ABS(in_elas)*W153*R153*(MIN(in_cap,IF(AB153&gt;0,(in_f1+1)/AB153,in_cap),AG153,AH153))/V153,1)))-AJ153</f>
        <v/>
      </c>
      <c r="AM153" s="16">
        <f>MIN(in_cap,IF(AE153&gt;0,in_f3/AE153,in_cap))</f>
        <v/>
      </c>
      <c r="AN153" s="30">
        <f>100*(1-(1-X153*(1-EXP(-((0)+(AM153))/Y153)))*(1-MIN(ABS(in_elas)*W153*R153*(0)/V153,1)))</f>
        <v/>
      </c>
      <c r="AO153" s="17">
        <f>IF(AM153&gt;=in_cap-1E-9,"rate cap","F3")</f>
        <v/>
      </c>
      <c r="AP153" s="15">
        <f>100*(1-(1-X153*(1-EXP(-((50)+(0))/Y153)))*(1-MIN(ABS(in_elas)*W153*R153*(50)/V153,1)))</f>
        <v/>
      </c>
      <c r="AQ153" s="15">
        <f>100*(1-(1-X153*(1-EXP(-((0)+(50))/Y153)))*(1-MIN(ABS(in_elas)*W153*R153*(0)/V153,1)))</f>
        <v/>
      </c>
      <c r="AR153" s="15">
        <f>IF(AP153&gt;0,AQ153/AP153,"")</f>
        <v/>
      </c>
      <c r="AS153" s="16">
        <f>50*AB153</f>
        <v/>
      </c>
      <c r="AT153" s="30">
        <f>MAX(BM153:BW153)</f>
        <v/>
      </c>
      <c r="AU153" s="31">
        <f>AI153*(MATCH(AT153,BM153:BW153,0)-1)/10</f>
        <v/>
      </c>
      <c r="AV153" s="31">
        <f>INDEX(BB153:BL153,1,(MATCH(AT153,BM153:BW153,0)-1)+1)</f>
        <v/>
      </c>
      <c r="AW153" s="31">
        <f>AB153*AU153</f>
        <v/>
      </c>
      <c r="AX153" s="30">
        <f>AC153*AU153</f>
        <v/>
      </c>
      <c r="AY153" s="31">
        <f>AD153*AU153+AE153*AV153</f>
        <v/>
      </c>
      <c r="AZ153" s="32">
        <f>TRIM(IF(AND(AU153&gt;0,ABS(AU153-AF153)&lt;1E-6),"F1 ","")&amp;IF(AND(AU153&gt;0,ABS(AU153-AG153)&lt;1E-6),"F2 ","")&amp;IF(AY153&gt;=in_f3-1E-6,"F3 ","")&amp;IF(AV153&gt;=in_cap-1E-9,"rate cap",""))</f>
        <v/>
      </c>
      <c r="BA153" s="31">
        <f>Q153*AT153/100</f>
        <v/>
      </c>
      <c r="BB153" s="16">
        <f>MAX(0,MIN(in_cap,IF(AE153&gt;0,(in_f3-AD153*AI153*0/10)/AE153,in_cap)))</f>
        <v/>
      </c>
      <c r="BC153" s="16">
        <f>MAX(0,MIN(in_cap,IF(AE153&gt;0,(in_f3-AD153*AI153*1/10)/AE153,in_cap)))</f>
        <v/>
      </c>
      <c r="BD153" s="16">
        <f>MAX(0,MIN(in_cap,IF(AE153&gt;0,(in_f3-AD153*AI153*2/10)/AE153,in_cap)))</f>
        <v/>
      </c>
      <c r="BE153" s="16">
        <f>MAX(0,MIN(in_cap,IF(AE153&gt;0,(in_f3-AD153*AI153*3/10)/AE153,in_cap)))</f>
        <v/>
      </c>
      <c r="BF153" s="16">
        <f>MAX(0,MIN(in_cap,IF(AE153&gt;0,(in_f3-AD153*AI153*4/10)/AE153,in_cap)))</f>
        <v/>
      </c>
      <c r="BG153" s="16">
        <f>MAX(0,MIN(in_cap,IF(AE153&gt;0,(in_f3-AD153*AI153*5/10)/AE153,in_cap)))</f>
        <v/>
      </c>
      <c r="BH153" s="16">
        <f>MAX(0,MIN(in_cap,IF(AE153&gt;0,(in_f3-AD153*AI153*6/10)/AE153,in_cap)))</f>
        <v/>
      </c>
      <c r="BI153" s="16">
        <f>MAX(0,MIN(in_cap,IF(AE153&gt;0,(in_f3-AD153*AI153*7/10)/AE153,in_cap)))</f>
        <v/>
      </c>
      <c r="BJ153" s="16">
        <f>MAX(0,MIN(in_cap,IF(AE153&gt;0,(in_f3-AD153*AI153*8/10)/AE153,in_cap)))</f>
        <v/>
      </c>
      <c r="BK153" s="16">
        <f>MAX(0,MIN(in_cap,IF(AE153&gt;0,(in_f3-AD153*AI153*9/10)/AE153,in_cap)))</f>
        <v/>
      </c>
      <c r="BL153" s="16">
        <f>MAX(0,MIN(in_cap,IF(AE153&gt;0,(in_f3-AD153*AI153*10/10)/AE153,in_cap)))</f>
        <v/>
      </c>
      <c r="BM153" s="15">
        <f>100*(1-(1-X153*(1-EXP(-((AI153*0/10)+(BB153))/Y153)))*(1-MIN(ABS(in_elas)*W153*R153*(AI153*0/10)/V153,1)))</f>
        <v/>
      </c>
      <c r="BN153" s="15">
        <f>100*(1-(1-X153*(1-EXP(-((AI153*1/10)+(BC153))/Y153)))*(1-MIN(ABS(in_elas)*W153*R153*(AI153*1/10)/V153,1)))</f>
        <v/>
      </c>
      <c r="BO153" s="15">
        <f>100*(1-(1-X153*(1-EXP(-((AI153*2/10)+(BD153))/Y153)))*(1-MIN(ABS(in_elas)*W153*R153*(AI153*2/10)/V153,1)))</f>
        <v/>
      </c>
      <c r="BP153" s="15">
        <f>100*(1-(1-X153*(1-EXP(-((AI153*3/10)+(BE153))/Y153)))*(1-MIN(ABS(in_elas)*W153*R153*(AI153*3/10)/V153,1)))</f>
        <v/>
      </c>
      <c r="BQ153" s="15">
        <f>100*(1-(1-X153*(1-EXP(-((AI153*4/10)+(BF153))/Y153)))*(1-MIN(ABS(in_elas)*W153*R153*(AI153*4/10)/V153,1)))</f>
        <v/>
      </c>
      <c r="BR153" s="15">
        <f>100*(1-(1-X153*(1-EXP(-((AI153*5/10)+(BG153))/Y153)))*(1-MIN(ABS(in_elas)*W153*R153*(AI153*5/10)/V153,1)))</f>
        <v/>
      </c>
      <c r="BS153" s="15">
        <f>100*(1-(1-X153*(1-EXP(-((AI153*6/10)+(BH153))/Y153)))*(1-MIN(ABS(in_elas)*W153*R153*(AI153*6/10)/V153,1)))</f>
        <v/>
      </c>
      <c r="BT153" s="15">
        <f>100*(1-(1-X153*(1-EXP(-((AI153*7/10)+(BI153))/Y153)))*(1-MIN(ABS(in_elas)*W153*R153*(AI153*7/10)/V153,1)))</f>
        <v/>
      </c>
      <c r="BU153" s="15">
        <f>100*(1-(1-X153*(1-EXP(-((AI153*8/10)+(BJ153))/Y153)))*(1-MIN(ABS(in_elas)*W153*R153*(AI153*8/10)/V153,1)))</f>
        <v/>
      </c>
      <c r="BV153" s="15">
        <f>100*(1-(1-X153*(1-EXP(-((AI153*9/10)+(BK153))/Y153)))*(1-MIN(ABS(in_elas)*W153*R153*(AI153*9/10)/V153,1)))</f>
        <v/>
      </c>
      <c r="BW153" s="15">
        <f>100*(1-(1-X153*(1-EXP(-((AI153*10/10)+(BL153))/Y153)))*(1-MIN(ABS(in_elas)*W153*R153*(AI153*10/10)/V153,1)))</f>
        <v/>
      </c>
    </row>
    <row r="154">
      <c r="A154" s="17" t="inlineStr">
        <is>
          <t>THA</t>
        </is>
      </c>
      <c r="B154" s="17">
        <f>INDEX(Data!$B:$B,MATCH($A154,Data!$A:$A,0))</f>
        <v/>
      </c>
      <c r="C154" s="17">
        <f>INDEX(Data!$D:$D,MATCH($A154,Data!$A:$A,0))</f>
        <v/>
      </c>
      <c r="D154" s="16">
        <f>SUMIFS(Data!$G:$G,Data!$A:$A,$A154,Data!$F:$F,"gen_coal_twh")</f>
        <v/>
      </c>
      <c r="E154" s="16">
        <f>SUMIFS(Data!$G:$G,Data!$A:$A,$A154,Data!$F:$F,"gen_gas_twh")</f>
        <v/>
      </c>
      <c r="F154" s="16">
        <f>SUMIFS(Data!$G:$G,Data!$A:$A,$A154,Data!$F:$F,"gen_oil_twh")</f>
        <v/>
      </c>
      <c r="G154" s="16">
        <f>SUMIFS(Data!$G:$G,Data!$A:$A,$A154,Data!$F:$F,"gen_total_twh")</f>
        <v/>
      </c>
      <c r="H154" s="16">
        <f>SUMIFS(Data!$G:$G,Data!$A:$A,$A154,Data!$F:$F,"em_coal_mt")</f>
        <v/>
      </c>
      <c r="I154" s="16">
        <f>SUMIFS(Data!$G:$G,Data!$A:$A,$A154,Data!$F:$F,"em_gas_mt")</f>
        <v/>
      </c>
      <c r="J154" s="16">
        <f>SUMIFS(Data!$G:$G,Data!$A:$A,$A154,Data!$F:$F,"em_oil_mt")</f>
        <v/>
      </c>
      <c r="K154" s="28">
        <f>IF(COUNTIFS(Data!$A:$A,$A154,Data!$F:$F,"price_electricity_residential_usd_kwh")=0,"",SUMIFS(Data!$G:$G,Data!$A:$A,$A154,Data!$F:$F,"price_electricity_residential_usd_kwh"))</f>
        <v/>
      </c>
      <c r="L154" s="28">
        <f>IF(COUNTIFS(Data!$A:$A,$A154,Data!$F:$F,"price_coal_power_usd_gj")=0,"",SUMIFS(Data!$G:$G,Data!$A:$A,$A154,Data!$F:$F,"price_coal_power_usd_gj"))</f>
        <v/>
      </c>
      <c r="M154" s="28">
        <f>IF(COUNTIFS(Data!$A:$A,$A154,Data!$F:$F,"price_gas_power_usd_gj")=0,"",SUMIFS(Data!$G:$G,Data!$A:$A,$A154,Data!$F:$F,"price_gas_power_usd_gj"))</f>
        <v/>
      </c>
      <c r="N154" s="28">
        <f>IF(COUNTIFS(Data!$A:$A,$A154,Data!$F:$F,"price_gas_industry_usd_gj")=0,"",SUMIFS(Data!$G:$G,Data!$A:$A,$A154,Data!$F:$F,"price_gas_industry_usd_gj"))</f>
        <v/>
      </c>
      <c r="O154" s="28">
        <f>IF(COUNTIFS(Data!$A:$A,$A154,Data!$F:$F,"power_market_structure")=0,"",SUMIFS(Data!$G:$G,Data!$A:$A,$A154,Data!$F:$F,"power_market_structure"))</f>
        <v/>
      </c>
      <c r="P154" s="28">
        <f>IF(COUNTIFS(Data!$A:$A,$A154,Data!$F:$F,"rise_renewable_energy_score")=0,"",SUMIFS(Data!$G:$G,Data!$A:$A,$A154,Data!$F:$F,"rise_renewable_energy_score"))</f>
        <v/>
      </c>
      <c r="Q154" s="16">
        <f>H154+I154+J154</f>
        <v/>
      </c>
      <c r="R154" s="28">
        <f>Q154/G154</f>
        <v/>
      </c>
      <c r="S154" s="28">
        <f>IF(D154&gt;0,H154/D154,0.85)</f>
        <v/>
      </c>
      <c r="T154" s="28">
        <f>IF(E154&gt;0,I154/E154,0.4)</f>
        <v/>
      </c>
      <c r="U154" s="28">
        <f>IF(D154+F154&gt;0,(H154+J154)/(D154+F154),0)</f>
        <v/>
      </c>
      <c r="V154" s="16">
        <f>K154*1000</f>
        <v/>
      </c>
      <c r="W154" s="15">
        <f>IF(O154=3,in_pt3,IF(O154=2,in_pt2,IF(O154=1,in_pt1,IF(C154="High income",in_pt_hi,in_pt_oth))))</f>
        <v/>
      </c>
      <c r="X154" s="28">
        <f>IF(Q154&gt;0,in_kappa*(in_rise_lo+(in_rise_hi-in_rise_lo)*IF(P154="",in_rise_miss,P154)/100)*(D154+F154)*MAX(U154-in_gas_rep*T154,0)/Q154,0)</f>
        <v/>
      </c>
      <c r="Y154" s="16">
        <f>IF(IF(M154="",N154,M154)="",MAX(in_sw_floor,in_sw_miss),MAX(in_sw_floor,(IF(M154="",N154,M154)*in_hr_gas-L154*in_hr_coal)/MAX(S154-T154,0.1)))</f>
        <v/>
      </c>
      <c r="Z154" s="28">
        <f>IF(C154="Low income",in_b40_li,IF(C154="Lower middle income",in_b40_lmi,IF(C154="Upper middle income",in_b40_umi,IF(C154="High income",in_b40_hi,0.03))))</f>
        <v/>
      </c>
      <c r="AA154" s="15">
        <f>(D154+F154)/G154</f>
        <v/>
      </c>
      <c r="AB154" s="28">
        <f>100*W154*R154/V154/in_phase</f>
        <v/>
      </c>
      <c r="AC154" s="29">
        <f>100*Z154*W154*R154/V154*(1-IF(W154&gt;0,MIN(in_rebate/(W154*in_res_sh*in_q40),1),1))</f>
        <v/>
      </c>
      <c r="AD154" s="28">
        <f>IF(AA154&gt;0,100*U154*(1-W154)/(in_whole_sh*V154),0)</f>
        <v/>
      </c>
      <c r="AE154" s="28">
        <f>IF(AA154&gt;0,100*MAX(U154-R154,0)/(in_whole_sh*V154),0)</f>
        <v/>
      </c>
      <c r="AF154" s="16">
        <f>IF(AB154&gt;0,in_f1/AB154,in_cap)</f>
        <v/>
      </c>
      <c r="AG154" s="16">
        <f>IF(AC154&gt;0,in_f2/AC154,in_cap)</f>
        <v/>
      </c>
      <c r="AH154" s="16">
        <f>IF(AD154&gt;0,in_f3/AD154,in_cap)</f>
        <v/>
      </c>
      <c r="AI154" s="16">
        <f>MIN(in_cap,AF154,AG154,AH154)</f>
        <v/>
      </c>
      <c r="AJ154" s="30">
        <f>100*(1-(1-X154*(1-EXP(-((AI154)+(0))/Y154)))*(1-MIN(ABS(in_elas)*W154*R154*(AI154)/V154,1)))</f>
        <v/>
      </c>
      <c r="AK154" s="17">
        <f>IF(AI154&gt;=in_cap-1E-9,"rate cap",TRIM(IF(ABS(AI154-AF154)&lt;1E-9,"F1 ","")&amp;IF(ABS(AI154-AG154)&lt;1E-9,"F2 ","")&amp;IF(ABS(AI154-AH154)&lt;1E-9,"F3","")))</f>
        <v/>
      </c>
      <c r="AL154" s="15">
        <f>100*(1-(1-X154*(1-EXP(-((MIN(in_cap,IF(AB154&gt;0,(in_f1+1)/AB154,in_cap),AG154,AH154))+(0))/Y154)))*(1-MIN(ABS(in_elas)*W154*R154*(MIN(in_cap,IF(AB154&gt;0,(in_f1+1)/AB154,in_cap),AG154,AH154))/V154,1)))-AJ154</f>
        <v/>
      </c>
      <c r="AM154" s="16">
        <f>MIN(in_cap,IF(AE154&gt;0,in_f3/AE154,in_cap))</f>
        <v/>
      </c>
      <c r="AN154" s="30">
        <f>100*(1-(1-X154*(1-EXP(-((0)+(AM154))/Y154)))*(1-MIN(ABS(in_elas)*W154*R154*(0)/V154,1)))</f>
        <v/>
      </c>
      <c r="AO154" s="17">
        <f>IF(AM154&gt;=in_cap-1E-9,"rate cap","F3")</f>
        <v/>
      </c>
      <c r="AP154" s="15">
        <f>100*(1-(1-X154*(1-EXP(-((50)+(0))/Y154)))*(1-MIN(ABS(in_elas)*W154*R154*(50)/V154,1)))</f>
        <v/>
      </c>
      <c r="AQ154" s="15">
        <f>100*(1-(1-X154*(1-EXP(-((0)+(50))/Y154)))*(1-MIN(ABS(in_elas)*W154*R154*(0)/V154,1)))</f>
        <v/>
      </c>
      <c r="AR154" s="15">
        <f>IF(AP154&gt;0,AQ154/AP154,"")</f>
        <v/>
      </c>
      <c r="AS154" s="16">
        <f>50*AB154</f>
        <v/>
      </c>
      <c r="AT154" s="30">
        <f>MAX(BM154:BW154)</f>
        <v/>
      </c>
      <c r="AU154" s="31">
        <f>AI154*(MATCH(AT154,BM154:BW154,0)-1)/10</f>
        <v/>
      </c>
      <c r="AV154" s="31">
        <f>INDEX(BB154:BL154,1,(MATCH(AT154,BM154:BW154,0)-1)+1)</f>
        <v/>
      </c>
      <c r="AW154" s="31">
        <f>AB154*AU154</f>
        <v/>
      </c>
      <c r="AX154" s="30">
        <f>AC154*AU154</f>
        <v/>
      </c>
      <c r="AY154" s="31">
        <f>AD154*AU154+AE154*AV154</f>
        <v/>
      </c>
      <c r="AZ154" s="32">
        <f>TRIM(IF(AND(AU154&gt;0,ABS(AU154-AF154)&lt;1E-6),"F1 ","")&amp;IF(AND(AU154&gt;0,ABS(AU154-AG154)&lt;1E-6),"F2 ","")&amp;IF(AY154&gt;=in_f3-1E-6,"F3 ","")&amp;IF(AV154&gt;=in_cap-1E-9,"rate cap",""))</f>
        <v/>
      </c>
      <c r="BA154" s="31">
        <f>Q154*AT154/100</f>
        <v/>
      </c>
      <c r="BB154" s="16">
        <f>MAX(0,MIN(in_cap,IF(AE154&gt;0,(in_f3-AD154*AI154*0/10)/AE154,in_cap)))</f>
        <v/>
      </c>
      <c r="BC154" s="16">
        <f>MAX(0,MIN(in_cap,IF(AE154&gt;0,(in_f3-AD154*AI154*1/10)/AE154,in_cap)))</f>
        <v/>
      </c>
      <c r="BD154" s="16">
        <f>MAX(0,MIN(in_cap,IF(AE154&gt;0,(in_f3-AD154*AI154*2/10)/AE154,in_cap)))</f>
        <v/>
      </c>
      <c r="BE154" s="16">
        <f>MAX(0,MIN(in_cap,IF(AE154&gt;0,(in_f3-AD154*AI154*3/10)/AE154,in_cap)))</f>
        <v/>
      </c>
      <c r="BF154" s="16">
        <f>MAX(0,MIN(in_cap,IF(AE154&gt;0,(in_f3-AD154*AI154*4/10)/AE154,in_cap)))</f>
        <v/>
      </c>
      <c r="BG154" s="16">
        <f>MAX(0,MIN(in_cap,IF(AE154&gt;0,(in_f3-AD154*AI154*5/10)/AE154,in_cap)))</f>
        <v/>
      </c>
      <c r="BH154" s="16">
        <f>MAX(0,MIN(in_cap,IF(AE154&gt;0,(in_f3-AD154*AI154*6/10)/AE154,in_cap)))</f>
        <v/>
      </c>
      <c r="BI154" s="16">
        <f>MAX(0,MIN(in_cap,IF(AE154&gt;0,(in_f3-AD154*AI154*7/10)/AE154,in_cap)))</f>
        <v/>
      </c>
      <c r="BJ154" s="16">
        <f>MAX(0,MIN(in_cap,IF(AE154&gt;0,(in_f3-AD154*AI154*8/10)/AE154,in_cap)))</f>
        <v/>
      </c>
      <c r="BK154" s="16">
        <f>MAX(0,MIN(in_cap,IF(AE154&gt;0,(in_f3-AD154*AI154*9/10)/AE154,in_cap)))</f>
        <v/>
      </c>
      <c r="BL154" s="16">
        <f>MAX(0,MIN(in_cap,IF(AE154&gt;0,(in_f3-AD154*AI154*10/10)/AE154,in_cap)))</f>
        <v/>
      </c>
      <c r="BM154" s="15">
        <f>100*(1-(1-X154*(1-EXP(-((AI154*0/10)+(BB154))/Y154)))*(1-MIN(ABS(in_elas)*W154*R154*(AI154*0/10)/V154,1)))</f>
        <v/>
      </c>
      <c r="BN154" s="15">
        <f>100*(1-(1-X154*(1-EXP(-((AI154*1/10)+(BC154))/Y154)))*(1-MIN(ABS(in_elas)*W154*R154*(AI154*1/10)/V154,1)))</f>
        <v/>
      </c>
      <c r="BO154" s="15">
        <f>100*(1-(1-X154*(1-EXP(-((AI154*2/10)+(BD154))/Y154)))*(1-MIN(ABS(in_elas)*W154*R154*(AI154*2/10)/V154,1)))</f>
        <v/>
      </c>
      <c r="BP154" s="15">
        <f>100*(1-(1-X154*(1-EXP(-((AI154*3/10)+(BE154))/Y154)))*(1-MIN(ABS(in_elas)*W154*R154*(AI154*3/10)/V154,1)))</f>
        <v/>
      </c>
      <c r="BQ154" s="15">
        <f>100*(1-(1-X154*(1-EXP(-((AI154*4/10)+(BF154))/Y154)))*(1-MIN(ABS(in_elas)*W154*R154*(AI154*4/10)/V154,1)))</f>
        <v/>
      </c>
      <c r="BR154" s="15">
        <f>100*(1-(1-X154*(1-EXP(-((AI154*5/10)+(BG154))/Y154)))*(1-MIN(ABS(in_elas)*W154*R154*(AI154*5/10)/V154,1)))</f>
        <v/>
      </c>
      <c r="BS154" s="15">
        <f>100*(1-(1-X154*(1-EXP(-((AI154*6/10)+(BH154))/Y154)))*(1-MIN(ABS(in_elas)*W154*R154*(AI154*6/10)/V154,1)))</f>
        <v/>
      </c>
      <c r="BT154" s="15">
        <f>100*(1-(1-X154*(1-EXP(-((AI154*7/10)+(BI154))/Y154)))*(1-MIN(ABS(in_elas)*W154*R154*(AI154*7/10)/V154,1)))</f>
        <v/>
      </c>
      <c r="BU154" s="15">
        <f>100*(1-(1-X154*(1-EXP(-((AI154*8/10)+(BJ154))/Y154)))*(1-MIN(ABS(in_elas)*W154*R154*(AI154*8/10)/V154,1)))</f>
        <v/>
      </c>
      <c r="BV154" s="15">
        <f>100*(1-(1-X154*(1-EXP(-((AI154*9/10)+(BK154))/Y154)))*(1-MIN(ABS(in_elas)*W154*R154*(AI154*9/10)/V154,1)))</f>
        <v/>
      </c>
      <c r="BW154" s="15">
        <f>100*(1-(1-X154*(1-EXP(-((AI154*10/10)+(BL154))/Y154)))*(1-MIN(ABS(in_elas)*W154*R154*(AI154*10/10)/V154,1)))</f>
        <v/>
      </c>
    </row>
    <row r="155">
      <c r="A155" s="17" t="inlineStr">
        <is>
          <t>TJK</t>
        </is>
      </c>
      <c r="B155" s="17">
        <f>INDEX(Data!$B:$B,MATCH($A155,Data!$A:$A,0))</f>
        <v/>
      </c>
      <c r="C155" s="17">
        <f>INDEX(Data!$D:$D,MATCH($A155,Data!$A:$A,0))</f>
        <v/>
      </c>
      <c r="D155" s="16">
        <f>SUMIFS(Data!$G:$G,Data!$A:$A,$A155,Data!$F:$F,"gen_coal_twh")</f>
        <v/>
      </c>
      <c r="E155" s="16">
        <f>SUMIFS(Data!$G:$G,Data!$A:$A,$A155,Data!$F:$F,"gen_gas_twh")</f>
        <v/>
      </c>
      <c r="F155" s="16">
        <f>SUMIFS(Data!$G:$G,Data!$A:$A,$A155,Data!$F:$F,"gen_oil_twh")</f>
        <v/>
      </c>
      <c r="G155" s="16">
        <f>SUMIFS(Data!$G:$G,Data!$A:$A,$A155,Data!$F:$F,"gen_total_twh")</f>
        <v/>
      </c>
      <c r="H155" s="16">
        <f>SUMIFS(Data!$G:$G,Data!$A:$A,$A155,Data!$F:$F,"em_coal_mt")</f>
        <v/>
      </c>
      <c r="I155" s="16">
        <f>SUMIFS(Data!$G:$G,Data!$A:$A,$A155,Data!$F:$F,"em_gas_mt")</f>
        <v/>
      </c>
      <c r="J155" s="16">
        <f>SUMIFS(Data!$G:$G,Data!$A:$A,$A155,Data!$F:$F,"em_oil_mt")</f>
        <v/>
      </c>
      <c r="K155" s="28">
        <f>IF(COUNTIFS(Data!$A:$A,$A155,Data!$F:$F,"price_electricity_residential_usd_kwh")=0,"",SUMIFS(Data!$G:$G,Data!$A:$A,$A155,Data!$F:$F,"price_electricity_residential_usd_kwh"))</f>
        <v/>
      </c>
      <c r="L155" s="28">
        <f>IF(COUNTIFS(Data!$A:$A,$A155,Data!$F:$F,"price_coal_power_usd_gj")=0,"",SUMIFS(Data!$G:$G,Data!$A:$A,$A155,Data!$F:$F,"price_coal_power_usd_gj"))</f>
        <v/>
      </c>
      <c r="M155" s="28">
        <f>IF(COUNTIFS(Data!$A:$A,$A155,Data!$F:$F,"price_gas_power_usd_gj")=0,"",SUMIFS(Data!$G:$G,Data!$A:$A,$A155,Data!$F:$F,"price_gas_power_usd_gj"))</f>
        <v/>
      </c>
      <c r="N155" s="28">
        <f>IF(COUNTIFS(Data!$A:$A,$A155,Data!$F:$F,"price_gas_industry_usd_gj")=0,"",SUMIFS(Data!$G:$G,Data!$A:$A,$A155,Data!$F:$F,"price_gas_industry_usd_gj"))</f>
        <v/>
      </c>
      <c r="O155" s="28">
        <f>IF(COUNTIFS(Data!$A:$A,$A155,Data!$F:$F,"power_market_structure")=0,"",SUMIFS(Data!$G:$G,Data!$A:$A,$A155,Data!$F:$F,"power_market_structure"))</f>
        <v/>
      </c>
      <c r="P155" s="28">
        <f>IF(COUNTIFS(Data!$A:$A,$A155,Data!$F:$F,"rise_renewable_energy_score")=0,"",SUMIFS(Data!$G:$G,Data!$A:$A,$A155,Data!$F:$F,"rise_renewable_energy_score"))</f>
        <v/>
      </c>
      <c r="Q155" s="16">
        <f>H155+I155+J155</f>
        <v/>
      </c>
      <c r="R155" s="28">
        <f>Q155/G155</f>
        <v/>
      </c>
      <c r="S155" s="28">
        <f>IF(D155&gt;0,H155/D155,0.85)</f>
        <v/>
      </c>
      <c r="T155" s="28">
        <f>IF(E155&gt;0,I155/E155,0.4)</f>
        <v/>
      </c>
      <c r="U155" s="28">
        <f>IF(D155+F155&gt;0,(H155+J155)/(D155+F155),0)</f>
        <v/>
      </c>
      <c r="V155" s="16">
        <f>K155*1000</f>
        <v/>
      </c>
      <c r="W155" s="15">
        <f>IF(O155=3,in_pt3,IF(O155=2,in_pt2,IF(O155=1,in_pt1,IF(C155="High income",in_pt_hi,in_pt_oth))))</f>
        <v/>
      </c>
      <c r="X155" s="28">
        <f>IF(Q155&gt;0,in_kappa*(in_rise_lo+(in_rise_hi-in_rise_lo)*IF(P155="",in_rise_miss,P155)/100)*(D155+F155)*MAX(U155-in_gas_rep*T155,0)/Q155,0)</f>
        <v/>
      </c>
      <c r="Y155" s="16">
        <f>IF(IF(M155="",N155,M155)="",MAX(in_sw_floor,in_sw_miss),MAX(in_sw_floor,(IF(M155="",N155,M155)*in_hr_gas-L155*in_hr_coal)/MAX(S155-T155,0.1)))</f>
        <v/>
      </c>
      <c r="Z155" s="28">
        <f>IF(C155="Low income",in_b40_li,IF(C155="Lower middle income",in_b40_lmi,IF(C155="Upper middle income",in_b40_umi,IF(C155="High income",in_b40_hi,0.03))))</f>
        <v/>
      </c>
      <c r="AA155" s="15">
        <f>(D155+F155)/G155</f>
        <v/>
      </c>
      <c r="AB155" s="28">
        <f>100*W155*R155/V155/in_phase</f>
        <v/>
      </c>
      <c r="AC155" s="29">
        <f>100*Z155*W155*R155/V155*(1-IF(W155&gt;0,MIN(in_rebate/(W155*in_res_sh*in_q40),1),1))</f>
        <v/>
      </c>
      <c r="AD155" s="28">
        <f>IF(AA155&gt;0,100*U155*(1-W155)/(in_whole_sh*V155),0)</f>
        <v/>
      </c>
      <c r="AE155" s="28">
        <f>IF(AA155&gt;0,100*MAX(U155-R155,0)/(in_whole_sh*V155),0)</f>
        <v/>
      </c>
      <c r="AF155" s="16">
        <f>IF(AB155&gt;0,in_f1/AB155,in_cap)</f>
        <v/>
      </c>
      <c r="AG155" s="16">
        <f>IF(AC155&gt;0,in_f2/AC155,in_cap)</f>
        <v/>
      </c>
      <c r="AH155" s="16">
        <f>IF(AD155&gt;0,in_f3/AD155,in_cap)</f>
        <v/>
      </c>
      <c r="AI155" s="16">
        <f>MIN(in_cap,AF155,AG155,AH155)</f>
        <v/>
      </c>
      <c r="AJ155" s="30">
        <f>100*(1-(1-X155*(1-EXP(-((AI155)+(0))/Y155)))*(1-MIN(ABS(in_elas)*W155*R155*(AI155)/V155,1)))</f>
        <v/>
      </c>
      <c r="AK155" s="17">
        <f>IF(AI155&gt;=in_cap-1E-9,"rate cap",TRIM(IF(ABS(AI155-AF155)&lt;1E-9,"F1 ","")&amp;IF(ABS(AI155-AG155)&lt;1E-9,"F2 ","")&amp;IF(ABS(AI155-AH155)&lt;1E-9,"F3","")))</f>
        <v/>
      </c>
      <c r="AL155" s="15">
        <f>100*(1-(1-X155*(1-EXP(-((MIN(in_cap,IF(AB155&gt;0,(in_f1+1)/AB155,in_cap),AG155,AH155))+(0))/Y155)))*(1-MIN(ABS(in_elas)*W155*R155*(MIN(in_cap,IF(AB155&gt;0,(in_f1+1)/AB155,in_cap),AG155,AH155))/V155,1)))-AJ155</f>
        <v/>
      </c>
      <c r="AM155" s="16">
        <f>MIN(in_cap,IF(AE155&gt;0,in_f3/AE155,in_cap))</f>
        <v/>
      </c>
      <c r="AN155" s="30">
        <f>100*(1-(1-X155*(1-EXP(-((0)+(AM155))/Y155)))*(1-MIN(ABS(in_elas)*W155*R155*(0)/V155,1)))</f>
        <v/>
      </c>
      <c r="AO155" s="17">
        <f>IF(AM155&gt;=in_cap-1E-9,"rate cap","F3")</f>
        <v/>
      </c>
      <c r="AP155" s="15">
        <f>100*(1-(1-X155*(1-EXP(-((50)+(0))/Y155)))*(1-MIN(ABS(in_elas)*W155*R155*(50)/V155,1)))</f>
        <v/>
      </c>
      <c r="AQ155" s="15">
        <f>100*(1-(1-X155*(1-EXP(-((0)+(50))/Y155)))*(1-MIN(ABS(in_elas)*W155*R155*(0)/V155,1)))</f>
        <v/>
      </c>
      <c r="AR155" s="15">
        <f>IF(AP155&gt;0,AQ155/AP155,"")</f>
        <v/>
      </c>
      <c r="AS155" s="16">
        <f>50*AB155</f>
        <v/>
      </c>
      <c r="AT155" s="30">
        <f>MAX(BM155:BW155)</f>
        <v/>
      </c>
      <c r="AU155" s="31">
        <f>AI155*(MATCH(AT155,BM155:BW155,0)-1)/10</f>
        <v/>
      </c>
      <c r="AV155" s="31">
        <f>INDEX(BB155:BL155,1,(MATCH(AT155,BM155:BW155,0)-1)+1)</f>
        <v/>
      </c>
      <c r="AW155" s="31">
        <f>AB155*AU155</f>
        <v/>
      </c>
      <c r="AX155" s="30">
        <f>AC155*AU155</f>
        <v/>
      </c>
      <c r="AY155" s="31">
        <f>AD155*AU155+AE155*AV155</f>
        <v/>
      </c>
      <c r="AZ155" s="32">
        <f>TRIM(IF(AND(AU155&gt;0,ABS(AU155-AF155)&lt;1E-6),"F1 ","")&amp;IF(AND(AU155&gt;0,ABS(AU155-AG155)&lt;1E-6),"F2 ","")&amp;IF(AY155&gt;=in_f3-1E-6,"F3 ","")&amp;IF(AV155&gt;=in_cap-1E-9,"rate cap",""))</f>
        <v/>
      </c>
      <c r="BA155" s="31">
        <f>Q155*AT155/100</f>
        <v/>
      </c>
      <c r="BB155" s="16">
        <f>MAX(0,MIN(in_cap,IF(AE155&gt;0,(in_f3-AD155*AI155*0/10)/AE155,in_cap)))</f>
        <v/>
      </c>
      <c r="BC155" s="16">
        <f>MAX(0,MIN(in_cap,IF(AE155&gt;0,(in_f3-AD155*AI155*1/10)/AE155,in_cap)))</f>
        <v/>
      </c>
      <c r="BD155" s="16">
        <f>MAX(0,MIN(in_cap,IF(AE155&gt;0,(in_f3-AD155*AI155*2/10)/AE155,in_cap)))</f>
        <v/>
      </c>
      <c r="BE155" s="16">
        <f>MAX(0,MIN(in_cap,IF(AE155&gt;0,(in_f3-AD155*AI155*3/10)/AE155,in_cap)))</f>
        <v/>
      </c>
      <c r="BF155" s="16">
        <f>MAX(0,MIN(in_cap,IF(AE155&gt;0,(in_f3-AD155*AI155*4/10)/AE155,in_cap)))</f>
        <v/>
      </c>
      <c r="BG155" s="16">
        <f>MAX(0,MIN(in_cap,IF(AE155&gt;0,(in_f3-AD155*AI155*5/10)/AE155,in_cap)))</f>
        <v/>
      </c>
      <c r="BH155" s="16">
        <f>MAX(0,MIN(in_cap,IF(AE155&gt;0,(in_f3-AD155*AI155*6/10)/AE155,in_cap)))</f>
        <v/>
      </c>
      <c r="BI155" s="16">
        <f>MAX(0,MIN(in_cap,IF(AE155&gt;0,(in_f3-AD155*AI155*7/10)/AE155,in_cap)))</f>
        <v/>
      </c>
      <c r="BJ155" s="16">
        <f>MAX(0,MIN(in_cap,IF(AE155&gt;0,(in_f3-AD155*AI155*8/10)/AE155,in_cap)))</f>
        <v/>
      </c>
      <c r="BK155" s="16">
        <f>MAX(0,MIN(in_cap,IF(AE155&gt;0,(in_f3-AD155*AI155*9/10)/AE155,in_cap)))</f>
        <v/>
      </c>
      <c r="BL155" s="16">
        <f>MAX(0,MIN(in_cap,IF(AE155&gt;0,(in_f3-AD155*AI155*10/10)/AE155,in_cap)))</f>
        <v/>
      </c>
      <c r="BM155" s="15">
        <f>100*(1-(1-X155*(1-EXP(-((AI155*0/10)+(BB155))/Y155)))*(1-MIN(ABS(in_elas)*W155*R155*(AI155*0/10)/V155,1)))</f>
        <v/>
      </c>
      <c r="BN155" s="15">
        <f>100*(1-(1-X155*(1-EXP(-((AI155*1/10)+(BC155))/Y155)))*(1-MIN(ABS(in_elas)*W155*R155*(AI155*1/10)/V155,1)))</f>
        <v/>
      </c>
      <c r="BO155" s="15">
        <f>100*(1-(1-X155*(1-EXP(-((AI155*2/10)+(BD155))/Y155)))*(1-MIN(ABS(in_elas)*W155*R155*(AI155*2/10)/V155,1)))</f>
        <v/>
      </c>
      <c r="BP155" s="15">
        <f>100*(1-(1-X155*(1-EXP(-((AI155*3/10)+(BE155))/Y155)))*(1-MIN(ABS(in_elas)*W155*R155*(AI155*3/10)/V155,1)))</f>
        <v/>
      </c>
      <c r="BQ155" s="15">
        <f>100*(1-(1-X155*(1-EXP(-((AI155*4/10)+(BF155))/Y155)))*(1-MIN(ABS(in_elas)*W155*R155*(AI155*4/10)/V155,1)))</f>
        <v/>
      </c>
      <c r="BR155" s="15">
        <f>100*(1-(1-X155*(1-EXP(-((AI155*5/10)+(BG155))/Y155)))*(1-MIN(ABS(in_elas)*W155*R155*(AI155*5/10)/V155,1)))</f>
        <v/>
      </c>
      <c r="BS155" s="15">
        <f>100*(1-(1-X155*(1-EXP(-((AI155*6/10)+(BH155))/Y155)))*(1-MIN(ABS(in_elas)*W155*R155*(AI155*6/10)/V155,1)))</f>
        <v/>
      </c>
      <c r="BT155" s="15">
        <f>100*(1-(1-X155*(1-EXP(-((AI155*7/10)+(BI155))/Y155)))*(1-MIN(ABS(in_elas)*W155*R155*(AI155*7/10)/V155,1)))</f>
        <v/>
      </c>
      <c r="BU155" s="15">
        <f>100*(1-(1-X155*(1-EXP(-((AI155*8/10)+(BJ155))/Y155)))*(1-MIN(ABS(in_elas)*W155*R155*(AI155*8/10)/V155,1)))</f>
        <v/>
      </c>
      <c r="BV155" s="15">
        <f>100*(1-(1-X155*(1-EXP(-((AI155*9/10)+(BK155))/Y155)))*(1-MIN(ABS(in_elas)*W155*R155*(AI155*9/10)/V155,1)))</f>
        <v/>
      </c>
      <c r="BW155" s="15">
        <f>100*(1-(1-X155*(1-EXP(-((AI155*10/10)+(BL155))/Y155)))*(1-MIN(ABS(in_elas)*W155*R155*(AI155*10/10)/V155,1)))</f>
        <v/>
      </c>
    </row>
    <row r="156">
      <c r="A156" s="17" t="inlineStr">
        <is>
          <t>TKM</t>
        </is>
      </c>
      <c r="B156" s="17">
        <f>INDEX(Data!$B:$B,MATCH($A156,Data!$A:$A,0))</f>
        <v/>
      </c>
      <c r="C156" s="17">
        <f>INDEX(Data!$D:$D,MATCH($A156,Data!$A:$A,0))</f>
        <v/>
      </c>
      <c r="D156" s="16">
        <f>SUMIFS(Data!$G:$G,Data!$A:$A,$A156,Data!$F:$F,"gen_coal_twh")</f>
        <v/>
      </c>
      <c r="E156" s="16">
        <f>SUMIFS(Data!$G:$G,Data!$A:$A,$A156,Data!$F:$F,"gen_gas_twh")</f>
        <v/>
      </c>
      <c r="F156" s="16">
        <f>SUMIFS(Data!$G:$G,Data!$A:$A,$A156,Data!$F:$F,"gen_oil_twh")</f>
        <v/>
      </c>
      <c r="G156" s="16">
        <f>SUMIFS(Data!$G:$G,Data!$A:$A,$A156,Data!$F:$F,"gen_total_twh")</f>
        <v/>
      </c>
      <c r="H156" s="16">
        <f>SUMIFS(Data!$G:$G,Data!$A:$A,$A156,Data!$F:$F,"em_coal_mt")</f>
        <v/>
      </c>
      <c r="I156" s="16">
        <f>SUMIFS(Data!$G:$G,Data!$A:$A,$A156,Data!$F:$F,"em_gas_mt")</f>
        <v/>
      </c>
      <c r="J156" s="16">
        <f>SUMIFS(Data!$G:$G,Data!$A:$A,$A156,Data!$F:$F,"em_oil_mt")</f>
        <v/>
      </c>
      <c r="K156" s="28">
        <f>IF(COUNTIFS(Data!$A:$A,$A156,Data!$F:$F,"price_electricity_residential_usd_kwh")=0,"",SUMIFS(Data!$G:$G,Data!$A:$A,$A156,Data!$F:$F,"price_electricity_residential_usd_kwh"))</f>
        <v/>
      </c>
      <c r="L156" s="28">
        <f>IF(COUNTIFS(Data!$A:$A,$A156,Data!$F:$F,"price_coal_power_usd_gj")=0,"",SUMIFS(Data!$G:$G,Data!$A:$A,$A156,Data!$F:$F,"price_coal_power_usd_gj"))</f>
        <v/>
      </c>
      <c r="M156" s="28">
        <f>IF(COUNTIFS(Data!$A:$A,$A156,Data!$F:$F,"price_gas_power_usd_gj")=0,"",SUMIFS(Data!$G:$G,Data!$A:$A,$A156,Data!$F:$F,"price_gas_power_usd_gj"))</f>
        <v/>
      </c>
      <c r="N156" s="28">
        <f>IF(COUNTIFS(Data!$A:$A,$A156,Data!$F:$F,"price_gas_industry_usd_gj")=0,"",SUMIFS(Data!$G:$G,Data!$A:$A,$A156,Data!$F:$F,"price_gas_industry_usd_gj"))</f>
        <v/>
      </c>
      <c r="O156" s="28">
        <f>IF(COUNTIFS(Data!$A:$A,$A156,Data!$F:$F,"power_market_structure")=0,"",SUMIFS(Data!$G:$G,Data!$A:$A,$A156,Data!$F:$F,"power_market_structure"))</f>
        <v/>
      </c>
      <c r="P156" s="28">
        <f>IF(COUNTIFS(Data!$A:$A,$A156,Data!$F:$F,"rise_renewable_energy_score")=0,"",SUMIFS(Data!$G:$G,Data!$A:$A,$A156,Data!$F:$F,"rise_renewable_energy_score"))</f>
        <v/>
      </c>
      <c r="Q156" s="16">
        <f>H156+I156+J156</f>
        <v/>
      </c>
      <c r="R156" s="28">
        <f>Q156/G156</f>
        <v/>
      </c>
      <c r="S156" s="28">
        <f>IF(D156&gt;0,H156/D156,0.85)</f>
        <v/>
      </c>
      <c r="T156" s="28">
        <f>IF(E156&gt;0,I156/E156,0.4)</f>
        <v/>
      </c>
      <c r="U156" s="28">
        <f>IF(D156+F156&gt;0,(H156+J156)/(D156+F156),0)</f>
        <v/>
      </c>
      <c r="V156" s="16">
        <f>K156*1000</f>
        <v/>
      </c>
      <c r="W156" s="15">
        <f>IF(O156=3,in_pt3,IF(O156=2,in_pt2,IF(O156=1,in_pt1,IF(C156="High income",in_pt_hi,in_pt_oth))))</f>
        <v/>
      </c>
      <c r="X156" s="28">
        <f>IF(Q156&gt;0,in_kappa*(in_rise_lo+(in_rise_hi-in_rise_lo)*IF(P156="",in_rise_miss,P156)/100)*(D156+F156)*MAX(U156-in_gas_rep*T156,0)/Q156,0)</f>
        <v/>
      </c>
      <c r="Y156" s="16">
        <f>IF(IF(M156="",N156,M156)="",MAX(in_sw_floor,in_sw_miss),MAX(in_sw_floor,(IF(M156="",N156,M156)*in_hr_gas-L156*in_hr_coal)/MAX(S156-T156,0.1)))</f>
        <v/>
      </c>
      <c r="Z156" s="28">
        <f>IF(C156="Low income",in_b40_li,IF(C156="Lower middle income",in_b40_lmi,IF(C156="Upper middle income",in_b40_umi,IF(C156="High income",in_b40_hi,0.03))))</f>
        <v/>
      </c>
      <c r="AA156" s="15">
        <f>(D156+F156)/G156</f>
        <v/>
      </c>
      <c r="AB156" s="28">
        <f>100*W156*R156/V156/in_phase</f>
        <v/>
      </c>
      <c r="AC156" s="29">
        <f>100*Z156*W156*R156/V156*(1-IF(W156&gt;0,MIN(in_rebate/(W156*in_res_sh*in_q40),1),1))</f>
        <v/>
      </c>
      <c r="AD156" s="28">
        <f>IF(AA156&gt;0,100*U156*(1-W156)/(in_whole_sh*V156),0)</f>
        <v/>
      </c>
      <c r="AE156" s="28">
        <f>IF(AA156&gt;0,100*MAX(U156-R156,0)/(in_whole_sh*V156),0)</f>
        <v/>
      </c>
      <c r="AF156" s="16">
        <f>IF(AB156&gt;0,in_f1/AB156,in_cap)</f>
        <v/>
      </c>
      <c r="AG156" s="16">
        <f>IF(AC156&gt;0,in_f2/AC156,in_cap)</f>
        <v/>
      </c>
      <c r="AH156" s="16">
        <f>IF(AD156&gt;0,in_f3/AD156,in_cap)</f>
        <v/>
      </c>
      <c r="AI156" s="16">
        <f>MIN(in_cap,AF156,AG156,AH156)</f>
        <v/>
      </c>
      <c r="AJ156" s="30">
        <f>100*(1-(1-X156*(1-EXP(-((AI156)+(0))/Y156)))*(1-MIN(ABS(in_elas)*W156*R156*(AI156)/V156,1)))</f>
        <v/>
      </c>
      <c r="AK156" s="17">
        <f>IF(AI156&gt;=in_cap-1E-9,"rate cap",TRIM(IF(ABS(AI156-AF156)&lt;1E-9,"F1 ","")&amp;IF(ABS(AI156-AG156)&lt;1E-9,"F2 ","")&amp;IF(ABS(AI156-AH156)&lt;1E-9,"F3","")))</f>
        <v/>
      </c>
      <c r="AL156" s="15">
        <f>100*(1-(1-X156*(1-EXP(-((MIN(in_cap,IF(AB156&gt;0,(in_f1+1)/AB156,in_cap),AG156,AH156))+(0))/Y156)))*(1-MIN(ABS(in_elas)*W156*R156*(MIN(in_cap,IF(AB156&gt;0,(in_f1+1)/AB156,in_cap),AG156,AH156))/V156,1)))-AJ156</f>
        <v/>
      </c>
      <c r="AM156" s="16">
        <f>MIN(in_cap,IF(AE156&gt;0,in_f3/AE156,in_cap))</f>
        <v/>
      </c>
      <c r="AN156" s="30">
        <f>100*(1-(1-X156*(1-EXP(-((0)+(AM156))/Y156)))*(1-MIN(ABS(in_elas)*W156*R156*(0)/V156,1)))</f>
        <v/>
      </c>
      <c r="AO156" s="17">
        <f>IF(AM156&gt;=in_cap-1E-9,"rate cap","F3")</f>
        <v/>
      </c>
      <c r="AP156" s="15">
        <f>100*(1-(1-X156*(1-EXP(-((50)+(0))/Y156)))*(1-MIN(ABS(in_elas)*W156*R156*(50)/V156,1)))</f>
        <v/>
      </c>
      <c r="AQ156" s="15">
        <f>100*(1-(1-X156*(1-EXP(-((0)+(50))/Y156)))*(1-MIN(ABS(in_elas)*W156*R156*(0)/V156,1)))</f>
        <v/>
      </c>
      <c r="AR156" s="15">
        <f>IF(AP156&gt;0,AQ156/AP156,"")</f>
        <v/>
      </c>
      <c r="AS156" s="16">
        <f>50*AB156</f>
        <v/>
      </c>
      <c r="AT156" s="30">
        <f>MAX(BM156:BW156)</f>
        <v/>
      </c>
      <c r="AU156" s="31">
        <f>AI156*(MATCH(AT156,BM156:BW156,0)-1)/10</f>
        <v/>
      </c>
      <c r="AV156" s="31">
        <f>INDEX(BB156:BL156,1,(MATCH(AT156,BM156:BW156,0)-1)+1)</f>
        <v/>
      </c>
      <c r="AW156" s="31">
        <f>AB156*AU156</f>
        <v/>
      </c>
      <c r="AX156" s="30">
        <f>AC156*AU156</f>
        <v/>
      </c>
      <c r="AY156" s="31">
        <f>AD156*AU156+AE156*AV156</f>
        <v/>
      </c>
      <c r="AZ156" s="32">
        <f>TRIM(IF(AND(AU156&gt;0,ABS(AU156-AF156)&lt;1E-6),"F1 ","")&amp;IF(AND(AU156&gt;0,ABS(AU156-AG156)&lt;1E-6),"F2 ","")&amp;IF(AY156&gt;=in_f3-1E-6,"F3 ","")&amp;IF(AV156&gt;=in_cap-1E-9,"rate cap",""))</f>
        <v/>
      </c>
      <c r="BA156" s="31">
        <f>Q156*AT156/100</f>
        <v/>
      </c>
      <c r="BB156" s="16">
        <f>MAX(0,MIN(in_cap,IF(AE156&gt;0,(in_f3-AD156*AI156*0/10)/AE156,in_cap)))</f>
        <v/>
      </c>
      <c r="BC156" s="16">
        <f>MAX(0,MIN(in_cap,IF(AE156&gt;0,(in_f3-AD156*AI156*1/10)/AE156,in_cap)))</f>
        <v/>
      </c>
      <c r="BD156" s="16">
        <f>MAX(0,MIN(in_cap,IF(AE156&gt;0,(in_f3-AD156*AI156*2/10)/AE156,in_cap)))</f>
        <v/>
      </c>
      <c r="BE156" s="16">
        <f>MAX(0,MIN(in_cap,IF(AE156&gt;0,(in_f3-AD156*AI156*3/10)/AE156,in_cap)))</f>
        <v/>
      </c>
      <c r="BF156" s="16">
        <f>MAX(0,MIN(in_cap,IF(AE156&gt;0,(in_f3-AD156*AI156*4/10)/AE156,in_cap)))</f>
        <v/>
      </c>
      <c r="BG156" s="16">
        <f>MAX(0,MIN(in_cap,IF(AE156&gt;0,(in_f3-AD156*AI156*5/10)/AE156,in_cap)))</f>
        <v/>
      </c>
      <c r="BH156" s="16">
        <f>MAX(0,MIN(in_cap,IF(AE156&gt;0,(in_f3-AD156*AI156*6/10)/AE156,in_cap)))</f>
        <v/>
      </c>
      <c r="BI156" s="16">
        <f>MAX(0,MIN(in_cap,IF(AE156&gt;0,(in_f3-AD156*AI156*7/10)/AE156,in_cap)))</f>
        <v/>
      </c>
      <c r="BJ156" s="16">
        <f>MAX(0,MIN(in_cap,IF(AE156&gt;0,(in_f3-AD156*AI156*8/10)/AE156,in_cap)))</f>
        <v/>
      </c>
      <c r="BK156" s="16">
        <f>MAX(0,MIN(in_cap,IF(AE156&gt;0,(in_f3-AD156*AI156*9/10)/AE156,in_cap)))</f>
        <v/>
      </c>
      <c r="BL156" s="16">
        <f>MAX(0,MIN(in_cap,IF(AE156&gt;0,(in_f3-AD156*AI156*10/10)/AE156,in_cap)))</f>
        <v/>
      </c>
      <c r="BM156" s="15">
        <f>100*(1-(1-X156*(1-EXP(-((AI156*0/10)+(BB156))/Y156)))*(1-MIN(ABS(in_elas)*W156*R156*(AI156*0/10)/V156,1)))</f>
        <v/>
      </c>
      <c r="BN156" s="15">
        <f>100*(1-(1-X156*(1-EXP(-((AI156*1/10)+(BC156))/Y156)))*(1-MIN(ABS(in_elas)*W156*R156*(AI156*1/10)/V156,1)))</f>
        <v/>
      </c>
      <c r="BO156" s="15">
        <f>100*(1-(1-X156*(1-EXP(-((AI156*2/10)+(BD156))/Y156)))*(1-MIN(ABS(in_elas)*W156*R156*(AI156*2/10)/V156,1)))</f>
        <v/>
      </c>
      <c r="BP156" s="15">
        <f>100*(1-(1-X156*(1-EXP(-((AI156*3/10)+(BE156))/Y156)))*(1-MIN(ABS(in_elas)*W156*R156*(AI156*3/10)/V156,1)))</f>
        <v/>
      </c>
      <c r="BQ156" s="15">
        <f>100*(1-(1-X156*(1-EXP(-((AI156*4/10)+(BF156))/Y156)))*(1-MIN(ABS(in_elas)*W156*R156*(AI156*4/10)/V156,1)))</f>
        <v/>
      </c>
      <c r="BR156" s="15">
        <f>100*(1-(1-X156*(1-EXP(-((AI156*5/10)+(BG156))/Y156)))*(1-MIN(ABS(in_elas)*W156*R156*(AI156*5/10)/V156,1)))</f>
        <v/>
      </c>
      <c r="BS156" s="15">
        <f>100*(1-(1-X156*(1-EXP(-((AI156*6/10)+(BH156))/Y156)))*(1-MIN(ABS(in_elas)*W156*R156*(AI156*6/10)/V156,1)))</f>
        <v/>
      </c>
      <c r="BT156" s="15">
        <f>100*(1-(1-X156*(1-EXP(-((AI156*7/10)+(BI156))/Y156)))*(1-MIN(ABS(in_elas)*W156*R156*(AI156*7/10)/V156,1)))</f>
        <v/>
      </c>
      <c r="BU156" s="15">
        <f>100*(1-(1-X156*(1-EXP(-((AI156*8/10)+(BJ156))/Y156)))*(1-MIN(ABS(in_elas)*W156*R156*(AI156*8/10)/V156,1)))</f>
        <v/>
      </c>
      <c r="BV156" s="15">
        <f>100*(1-(1-X156*(1-EXP(-((AI156*9/10)+(BK156))/Y156)))*(1-MIN(ABS(in_elas)*W156*R156*(AI156*9/10)/V156,1)))</f>
        <v/>
      </c>
      <c r="BW156" s="15">
        <f>100*(1-(1-X156*(1-EXP(-((AI156*10/10)+(BL156))/Y156)))*(1-MIN(ABS(in_elas)*W156*R156*(AI156*10/10)/V156,1)))</f>
        <v/>
      </c>
    </row>
    <row r="157">
      <c r="A157" s="17" t="inlineStr">
        <is>
          <t>TON</t>
        </is>
      </c>
      <c r="B157" s="17">
        <f>INDEX(Data!$B:$B,MATCH($A157,Data!$A:$A,0))</f>
        <v/>
      </c>
      <c r="C157" s="17">
        <f>INDEX(Data!$D:$D,MATCH($A157,Data!$A:$A,0))</f>
        <v/>
      </c>
      <c r="D157" s="16">
        <f>SUMIFS(Data!$G:$G,Data!$A:$A,$A157,Data!$F:$F,"gen_coal_twh")</f>
        <v/>
      </c>
      <c r="E157" s="16">
        <f>SUMIFS(Data!$G:$G,Data!$A:$A,$A157,Data!$F:$F,"gen_gas_twh")</f>
        <v/>
      </c>
      <c r="F157" s="16">
        <f>SUMIFS(Data!$G:$G,Data!$A:$A,$A157,Data!$F:$F,"gen_oil_twh")</f>
        <v/>
      </c>
      <c r="G157" s="16">
        <f>SUMIFS(Data!$G:$G,Data!$A:$A,$A157,Data!$F:$F,"gen_total_twh")</f>
        <v/>
      </c>
      <c r="H157" s="16">
        <f>SUMIFS(Data!$G:$G,Data!$A:$A,$A157,Data!$F:$F,"em_coal_mt")</f>
        <v/>
      </c>
      <c r="I157" s="16">
        <f>SUMIFS(Data!$G:$G,Data!$A:$A,$A157,Data!$F:$F,"em_gas_mt")</f>
        <v/>
      </c>
      <c r="J157" s="16">
        <f>SUMIFS(Data!$G:$G,Data!$A:$A,$A157,Data!$F:$F,"em_oil_mt")</f>
        <v/>
      </c>
      <c r="K157" s="28">
        <f>IF(COUNTIFS(Data!$A:$A,$A157,Data!$F:$F,"price_electricity_residential_usd_kwh")=0,"",SUMIFS(Data!$G:$G,Data!$A:$A,$A157,Data!$F:$F,"price_electricity_residential_usd_kwh"))</f>
        <v/>
      </c>
      <c r="L157" s="28">
        <f>IF(COUNTIFS(Data!$A:$A,$A157,Data!$F:$F,"price_coal_power_usd_gj")=0,"",SUMIFS(Data!$G:$G,Data!$A:$A,$A157,Data!$F:$F,"price_coal_power_usd_gj"))</f>
        <v/>
      </c>
      <c r="M157" s="28">
        <f>IF(COUNTIFS(Data!$A:$A,$A157,Data!$F:$F,"price_gas_power_usd_gj")=0,"",SUMIFS(Data!$G:$G,Data!$A:$A,$A157,Data!$F:$F,"price_gas_power_usd_gj"))</f>
        <v/>
      </c>
      <c r="N157" s="28">
        <f>IF(COUNTIFS(Data!$A:$A,$A157,Data!$F:$F,"price_gas_industry_usd_gj")=0,"",SUMIFS(Data!$G:$G,Data!$A:$A,$A157,Data!$F:$F,"price_gas_industry_usd_gj"))</f>
        <v/>
      </c>
      <c r="O157" s="28">
        <f>IF(COUNTIFS(Data!$A:$A,$A157,Data!$F:$F,"power_market_structure")=0,"",SUMIFS(Data!$G:$G,Data!$A:$A,$A157,Data!$F:$F,"power_market_structure"))</f>
        <v/>
      </c>
      <c r="P157" s="28">
        <f>IF(COUNTIFS(Data!$A:$A,$A157,Data!$F:$F,"rise_renewable_energy_score")=0,"",SUMIFS(Data!$G:$G,Data!$A:$A,$A157,Data!$F:$F,"rise_renewable_energy_score"))</f>
        <v/>
      </c>
      <c r="Q157" s="16">
        <f>H157+I157+J157</f>
        <v/>
      </c>
      <c r="R157" s="28">
        <f>Q157/G157</f>
        <v/>
      </c>
      <c r="S157" s="28">
        <f>IF(D157&gt;0,H157/D157,0.85)</f>
        <v/>
      </c>
      <c r="T157" s="28">
        <f>IF(E157&gt;0,I157/E157,0.4)</f>
        <v/>
      </c>
      <c r="U157" s="28">
        <f>IF(D157+F157&gt;0,(H157+J157)/(D157+F157),0)</f>
        <v/>
      </c>
      <c r="V157" s="16">
        <f>K157*1000</f>
        <v/>
      </c>
      <c r="W157" s="15">
        <f>IF(O157=3,in_pt3,IF(O157=2,in_pt2,IF(O157=1,in_pt1,IF(C157="High income",in_pt_hi,in_pt_oth))))</f>
        <v/>
      </c>
      <c r="X157" s="28">
        <f>IF(Q157&gt;0,in_kappa*(in_rise_lo+(in_rise_hi-in_rise_lo)*IF(P157="",in_rise_miss,P157)/100)*(D157+F157)*MAX(U157-in_gas_rep*T157,0)/Q157,0)</f>
        <v/>
      </c>
      <c r="Y157" s="16">
        <f>IF(IF(M157="",N157,M157)="",MAX(in_sw_floor,in_sw_miss),MAX(in_sw_floor,(IF(M157="",N157,M157)*in_hr_gas-L157*in_hr_coal)/MAX(S157-T157,0.1)))</f>
        <v/>
      </c>
      <c r="Z157" s="28">
        <f>IF(C157="Low income",in_b40_li,IF(C157="Lower middle income",in_b40_lmi,IF(C157="Upper middle income",in_b40_umi,IF(C157="High income",in_b40_hi,0.03))))</f>
        <v/>
      </c>
      <c r="AA157" s="15">
        <f>(D157+F157)/G157</f>
        <v/>
      </c>
      <c r="AB157" s="28">
        <f>100*W157*R157/V157/in_phase</f>
        <v/>
      </c>
      <c r="AC157" s="29">
        <f>100*Z157*W157*R157/V157*(1-IF(W157&gt;0,MIN(in_rebate/(W157*in_res_sh*in_q40),1),1))</f>
        <v/>
      </c>
      <c r="AD157" s="28">
        <f>IF(AA157&gt;0,100*U157*(1-W157)/(in_whole_sh*V157),0)</f>
        <v/>
      </c>
      <c r="AE157" s="28">
        <f>IF(AA157&gt;0,100*MAX(U157-R157,0)/(in_whole_sh*V157),0)</f>
        <v/>
      </c>
      <c r="AF157" s="16">
        <f>IF(AB157&gt;0,in_f1/AB157,in_cap)</f>
        <v/>
      </c>
      <c r="AG157" s="16">
        <f>IF(AC157&gt;0,in_f2/AC157,in_cap)</f>
        <v/>
      </c>
      <c r="AH157" s="16">
        <f>IF(AD157&gt;0,in_f3/AD157,in_cap)</f>
        <v/>
      </c>
      <c r="AI157" s="16">
        <f>MIN(in_cap,AF157,AG157,AH157)</f>
        <v/>
      </c>
      <c r="AJ157" s="30">
        <f>100*(1-(1-X157*(1-EXP(-((AI157)+(0))/Y157)))*(1-MIN(ABS(in_elas)*W157*R157*(AI157)/V157,1)))</f>
        <v/>
      </c>
      <c r="AK157" s="17">
        <f>IF(AI157&gt;=in_cap-1E-9,"rate cap",TRIM(IF(ABS(AI157-AF157)&lt;1E-9,"F1 ","")&amp;IF(ABS(AI157-AG157)&lt;1E-9,"F2 ","")&amp;IF(ABS(AI157-AH157)&lt;1E-9,"F3","")))</f>
        <v/>
      </c>
      <c r="AL157" s="15">
        <f>100*(1-(1-X157*(1-EXP(-((MIN(in_cap,IF(AB157&gt;0,(in_f1+1)/AB157,in_cap),AG157,AH157))+(0))/Y157)))*(1-MIN(ABS(in_elas)*W157*R157*(MIN(in_cap,IF(AB157&gt;0,(in_f1+1)/AB157,in_cap),AG157,AH157))/V157,1)))-AJ157</f>
        <v/>
      </c>
      <c r="AM157" s="16">
        <f>MIN(in_cap,IF(AE157&gt;0,in_f3/AE157,in_cap))</f>
        <v/>
      </c>
      <c r="AN157" s="30">
        <f>100*(1-(1-X157*(1-EXP(-((0)+(AM157))/Y157)))*(1-MIN(ABS(in_elas)*W157*R157*(0)/V157,1)))</f>
        <v/>
      </c>
      <c r="AO157" s="17">
        <f>IF(AM157&gt;=in_cap-1E-9,"rate cap","F3")</f>
        <v/>
      </c>
      <c r="AP157" s="15">
        <f>100*(1-(1-X157*(1-EXP(-((50)+(0))/Y157)))*(1-MIN(ABS(in_elas)*W157*R157*(50)/V157,1)))</f>
        <v/>
      </c>
      <c r="AQ157" s="15">
        <f>100*(1-(1-X157*(1-EXP(-((0)+(50))/Y157)))*(1-MIN(ABS(in_elas)*W157*R157*(0)/V157,1)))</f>
        <v/>
      </c>
      <c r="AR157" s="15">
        <f>IF(AP157&gt;0,AQ157/AP157,"")</f>
        <v/>
      </c>
      <c r="AS157" s="16">
        <f>50*AB157</f>
        <v/>
      </c>
      <c r="AT157" s="30">
        <f>MAX(BM157:BW157)</f>
        <v/>
      </c>
      <c r="AU157" s="31">
        <f>AI157*(MATCH(AT157,BM157:BW157,0)-1)/10</f>
        <v/>
      </c>
      <c r="AV157" s="31">
        <f>INDEX(BB157:BL157,1,(MATCH(AT157,BM157:BW157,0)-1)+1)</f>
        <v/>
      </c>
      <c r="AW157" s="31">
        <f>AB157*AU157</f>
        <v/>
      </c>
      <c r="AX157" s="30">
        <f>AC157*AU157</f>
        <v/>
      </c>
      <c r="AY157" s="31">
        <f>AD157*AU157+AE157*AV157</f>
        <v/>
      </c>
      <c r="AZ157" s="32">
        <f>TRIM(IF(AND(AU157&gt;0,ABS(AU157-AF157)&lt;1E-6),"F1 ","")&amp;IF(AND(AU157&gt;0,ABS(AU157-AG157)&lt;1E-6),"F2 ","")&amp;IF(AY157&gt;=in_f3-1E-6,"F3 ","")&amp;IF(AV157&gt;=in_cap-1E-9,"rate cap",""))</f>
        <v/>
      </c>
      <c r="BA157" s="31">
        <f>Q157*AT157/100</f>
        <v/>
      </c>
      <c r="BB157" s="16">
        <f>MAX(0,MIN(in_cap,IF(AE157&gt;0,(in_f3-AD157*AI157*0/10)/AE157,in_cap)))</f>
        <v/>
      </c>
      <c r="BC157" s="16">
        <f>MAX(0,MIN(in_cap,IF(AE157&gt;0,(in_f3-AD157*AI157*1/10)/AE157,in_cap)))</f>
        <v/>
      </c>
      <c r="BD157" s="16">
        <f>MAX(0,MIN(in_cap,IF(AE157&gt;0,(in_f3-AD157*AI157*2/10)/AE157,in_cap)))</f>
        <v/>
      </c>
      <c r="BE157" s="16">
        <f>MAX(0,MIN(in_cap,IF(AE157&gt;0,(in_f3-AD157*AI157*3/10)/AE157,in_cap)))</f>
        <v/>
      </c>
      <c r="BF157" s="16">
        <f>MAX(0,MIN(in_cap,IF(AE157&gt;0,(in_f3-AD157*AI157*4/10)/AE157,in_cap)))</f>
        <v/>
      </c>
      <c r="BG157" s="16">
        <f>MAX(0,MIN(in_cap,IF(AE157&gt;0,(in_f3-AD157*AI157*5/10)/AE157,in_cap)))</f>
        <v/>
      </c>
      <c r="BH157" s="16">
        <f>MAX(0,MIN(in_cap,IF(AE157&gt;0,(in_f3-AD157*AI157*6/10)/AE157,in_cap)))</f>
        <v/>
      </c>
      <c r="BI157" s="16">
        <f>MAX(0,MIN(in_cap,IF(AE157&gt;0,(in_f3-AD157*AI157*7/10)/AE157,in_cap)))</f>
        <v/>
      </c>
      <c r="BJ157" s="16">
        <f>MAX(0,MIN(in_cap,IF(AE157&gt;0,(in_f3-AD157*AI157*8/10)/AE157,in_cap)))</f>
        <v/>
      </c>
      <c r="BK157" s="16">
        <f>MAX(0,MIN(in_cap,IF(AE157&gt;0,(in_f3-AD157*AI157*9/10)/AE157,in_cap)))</f>
        <v/>
      </c>
      <c r="BL157" s="16">
        <f>MAX(0,MIN(in_cap,IF(AE157&gt;0,(in_f3-AD157*AI157*10/10)/AE157,in_cap)))</f>
        <v/>
      </c>
      <c r="BM157" s="15">
        <f>100*(1-(1-X157*(1-EXP(-((AI157*0/10)+(BB157))/Y157)))*(1-MIN(ABS(in_elas)*W157*R157*(AI157*0/10)/V157,1)))</f>
        <v/>
      </c>
      <c r="BN157" s="15">
        <f>100*(1-(1-X157*(1-EXP(-((AI157*1/10)+(BC157))/Y157)))*(1-MIN(ABS(in_elas)*W157*R157*(AI157*1/10)/V157,1)))</f>
        <v/>
      </c>
      <c r="BO157" s="15">
        <f>100*(1-(1-X157*(1-EXP(-((AI157*2/10)+(BD157))/Y157)))*(1-MIN(ABS(in_elas)*W157*R157*(AI157*2/10)/V157,1)))</f>
        <v/>
      </c>
      <c r="BP157" s="15">
        <f>100*(1-(1-X157*(1-EXP(-((AI157*3/10)+(BE157))/Y157)))*(1-MIN(ABS(in_elas)*W157*R157*(AI157*3/10)/V157,1)))</f>
        <v/>
      </c>
      <c r="BQ157" s="15">
        <f>100*(1-(1-X157*(1-EXP(-((AI157*4/10)+(BF157))/Y157)))*(1-MIN(ABS(in_elas)*W157*R157*(AI157*4/10)/V157,1)))</f>
        <v/>
      </c>
      <c r="BR157" s="15">
        <f>100*(1-(1-X157*(1-EXP(-((AI157*5/10)+(BG157))/Y157)))*(1-MIN(ABS(in_elas)*W157*R157*(AI157*5/10)/V157,1)))</f>
        <v/>
      </c>
      <c r="BS157" s="15">
        <f>100*(1-(1-X157*(1-EXP(-((AI157*6/10)+(BH157))/Y157)))*(1-MIN(ABS(in_elas)*W157*R157*(AI157*6/10)/V157,1)))</f>
        <v/>
      </c>
      <c r="BT157" s="15">
        <f>100*(1-(1-X157*(1-EXP(-((AI157*7/10)+(BI157))/Y157)))*(1-MIN(ABS(in_elas)*W157*R157*(AI157*7/10)/V157,1)))</f>
        <v/>
      </c>
      <c r="BU157" s="15">
        <f>100*(1-(1-X157*(1-EXP(-((AI157*8/10)+(BJ157))/Y157)))*(1-MIN(ABS(in_elas)*W157*R157*(AI157*8/10)/V157,1)))</f>
        <v/>
      </c>
      <c r="BV157" s="15">
        <f>100*(1-(1-X157*(1-EXP(-((AI157*9/10)+(BK157))/Y157)))*(1-MIN(ABS(in_elas)*W157*R157*(AI157*9/10)/V157,1)))</f>
        <v/>
      </c>
      <c r="BW157" s="15">
        <f>100*(1-(1-X157*(1-EXP(-((AI157*10/10)+(BL157))/Y157)))*(1-MIN(ABS(in_elas)*W157*R157*(AI157*10/10)/V157,1)))</f>
        <v/>
      </c>
    </row>
    <row r="158">
      <c r="A158" s="17" t="inlineStr">
        <is>
          <t>TTO</t>
        </is>
      </c>
      <c r="B158" s="17">
        <f>INDEX(Data!$B:$B,MATCH($A158,Data!$A:$A,0))</f>
        <v/>
      </c>
      <c r="C158" s="17">
        <f>INDEX(Data!$D:$D,MATCH($A158,Data!$A:$A,0))</f>
        <v/>
      </c>
      <c r="D158" s="16">
        <f>SUMIFS(Data!$G:$G,Data!$A:$A,$A158,Data!$F:$F,"gen_coal_twh")</f>
        <v/>
      </c>
      <c r="E158" s="16">
        <f>SUMIFS(Data!$G:$G,Data!$A:$A,$A158,Data!$F:$F,"gen_gas_twh")</f>
        <v/>
      </c>
      <c r="F158" s="16">
        <f>SUMIFS(Data!$G:$G,Data!$A:$A,$A158,Data!$F:$F,"gen_oil_twh")</f>
        <v/>
      </c>
      <c r="G158" s="16">
        <f>SUMIFS(Data!$G:$G,Data!$A:$A,$A158,Data!$F:$F,"gen_total_twh")</f>
        <v/>
      </c>
      <c r="H158" s="16">
        <f>SUMIFS(Data!$G:$G,Data!$A:$A,$A158,Data!$F:$F,"em_coal_mt")</f>
        <v/>
      </c>
      <c r="I158" s="16">
        <f>SUMIFS(Data!$G:$G,Data!$A:$A,$A158,Data!$F:$F,"em_gas_mt")</f>
        <v/>
      </c>
      <c r="J158" s="16">
        <f>SUMIFS(Data!$G:$G,Data!$A:$A,$A158,Data!$F:$F,"em_oil_mt")</f>
        <v/>
      </c>
      <c r="K158" s="28">
        <f>IF(COUNTIFS(Data!$A:$A,$A158,Data!$F:$F,"price_electricity_residential_usd_kwh")=0,"",SUMIFS(Data!$G:$G,Data!$A:$A,$A158,Data!$F:$F,"price_electricity_residential_usd_kwh"))</f>
        <v/>
      </c>
      <c r="L158" s="28">
        <f>IF(COUNTIFS(Data!$A:$A,$A158,Data!$F:$F,"price_coal_power_usd_gj")=0,"",SUMIFS(Data!$G:$G,Data!$A:$A,$A158,Data!$F:$F,"price_coal_power_usd_gj"))</f>
        <v/>
      </c>
      <c r="M158" s="28">
        <f>IF(COUNTIFS(Data!$A:$A,$A158,Data!$F:$F,"price_gas_power_usd_gj")=0,"",SUMIFS(Data!$G:$G,Data!$A:$A,$A158,Data!$F:$F,"price_gas_power_usd_gj"))</f>
        <v/>
      </c>
      <c r="N158" s="28">
        <f>IF(COUNTIFS(Data!$A:$A,$A158,Data!$F:$F,"price_gas_industry_usd_gj")=0,"",SUMIFS(Data!$G:$G,Data!$A:$A,$A158,Data!$F:$F,"price_gas_industry_usd_gj"))</f>
        <v/>
      </c>
      <c r="O158" s="28">
        <f>IF(COUNTIFS(Data!$A:$A,$A158,Data!$F:$F,"power_market_structure")=0,"",SUMIFS(Data!$G:$G,Data!$A:$A,$A158,Data!$F:$F,"power_market_structure"))</f>
        <v/>
      </c>
      <c r="P158" s="28">
        <f>IF(COUNTIFS(Data!$A:$A,$A158,Data!$F:$F,"rise_renewable_energy_score")=0,"",SUMIFS(Data!$G:$G,Data!$A:$A,$A158,Data!$F:$F,"rise_renewable_energy_score"))</f>
        <v/>
      </c>
      <c r="Q158" s="16">
        <f>H158+I158+J158</f>
        <v/>
      </c>
      <c r="R158" s="28">
        <f>Q158/G158</f>
        <v/>
      </c>
      <c r="S158" s="28">
        <f>IF(D158&gt;0,H158/D158,0.85)</f>
        <v/>
      </c>
      <c r="T158" s="28">
        <f>IF(E158&gt;0,I158/E158,0.4)</f>
        <v/>
      </c>
      <c r="U158" s="28">
        <f>IF(D158+F158&gt;0,(H158+J158)/(D158+F158),0)</f>
        <v/>
      </c>
      <c r="V158" s="16">
        <f>K158*1000</f>
        <v/>
      </c>
      <c r="W158" s="15">
        <f>IF(O158=3,in_pt3,IF(O158=2,in_pt2,IF(O158=1,in_pt1,IF(C158="High income",in_pt_hi,in_pt_oth))))</f>
        <v/>
      </c>
      <c r="X158" s="28">
        <f>IF(Q158&gt;0,in_kappa*(in_rise_lo+(in_rise_hi-in_rise_lo)*IF(P158="",in_rise_miss,P158)/100)*(D158+F158)*MAX(U158-in_gas_rep*T158,0)/Q158,0)</f>
        <v/>
      </c>
      <c r="Y158" s="16">
        <f>IF(IF(M158="",N158,M158)="",MAX(in_sw_floor,in_sw_miss),MAX(in_sw_floor,(IF(M158="",N158,M158)*in_hr_gas-L158*in_hr_coal)/MAX(S158-T158,0.1)))</f>
        <v/>
      </c>
      <c r="Z158" s="28">
        <f>IF(C158="Low income",in_b40_li,IF(C158="Lower middle income",in_b40_lmi,IF(C158="Upper middle income",in_b40_umi,IF(C158="High income",in_b40_hi,0.03))))</f>
        <v/>
      </c>
      <c r="AA158" s="15">
        <f>(D158+F158)/G158</f>
        <v/>
      </c>
      <c r="AB158" s="28">
        <f>100*W158*R158/V158/in_phase</f>
        <v/>
      </c>
      <c r="AC158" s="29">
        <f>100*Z158*W158*R158/V158*(1-IF(W158&gt;0,MIN(in_rebate/(W158*in_res_sh*in_q40),1),1))</f>
        <v/>
      </c>
      <c r="AD158" s="28">
        <f>IF(AA158&gt;0,100*U158*(1-W158)/(in_whole_sh*V158),0)</f>
        <v/>
      </c>
      <c r="AE158" s="28">
        <f>IF(AA158&gt;0,100*MAX(U158-R158,0)/(in_whole_sh*V158),0)</f>
        <v/>
      </c>
      <c r="AF158" s="16">
        <f>IF(AB158&gt;0,in_f1/AB158,in_cap)</f>
        <v/>
      </c>
      <c r="AG158" s="16">
        <f>IF(AC158&gt;0,in_f2/AC158,in_cap)</f>
        <v/>
      </c>
      <c r="AH158" s="16">
        <f>IF(AD158&gt;0,in_f3/AD158,in_cap)</f>
        <v/>
      </c>
      <c r="AI158" s="16">
        <f>MIN(in_cap,AF158,AG158,AH158)</f>
        <v/>
      </c>
      <c r="AJ158" s="30">
        <f>100*(1-(1-X158*(1-EXP(-((AI158)+(0))/Y158)))*(1-MIN(ABS(in_elas)*W158*R158*(AI158)/V158,1)))</f>
        <v/>
      </c>
      <c r="AK158" s="17">
        <f>IF(AI158&gt;=in_cap-1E-9,"rate cap",TRIM(IF(ABS(AI158-AF158)&lt;1E-9,"F1 ","")&amp;IF(ABS(AI158-AG158)&lt;1E-9,"F2 ","")&amp;IF(ABS(AI158-AH158)&lt;1E-9,"F3","")))</f>
        <v/>
      </c>
      <c r="AL158" s="15">
        <f>100*(1-(1-X158*(1-EXP(-((MIN(in_cap,IF(AB158&gt;0,(in_f1+1)/AB158,in_cap),AG158,AH158))+(0))/Y158)))*(1-MIN(ABS(in_elas)*W158*R158*(MIN(in_cap,IF(AB158&gt;0,(in_f1+1)/AB158,in_cap),AG158,AH158))/V158,1)))-AJ158</f>
        <v/>
      </c>
      <c r="AM158" s="16">
        <f>MIN(in_cap,IF(AE158&gt;0,in_f3/AE158,in_cap))</f>
        <v/>
      </c>
      <c r="AN158" s="30">
        <f>100*(1-(1-X158*(1-EXP(-((0)+(AM158))/Y158)))*(1-MIN(ABS(in_elas)*W158*R158*(0)/V158,1)))</f>
        <v/>
      </c>
      <c r="AO158" s="17">
        <f>IF(AM158&gt;=in_cap-1E-9,"rate cap","F3")</f>
        <v/>
      </c>
      <c r="AP158" s="15">
        <f>100*(1-(1-X158*(1-EXP(-((50)+(0))/Y158)))*(1-MIN(ABS(in_elas)*W158*R158*(50)/V158,1)))</f>
        <v/>
      </c>
      <c r="AQ158" s="15">
        <f>100*(1-(1-X158*(1-EXP(-((0)+(50))/Y158)))*(1-MIN(ABS(in_elas)*W158*R158*(0)/V158,1)))</f>
        <v/>
      </c>
      <c r="AR158" s="15">
        <f>IF(AP158&gt;0,AQ158/AP158,"")</f>
        <v/>
      </c>
      <c r="AS158" s="16">
        <f>50*AB158</f>
        <v/>
      </c>
      <c r="AT158" s="30">
        <f>MAX(BM158:BW158)</f>
        <v/>
      </c>
      <c r="AU158" s="31">
        <f>AI158*(MATCH(AT158,BM158:BW158,0)-1)/10</f>
        <v/>
      </c>
      <c r="AV158" s="31">
        <f>INDEX(BB158:BL158,1,(MATCH(AT158,BM158:BW158,0)-1)+1)</f>
        <v/>
      </c>
      <c r="AW158" s="31">
        <f>AB158*AU158</f>
        <v/>
      </c>
      <c r="AX158" s="30">
        <f>AC158*AU158</f>
        <v/>
      </c>
      <c r="AY158" s="31">
        <f>AD158*AU158+AE158*AV158</f>
        <v/>
      </c>
      <c r="AZ158" s="32">
        <f>TRIM(IF(AND(AU158&gt;0,ABS(AU158-AF158)&lt;1E-6),"F1 ","")&amp;IF(AND(AU158&gt;0,ABS(AU158-AG158)&lt;1E-6),"F2 ","")&amp;IF(AY158&gt;=in_f3-1E-6,"F3 ","")&amp;IF(AV158&gt;=in_cap-1E-9,"rate cap",""))</f>
        <v/>
      </c>
      <c r="BA158" s="31">
        <f>Q158*AT158/100</f>
        <v/>
      </c>
      <c r="BB158" s="16">
        <f>MAX(0,MIN(in_cap,IF(AE158&gt;0,(in_f3-AD158*AI158*0/10)/AE158,in_cap)))</f>
        <v/>
      </c>
      <c r="BC158" s="16">
        <f>MAX(0,MIN(in_cap,IF(AE158&gt;0,(in_f3-AD158*AI158*1/10)/AE158,in_cap)))</f>
        <v/>
      </c>
      <c r="BD158" s="16">
        <f>MAX(0,MIN(in_cap,IF(AE158&gt;0,(in_f3-AD158*AI158*2/10)/AE158,in_cap)))</f>
        <v/>
      </c>
      <c r="BE158" s="16">
        <f>MAX(0,MIN(in_cap,IF(AE158&gt;0,(in_f3-AD158*AI158*3/10)/AE158,in_cap)))</f>
        <v/>
      </c>
      <c r="BF158" s="16">
        <f>MAX(0,MIN(in_cap,IF(AE158&gt;0,(in_f3-AD158*AI158*4/10)/AE158,in_cap)))</f>
        <v/>
      </c>
      <c r="BG158" s="16">
        <f>MAX(0,MIN(in_cap,IF(AE158&gt;0,(in_f3-AD158*AI158*5/10)/AE158,in_cap)))</f>
        <v/>
      </c>
      <c r="BH158" s="16">
        <f>MAX(0,MIN(in_cap,IF(AE158&gt;0,(in_f3-AD158*AI158*6/10)/AE158,in_cap)))</f>
        <v/>
      </c>
      <c r="BI158" s="16">
        <f>MAX(0,MIN(in_cap,IF(AE158&gt;0,(in_f3-AD158*AI158*7/10)/AE158,in_cap)))</f>
        <v/>
      </c>
      <c r="BJ158" s="16">
        <f>MAX(0,MIN(in_cap,IF(AE158&gt;0,(in_f3-AD158*AI158*8/10)/AE158,in_cap)))</f>
        <v/>
      </c>
      <c r="BK158" s="16">
        <f>MAX(0,MIN(in_cap,IF(AE158&gt;0,(in_f3-AD158*AI158*9/10)/AE158,in_cap)))</f>
        <v/>
      </c>
      <c r="BL158" s="16">
        <f>MAX(0,MIN(in_cap,IF(AE158&gt;0,(in_f3-AD158*AI158*10/10)/AE158,in_cap)))</f>
        <v/>
      </c>
      <c r="BM158" s="15">
        <f>100*(1-(1-X158*(1-EXP(-((AI158*0/10)+(BB158))/Y158)))*(1-MIN(ABS(in_elas)*W158*R158*(AI158*0/10)/V158,1)))</f>
        <v/>
      </c>
      <c r="BN158" s="15">
        <f>100*(1-(1-X158*(1-EXP(-((AI158*1/10)+(BC158))/Y158)))*(1-MIN(ABS(in_elas)*W158*R158*(AI158*1/10)/V158,1)))</f>
        <v/>
      </c>
      <c r="BO158" s="15">
        <f>100*(1-(1-X158*(1-EXP(-((AI158*2/10)+(BD158))/Y158)))*(1-MIN(ABS(in_elas)*W158*R158*(AI158*2/10)/V158,1)))</f>
        <v/>
      </c>
      <c r="BP158" s="15">
        <f>100*(1-(1-X158*(1-EXP(-((AI158*3/10)+(BE158))/Y158)))*(1-MIN(ABS(in_elas)*W158*R158*(AI158*3/10)/V158,1)))</f>
        <v/>
      </c>
      <c r="BQ158" s="15">
        <f>100*(1-(1-X158*(1-EXP(-((AI158*4/10)+(BF158))/Y158)))*(1-MIN(ABS(in_elas)*W158*R158*(AI158*4/10)/V158,1)))</f>
        <v/>
      </c>
      <c r="BR158" s="15">
        <f>100*(1-(1-X158*(1-EXP(-((AI158*5/10)+(BG158))/Y158)))*(1-MIN(ABS(in_elas)*W158*R158*(AI158*5/10)/V158,1)))</f>
        <v/>
      </c>
      <c r="BS158" s="15">
        <f>100*(1-(1-X158*(1-EXP(-((AI158*6/10)+(BH158))/Y158)))*(1-MIN(ABS(in_elas)*W158*R158*(AI158*6/10)/V158,1)))</f>
        <v/>
      </c>
      <c r="BT158" s="15">
        <f>100*(1-(1-X158*(1-EXP(-((AI158*7/10)+(BI158))/Y158)))*(1-MIN(ABS(in_elas)*W158*R158*(AI158*7/10)/V158,1)))</f>
        <v/>
      </c>
      <c r="BU158" s="15">
        <f>100*(1-(1-X158*(1-EXP(-((AI158*8/10)+(BJ158))/Y158)))*(1-MIN(ABS(in_elas)*W158*R158*(AI158*8/10)/V158,1)))</f>
        <v/>
      </c>
      <c r="BV158" s="15">
        <f>100*(1-(1-X158*(1-EXP(-((AI158*9/10)+(BK158))/Y158)))*(1-MIN(ABS(in_elas)*W158*R158*(AI158*9/10)/V158,1)))</f>
        <v/>
      </c>
      <c r="BW158" s="15">
        <f>100*(1-(1-X158*(1-EXP(-((AI158*10/10)+(BL158))/Y158)))*(1-MIN(ABS(in_elas)*W158*R158*(AI158*10/10)/V158,1)))</f>
        <v/>
      </c>
    </row>
    <row r="159">
      <c r="A159" s="17" t="inlineStr">
        <is>
          <t>TUN</t>
        </is>
      </c>
      <c r="B159" s="17">
        <f>INDEX(Data!$B:$B,MATCH($A159,Data!$A:$A,0))</f>
        <v/>
      </c>
      <c r="C159" s="17">
        <f>INDEX(Data!$D:$D,MATCH($A159,Data!$A:$A,0))</f>
        <v/>
      </c>
      <c r="D159" s="16">
        <f>SUMIFS(Data!$G:$G,Data!$A:$A,$A159,Data!$F:$F,"gen_coal_twh")</f>
        <v/>
      </c>
      <c r="E159" s="16">
        <f>SUMIFS(Data!$G:$G,Data!$A:$A,$A159,Data!$F:$F,"gen_gas_twh")</f>
        <v/>
      </c>
      <c r="F159" s="16">
        <f>SUMIFS(Data!$G:$G,Data!$A:$A,$A159,Data!$F:$F,"gen_oil_twh")</f>
        <v/>
      </c>
      <c r="G159" s="16">
        <f>SUMIFS(Data!$G:$G,Data!$A:$A,$A159,Data!$F:$F,"gen_total_twh")</f>
        <v/>
      </c>
      <c r="H159" s="16">
        <f>SUMIFS(Data!$G:$G,Data!$A:$A,$A159,Data!$F:$F,"em_coal_mt")</f>
        <v/>
      </c>
      <c r="I159" s="16">
        <f>SUMIFS(Data!$G:$G,Data!$A:$A,$A159,Data!$F:$F,"em_gas_mt")</f>
        <v/>
      </c>
      <c r="J159" s="16">
        <f>SUMIFS(Data!$G:$G,Data!$A:$A,$A159,Data!$F:$F,"em_oil_mt")</f>
        <v/>
      </c>
      <c r="K159" s="28">
        <f>IF(COUNTIFS(Data!$A:$A,$A159,Data!$F:$F,"price_electricity_residential_usd_kwh")=0,"",SUMIFS(Data!$G:$G,Data!$A:$A,$A159,Data!$F:$F,"price_electricity_residential_usd_kwh"))</f>
        <v/>
      </c>
      <c r="L159" s="28">
        <f>IF(COUNTIFS(Data!$A:$A,$A159,Data!$F:$F,"price_coal_power_usd_gj")=0,"",SUMIFS(Data!$G:$G,Data!$A:$A,$A159,Data!$F:$F,"price_coal_power_usd_gj"))</f>
        <v/>
      </c>
      <c r="M159" s="28">
        <f>IF(COUNTIFS(Data!$A:$A,$A159,Data!$F:$F,"price_gas_power_usd_gj")=0,"",SUMIFS(Data!$G:$G,Data!$A:$A,$A159,Data!$F:$F,"price_gas_power_usd_gj"))</f>
        <v/>
      </c>
      <c r="N159" s="28">
        <f>IF(COUNTIFS(Data!$A:$A,$A159,Data!$F:$F,"price_gas_industry_usd_gj")=0,"",SUMIFS(Data!$G:$G,Data!$A:$A,$A159,Data!$F:$F,"price_gas_industry_usd_gj"))</f>
        <v/>
      </c>
      <c r="O159" s="28">
        <f>IF(COUNTIFS(Data!$A:$A,$A159,Data!$F:$F,"power_market_structure")=0,"",SUMIFS(Data!$G:$G,Data!$A:$A,$A159,Data!$F:$F,"power_market_structure"))</f>
        <v/>
      </c>
      <c r="P159" s="28">
        <f>IF(COUNTIFS(Data!$A:$A,$A159,Data!$F:$F,"rise_renewable_energy_score")=0,"",SUMIFS(Data!$G:$G,Data!$A:$A,$A159,Data!$F:$F,"rise_renewable_energy_score"))</f>
        <v/>
      </c>
      <c r="Q159" s="16">
        <f>H159+I159+J159</f>
        <v/>
      </c>
      <c r="R159" s="28">
        <f>Q159/G159</f>
        <v/>
      </c>
      <c r="S159" s="28">
        <f>IF(D159&gt;0,H159/D159,0.85)</f>
        <v/>
      </c>
      <c r="T159" s="28">
        <f>IF(E159&gt;0,I159/E159,0.4)</f>
        <v/>
      </c>
      <c r="U159" s="28">
        <f>IF(D159+F159&gt;0,(H159+J159)/(D159+F159),0)</f>
        <v/>
      </c>
      <c r="V159" s="16">
        <f>K159*1000</f>
        <v/>
      </c>
      <c r="W159" s="15">
        <f>IF(O159=3,in_pt3,IF(O159=2,in_pt2,IF(O159=1,in_pt1,IF(C159="High income",in_pt_hi,in_pt_oth))))</f>
        <v/>
      </c>
      <c r="X159" s="28">
        <f>IF(Q159&gt;0,in_kappa*(in_rise_lo+(in_rise_hi-in_rise_lo)*IF(P159="",in_rise_miss,P159)/100)*(D159+F159)*MAX(U159-in_gas_rep*T159,0)/Q159,0)</f>
        <v/>
      </c>
      <c r="Y159" s="16">
        <f>IF(IF(M159="",N159,M159)="",MAX(in_sw_floor,in_sw_miss),MAX(in_sw_floor,(IF(M159="",N159,M159)*in_hr_gas-L159*in_hr_coal)/MAX(S159-T159,0.1)))</f>
        <v/>
      </c>
      <c r="Z159" s="28">
        <f>IF(C159="Low income",in_b40_li,IF(C159="Lower middle income",in_b40_lmi,IF(C159="Upper middle income",in_b40_umi,IF(C159="High income",in_b40_hi,0.03))))</f>
        <v/>
      </c>
      <c r="AA159" s="15">
        <f>(D159+F159)/G159</f>
        <v/>
      </c>
      <c r="AB159" s="28">
        <f>100*W159*R159/V159/in_phase</f>
        <v/>
      </c>
      <c r="AC159" s="29">
        <f>100*Z159*W159*R159/V159*(1-IF(W159&gt;0,MIN(in_rebate/(W159*in_res_sh*in_q40),1),1))</f>
        <v/>
      </c>
      <c r="AD159" s="28">
        <f>IF(AA159&gt;0,100*U159*(1-W159)/(in_whole_sh*V159),0)</f>
        <v/>
      </c>
      <c r="AE159" s="28">
        <f>IF(AA159&gt;0,100*MAX(U159-R159,0)/(in_whole_sh*V159),0)</f>
        <v/>
      </c>
      <c r="AF159" s="16">
        <f>IF(AB159&gt;0,in_f1/AB159,in_cap)</f>
        <v/>
      </c>
      <c r="AG159" s="16">
        <f>IF(AC159&gt;0,in_f2/AC159,in_cap)</f>
        <v/>
      </c>
      <c r="AH159" s="16">
        <f>IF(AD159&gt;0,in_f3/AD159,in_cap)</f>
        <v/>
      </c>
      <c r="AI159" s="16">
        <f>MIN(in_cap,AF159,AG159,AH159)</f>
        <v/>
      </c>
      <c r="AJ159" s="30">
        <f>100*(1-(1-X159*(1-EXP(-((AI159)+(0))/Y159)))*(1-MIN(ABS(in_elas)*W159*R159*(AI159)/V159,1)))</f>
        <v/>
      </c>
      <c r="AK159" s="17">
        <f>IF(AI159&gt;=in_cap-1E-9,"rate cap",TRIM(IF(ABS(AI159-AF159)&lt;1E-9,"F1 ","")&amp;IF(ABS(AI159-AG159)&lt;1E-9,"F2 ","")&amp;IF(ABS(AI159-AH159)&lt;1E-9,"F3","")))</f>
        <v/>
      </c>
      <c r="AL159" s="15">
        <f>100*(1-(1-X159*(1-EXP(-((MIN(in_cap,IF(AB159&gt;0,(in_f1+1)/AB159,in_cap),AG159,AH159))+(0))/Y159)))*(1-MIN(ABS(in_elas)*W159*R159*(MIN(in_cap,IF(AB159&gt;0,(in_f1+1)/AB159,in_cap),AG159,AH159))/V159,1)))-AJ159</f>
        <v/>
      </c>
      <c r="AM159" s="16">
        <f>MIN(in_cap,IF(AE159&gt;0,in_f3/AE159,in_cap))</f>
        <v/>
      </c>
      <c r="AN159" s="30">
        <f>100*(1-(1-X159*(1-EXP(-((0)+(AM159))/Y159)))*(1-MIN(ABS(in_elas)*W159*R159*(0)/V159,1)))</f>
        <v/>
      </c>
      <c r="AO159" s="17">
        <f>IF(AM159&gt;=in_cap-1E-9,"rate cap","F3")</f>
        <v/>
      </c>
      <c r="AP159" s="15">
        <f>100*(1-(1-X159*(1-EXP(-((50)+(0))/Y159)))*(1-MIN(ABS(in_elas)*W159*R159*(50)/V159,1)))</f>
        <v/>
      </c>
      <c r="AQ159" s="15">
        <f>100*(1-(1-X159*(1-EXP(-((0)+(50))/Y159)))*(1-MIN(ABS(in_elas)*W159*R159*(0)/V159,1)))</f>
        <v/>
      </c>
      <c r="AR159" s="15">
        <f>IF(AP159&gt;0,AQ159/AP159,"")</f>
        <v/>
      </c>
      <c r="AS159" s="16">
        <f>50*AB159</f>
        <v/>
      </c>
      <c r="AT159" s="30">
        <f>MAX(BM159:BW159)</f>
        <v/>
      </c>
      <c r="AU159" s="31">
        <f>AI159*(MATCH(AT159,BM159:BW159,0)-1)/10</f>
        <v/>
      </c>
      <c r="AV159" s="31">
        <f>INDEX(BB159:BL159,1,(MATCH(AT159,BM159:BW159,0)-1)+1)</f>
        <v/>
      </c>
      <c r="AW159" s="31">
        <f>AB159*AU159</f>
        <v/>
      </c>
      <c r="AX159" s="30">
        <f>AC159*AU159</f>
        <v/>
      </c>
      <c r="AY159" s="31">
        <f>AD159*AU159+AE159*AV159</f>
        <v/>
      </c>
      <c r="AZ159" s="32">
        <f>TRIM(IF(AND(AU159&gt;0,ABS(AU159-AF159)&lt;1E-6),"F1 ","")&amp;IF(AND(AU159&gt;0,ABS(AU159-AG159)&lt;1E-6),"F2 ","")&amp;IF(AY159&gt;=in_f3-1E-6,"F3 ","")&amp;IF(AV159&gt;=in_cap-1E-9,"rate cap",""))</f>
        <v/>
      </c>
      <c r="BA159" s="31">
        <f>Q159*AT159/100</f>
        <v/>
      </c>
      <c r="BB159" s="16">
        <f>MAX(0,MIN(in_cap,IF(AE159&gt;0,(in_f3-AD159*AI159*0/10)/AE159,in_cap)))</f>
        <v/>
      </c>
      <c r="BC159" s="16">
        <f>MAX(0,MIN(in_cap,IF(AE159&gt;0,(in_f3-AD159*AI159*1/10)/AE159,in_cap)))</f>
        <v/>
      </c>
      <c r="BD159" s="16">
        <f>MAX(0,MIN(in_cap,IF(AE159&gt;0,(in_f3-AD159*AI159*2/10)/AE159,in_cap)))</f>
        <v/>
      </c>
      <c r="BE159" s="16">
        <f>MAX(0,MIN(in_cap,IF(AE159&gt;0,(in_f3-AD159*AI159*3/10)/AE159,in_cap)))</f>
        <v/>
      </c>
      <c r="BF159" s="16">
        <f>MAX(0,MIN(in_cap,IF(AE159&gt;0,(in_f3-AD159*AI159*4/10)/AE159,in_cap)))</f>
        <v/>
      </c>
      <c r="BG159" s="16">
        <f>MAX(0,MIN(in_cap,IF(AE159&gt;0,(in_f3-AD159*AI159*5/10)/AE159,in_cap)))</f>
        <v/>
      </c>
      <c r="BH159" s="16">
        <f>MAX(0,MIN(in_cap,IF(AE159&gt;0,(in_f3-AD159*AI159*6/10)/AE159,in_cap)))</f>
        <v/>
      </c>
      <c r="BI159" s="16">
        <f>MAX(0,MIN(in_cap,IF(AE159&gt;0,(in_f3-AD159*AI159*7/10)/AE159,in_cap)))</f>
        <v/>
      </c>
      <c r="BJ159" s="16">
        <f>MAX(0,MIN(in_cap,IF(AE159&gt;0,(in_f3-AD159*AI159*8/10)/AE159,in_cap)))</f>
        <v/>
      </c>
      <c r="BK159" s="16">
        <f>MAX(0,MIN(in_cap,IF(AE159&gt;0,(in_f3-AD159*AI159*9/10)/AE159,in_cap)))</f>
        <v/>
      </c>
      <c r="BL159" s="16">
        <f>MAX(0,MIN(in_cap,IF(AE159&gt;0,(in_f3-AD159*AI159*10/10)/AE159,in_cap)))</f>
        <v/>
      </c>
      <c r="BM159" s="15">
        <f>100*(1-(1-X159*(1-EXP(-((AI159*0/10)+(BB159))/Y159)))*(1-MIN(ABS(in_elas)*W159*R159*(AI159*0/10)/V159,1)))</f>
        <v/>
      </c>
      <c r="BN159" s="15">
        <f>100*(1-(1-X159*(1-EXP(-((AI159*1/10)+(BC159))/Y159)))*(1-MIN(ABS(in_elas)*W159*R159*(AI159*1/10)/V159,1)))</f>
        <v/>
      </c>
      <c r="BO159" s="15">
        <f>100*(1-(1-X159*(1-EXP(-((AI159*2/10)+(BD159))/Y159)))*(1-MIN(ABS(in_elas)*W159*R159*(AI159*2/10)/V159,1)))</f>
        <v/>
      </c>
      <c r="BP159" s="15">
        <f>100*(1-(1-X159*(1-EXP(-((AI159*3/10)+(BE159))/Y159)))*(1-MIN(ABS(in_elas)*W159*R159*(AI159*3/10)/V159,1)))</f>
        <v/>
      </c>
      <c r="BQ159" s="15">
        <f>100*(1-(1-X159*(1-EXP(-((AI159*4/10)+(BF159))/Y159)))*(1-MIN(ABS(in_elas)*W159*R159*(AI159*4/10)/V159,1)))</f>
        <v/>
      </c>
      <c r="BR159" s="15">
        <f>100*(1-(1-X159*(1-EXP(-((AI159*5/10)+(BG159))/Y159)))*(1-MIN(ABS(in_elas)*W159*R159*(AI159*5/10)/V159,1)))</f>
        <v/>
      </c>
      <c r="BS159" s="15">
        <f>100*(1-(1-X159*(1-EXP(-((AI159*6/10)+(BH159))/Y159)))*(1-MIN(ABS(in_elas)*W159*R159*(AI159*6/10)/V159,1)))</f>
        <v/>
      </c>
      <c r="BT159" s="15">
        <f>100*(1-(1-X159*(1-EXP(-((AI159*7/10)+(BI159))/Y159)))*(1-MIN(ABS(in_elas)*W159*R159*(AI159*7/10)/V159,1)))</f>
        <v/>
      </c>
      <c r="BU159" s="15">
        <f>100*(1-(1-X159*(1-EXP(-((AI159*8/10)+(BJ159))/Y159)))*(1-MIN(ABS(in_elas)*W159*R159*(AI159*8/10)/V159,1)))</f>
        <v/>
      </c>
      <c r="BV159" s="15">
        <f>100*(1-(1-X159*(1-EXP(-((AI159*9/10)+(BK159))/Y159)))*(1-MIN(ABS(in_elas)*W159*R159*(AI159*9/10)/V159,1)))</f>
        <v/>
      </c>
      <c r="BW159" s="15">
        <f>100*(1-(1-X159*(1-EXP(-((AI159*10/10)+(BL159))/Y159)))*(1-MIN(ABS(in_elas)*W159*R159*(AI159*10/10)/V159,1)))</f>
        <v/>
      </c>
    </row>
    <row r="160">
      <c r="A160" s="17" t="inlineStr">
        <is>
          <t>TUR</t>
        </is>
      </c>
      <c r="B160" s="17">
        <f>INDEX(Data!$B:$B,MATCH($A160,Data!$A:$A,0))</f>
        <v/>
      </c>
      <c r="C160" s="17">
        <f>INDEX(Data!$D:$D,MATCH($A160,Data!$A:$A,0))</f>
        <v/>
      </c>
      <c r="D160" s="16">
        <f>SUMIFS(Data!$G:$G,Data!$A:$A,$A160,Data!$F:$F,"gen_coal_twh")</f>
        <v/>
      </c>
      <c r="E160" s="16">
        <f>SUMIFS(Data!$G:$G,Data!$A:$A,$A160,Data!$F:$F,"gen_gas_twh")</f>
        <v/>
      </c>
      <c r="F160" s="16">
        <f>SUMIFS(Data!$G:$G,Data!$A:$A,$A160,Data!$F:$F,"gen_oil_twh")</f>
        <v/>
      </c>
      <c r="G160" s="16">
        <f>SUMIFS(Data!$G:$G,Data!$A:$A,$A160,Data!$F:$F,"gen_total_twh")</f>
        <v/>
      </c>
      <c r="H160" s="16">
        <f>SUMIFS(Data!$G:$G,Data!$A:$A,$A160,Data!$F:$F,"em_coal_mt")</f>
        <v/>
      </c>
      <c r="I160" s="16">
        <f>SUMIFS(Data!$G:$G,Data!$A:$A,$A160,Data!$F:$F,"em_gas_mt")</f>
        <v/>
      </c>
      <c r="J160" s="16">
        <f>SUMIFS(Data!$G:$G,Data!$A:$A,$A160,Data!$F:$F,"em_oil_mt")</f>
        <v/>
      </c>
      <c r="K160" s="28">
        <f>IF(COUNTIFS(Data!$A:$A,$A160,Data!$F:$F,"price_electricity_residential_usd_kwh")=0,"",SUMIFS(Data!$G:$G,Data!$A:$A,$A160,Data!$F:$F,"price_electricity_residential_usd_kwh"))</f>
        <v/>
      </c>
      <c r="L160" s="28">
        <f>IF(COUNTIFS(Data!$A:$A,$A160,Data!$F:$F,"price_coal_power_usd_gj")=0,"",SUMIFS(Data!$G:$G,Data!$A:$A,$A160,Data!$F:$F,"price_coal_power_usd_gj"))</f>
        <v/>
      </c>
      <c r="M160" s="28">
        <f>IF(COUNTIFS(Data!$A:$A,$A160,Data!$F:$F,"price_gas_power_usd_gj")=0,"",SUMIFS(Data!$G:$G,Data!$A:$A,$A160,Data!$F:$F,"price_gas_power_usd_gj"))</f>
        <v/>
      </c>
      <c r="N160" s="28">
        <f>IF(COUNTIFS(Data!$A:$A,$A160,Data!$F:$F,"price_gas_industry_usd_gj")=0,"",SUMIFS(Data!$G:$G,Data!$A:$A,$A160,Data!$F:$F,"price_gas_industry_usd_gj"))</f>
        <v/>
      </c>
      <c r="O160" s="28">
        <f>IF(COUNTIFS(Data!$A:$A,$A160,Data!$F:$F,"power_market_structure")=0,"",SUMIFS(Data!$G:$G,Data!$A:$A,$A160,Data!$F:$F,"power_market_structure"))</f>
        <v/>
      </c>
      <c r="P160" s="28">
        <f>IF(COUNTIFS(Data!$A:$A,$A160,Data!$F:$F,"rise_renewable_energy_score")=0,"",SUMIFS(Data!$G:$G,Data!$A:$A,$A160,Data!$F:$F,"rise_renewable_energy_score"))</f>
        <v/>
      </c>
      <c r="Q160" s="16">
        <f>H160+I160+J160</f>
        <v/>
      </c>
      <c r="R160" s="28">
        <f>Q160/G160</f>
        <v/>
      </c>
      <c r="S160" s="28">
        <f>IF(D160&gt;0,H160/D160,0.85)</f>
        <v/>
      </c>
      <c r="T160" s="28">
        <f>IF(E160&gt;0,I160/E160,0.4)</f>
        <v/>
      </c>
      <c r="U160" s="28">
        <f>IF(D160+F160&gt;0,(H160+J160)/(D160+F160),0)</f>
        <v/>
      </c>
      <c r="V160" s="16">
        <f>K160*1000</f>
        <v/>
      </c>
      <c r="W160" s="15">
        <f>IF(O160=3,in_pt3,IF(O160=2,in_pt2,IF(O160=1,in_pt1,IF(C160="High income",in_pt_hi,in_pt_oth))))</f>
        <v/>
      </c>
      <c r="X160" s="28">
        <f>IF(Q160&gt;0,in_kappa*(in_rise_lo+(in_rise_hi-in_rise_lo)*IF(P160="",in_rise_miss,P160)/100)*(D160+F160)*MAX(U160-in_gas_rep*T160,0)/Q160,0)</f>
        <v/>
      </c>
      <c r="Y160" s="16">
        <f>IF(IF(M160="",N160,M160)="",MAX(in_sw_floor,in_sw_miss),MAX(in_sw_floor,(IF(M160="",N160,M160)*in_hr_gas-L160*in_hr_coal)/MAX(S160-T160,0.1)))</f>
        <v/>
      </c>
      <c r="Z160" s="28">
        <f>IF(C160="Low income",in_b40_li,IF(C160="Lower middle income",in_b40_lmi,IF(C160="Upper middle income",in_b40_umi,IF(C160="High income",in_b40_hi,0.03))))</f>
        <v/>
      </c>
      <c r="AA160" s="15">
        <f>(D160+F160)/G160</f>
        <v/>
      </c>
      <c r="AB160" s="28">
        <f>100*W160*R160/V160/in_phase</f>
        <v/>
      </c>
      <c r="AC160" s="29">
        <f>100*Z160*W160*R160/V160*(1-IF(W160&gt;0,MIN(in_rebate/(W160*in_res_sh*in_q40),1),1))</f>
        <v/>
      </c>
      <c r="AD160" s="28">
        <f>IF(AA160&gt;0,100*U160*(1-W160)/(in_whole_sh*V160),0)</f>
        <v/>
      </c>
      <c r="AE160" s="28">
        <f>IF(AA160&gt;0,100*MAX(U160-R160,0)/(in_whole_sh*V160),0)</f>
        <v/>
      </c>
      <c r="AF160" s="16">
        <f>IF(AB160&gt;0,in_f1/AB160,in_cap)</f>
        <v/>
      </c>
      <c r="AG160" s="16">
        <f>IF(AC160&gt;0,in_f2/AC160,in_cap)</f>
        <v/>
      </c>
      <c r="AH160" s="16">
        <f>IF(AD160&gt;0,in_f3/AD160,in_cap)</f>
        <v/>
      </c>
      <c r="AI160" s="16">
        <f>MIN(in_cap,AF160,AG160,AH160)</f>
        <v/>
      </c>
      <c r="AJ160" s="30">
        <f>100*(1-(1-X160*(1-EXP(-((AI160)+(0))/Y160)))*(1-MIN(ABS(in_elas)*W160*R160*(AI160)/V160,1)))</f>
        <v/>
      </c>
      <c r="AK160" s="17">
        <f>IF(AI160&gt;=in_cap-1E-9,"rate cap",TRIM(IF(ABS(AI160-AF160)&lt;1E-9,"F1 ","")&amp;IF(ABS(AI160-AG160)&lt;1E-9,"F2 ","")&amp;IF(ABS(AI160-AH160)&lt;1E-9,"F3","")))</f>
        <v/>
      </c>
      <c r="AL160" s="15">
        <f>100*(1-(1-X160*(1-EXP(-((MIN(in_cap,IF(AB160&gt;0,(in_f1+1)/AB160,in_cap),AG160,AH160))+(0))/Y160)))*(1-MIN(ABS(in_elas)*W160*R160*(MIN(in_cap,IF(AB160&gt;0,(in_f1+1)/AB160,in_cap),AG160,AH160))/V160,1)))-AJ160</f>
        <v/>
      </c>
      <c r="AM160" s="16">
        <f>MIN(in_cap,IF(AE160&gt;0,in_f3/AE160,in_cap))</f>
        <v/>
      </c>
      <c r="AN160" s="30">
        <f>100*(1-(1-X160*(1-EXP(-((0)+(AM160))/Y160)))*(1-MIN(ABS(in_elas)*W160*R160*(0)/V160,1)))</f>
        <v/>
      </c>
      <c r="AO160" s="17">
        <f>IF(AM160&gt;=in_cap-1E-9,"rate cap","F3")</f>
        <v/>
      </c>
      <c r="AP160" s="15">
        <f>100*(1-(1-X160*(1-EXP(-((50)+(0))/Y160)))*(1-MIN(ABS(in_elas)*W160*R160*(50)/V160,1)))</f>
        <v/>
      </c>
      <c r="AQ160" s="15">
        <f>100*(1-(1-X160*(1-EXP(-((0)+(50))/Y160)))*(1-MIN(ABS(in_elas)*W160*R160*(0)/V160,1)))</f>
        <v/>
      </c>
      <c r="AR160" s="15">
        <f>IF(AP160&gt;0,AQ160/AP160,"")</f>
        <v/>
      </c>
      <c r="AS160" s="16">
        <f>50*AB160</f>
        <v/>
      </c>
      <c r="AT160" s="30">
        <f>MAX(BM160:BW160)</f>
        <v/>
      </c>
      <c r="AU160" s="31">
        <f>AI160*(MATCH(AT160,BM160:BW160,0)-1)/10</f>
        <v/>
      </c>
      <c r="AV160" s="31">
        <f>INDEX(BB160:BL160,1,(MATCH(AT160,BM160:BW160,0)-1)+1)</f>
        <v/>
      </c>
      <c r="AW160" s="31">
        <f>AB160*AU160</f>
        <v/>
      </c>
      <c r="AX160" s="30">
        <f>AC160*AU160</f>
        <v/>
      </c>
      <c r="AY160" s="31">
        <f>AD160*AU160+AE160*AV160</f>
        <v/>
      </c>
      <c r="AZ160" s="32">
        <f>TRIM(IF(AND(AU160&gt;0,ABS(AU160-AF160)&lt;1E-6),"F1 ","")&amp;IF(AND(AU160&gt;0,ABS(AU160-AG160)&lt;1E-6),"F2 ","")&amp;IF(AY160&gt;=in_f3-1E-6,"F3 ","")&amp;IF(AV160&gt;=in_cap-1E-9,"rate cap",""))</f>
        <v/>
      </c>
      <c r="BA160" s="31">
        <f>Q160*AT160/100</f>
        <v/>
      </c>
      <c r="BB160" s="16">
        <f>MAX(0,MIN(in_cap,IF(AE160&gt;0,(in_f3-AD160*AI160*0/10)/AE160,in_cap)))</f>
        <v/>
      </c>
      <c r="BC160" s="16">
        <f>MAX(0,MIN(in_cap,IF(AE160&gt;0,(in_f3-AD160*AI160*1/10)/AE160,in_cap)))</f>
        <v/>
      </c>
      <c r="BD160" s="16">
        <f>MAX(0,MIN(in_cap,IF(AE160&gt;0,(in_f3-AD160*AI160*2/10)/AE160,in_cap)))</f>
        <v/>
      </c>
      <c r="BE160" s="16">
        <f>MAX(0,MIN(in_cap,IF(AE160&gt;0,(in_f3-AD160*AI160*3/10)/AE160,in_cap)))</f>
        <v/>
      </c>
      <c r="BF160" s="16">
        <f>MAX(0,MIN(in_cap,IF(AE160&gt;0,(in_f3-AD160*AI160*4/10)/AE160,in_cap)))</f>
        <v/>
      </c>
      <c r="BG160" s="16">
        <f>MAX(0,MIN(in_cap,IF(AE160&gt;0,(in_f3-AD160*AI160*5/10)/AE160,in_cap)))</f>
        <v/>
      </c>
      <c r="BH160" s="16">
        <f>MAX(0,MIN(in_cap,IF(AE160&gt;0,(in_f3-AD160*AI160*6/10)/AE160,in_cap)))</f>
        <v/>
      </c>
      <c r="BI160" s="16">
        <f>MAX(0,MIN(in_cap,IF(AE160&gt;0,(in_f3-AD160*AI160*7/10)/AE160,in_cap)))</f>
        <v/>
      </c>
      <c r="BJ160" s="16">
        <f>MAX(0,MIN(in_cap,IF(AE160&gt;0,(in_f3-AD160*AI160*8/10)/AE160,in_cap)))</f>
        <v/>
      </c>
      <c r="BK160" s="16">
        <f>MAX(0,MIN(in_cap,IF(AE160&gt;0,(in_f3-AD160*AI160*9/10)/AE160,in_cap)))</f>
        <v/>
      </c>
      <c r="BL160" s="16">
        <f>MAX(0,MIN(in_cap,IF(AE160&gt;0,(in_f3-AD160*AI160*10/10)/AE160,in_cap)))</f>
        <v/>
      </c>
      <c r="BM160" s="15">
        <f>100*(1-(1-X160*(1-EXP(-((AI160*0/10)+(BB160))/Y160)))*(1-MIN(ABS(in_elas)*W160*R160*(AI160*0/10)/V160,1)))</f>
        <v/>
      </c>
      <c r="BN160" s="15">
        <f>100*(1-(1-X160*(1-EXP(-((AI160*1/10)+(BC160))/Y160)))*(1-MIN(ABS(in_elas)*W160*R160*(AI160*1/10)/V160,1)))</f>
        <v/>
      </c>
      <c r="BO160" s="15">
        <f>100*(1-(1-X160*(1-EXP(-((AI160*2/10)+(BD160))/Y160)))*(1-MIN(ABS(in_elas)*W160*R160*(AI160*2/10)/V160,1)))</f>
        <v/>
      </c>
      <c r="BP160" s="15">
        <f>100*(1-(1-X160*(1-EXP(-((AI160*3/10)+(BE160))/Y160)))*(1-MIN(ABS(in_elas)*W160*R160*(AI160*3/10)/V160,1)))</f>
        <v/>
      </c>
      <c r="BQ160" s="15">
        <f>100*(1-(1-X160*(1-EXP(-((AI160*4/10)+(BF160))/Y160)))*(1-MIN(ABS(in_elas)*W160*R160*(AI160*4/10)/V160,1)))</f>
        <v/>
      </c>
      <c r="BR160" s="15">
        <f>100*(1-(1-X160*(1-EXP(-((AI160*5/10)+(BG160))/Y160)))*(1-MIN(ABS(in_elas)*W160*R160*(AI160*5/10)/V160,1)))</f>
        <v/>
      </c>
      <c r="BS160" s="15">
        <f>100*(1-(1-X160*(1-EXP(-((AI160*6/10)+(BH160))/Y160)))*(1-MIN(ABS(in_elas)*W160*R160*(AI160*6/10)/V160,1)))</f>
        <v/>
      </c>
      <c r="BT160" s="15">
        <f>100*(1-(1-X160*(1-EXP(-((AI160*7/10)+(BI160))/Y160)))*(1-MIN(ABS(in_elas)*W160*R160*(AI160*7/10)/V160,1)))</f>
        <v/>
      </c>
      <c r="BU160" s="15">
        <f>100*(1-(1-X160*(1-EXP(-((AI160*8/10)+(BJ160))/Y160)))*(1-MIN(ABS(in_elas)*W160*R160*(AI160*8/10)/V160,1)))</f>
        <v/>
      </c>
      <c r="BV160" s="15">
        <f>100*(1-(1-X160*(1-EXP(-((AI160*9/10)+(BK160))/Y160)))*(1-MIN(ABS(in_elas)*W160*R160*(AI160*9/10)/V160,1)))</f>
        <v/>
      </c>
      <c r="BW160" s="15">
        <f>100*(1-(1-X160*(1-EXP(-((AI160*10/10)+(BL160))/Y160)))*(1-MIN(ABS(in_elas)*W160*R160*(AI160*10/10)/V160,1)))</f>
        <v/>
      </c>
    </row>
    <row r="161">
      <c r="A161" s="17" t="inlineStr">
        <is>
          <t>TZA</t>
        </is>
      </c>
      <c r="B161" s="17">
        <f>INDEX(Data!$B:$B,MATCH($A161,Data!$A:$A,0))</f>
        <v/>
      </c>
      <c r="C161" s="17">
        <f>INDEX(Data!$D:$D,MATCH($A161,Data!$A:$A,0))</f>
        <v/>
      </c>
      <c r="D161" s="16">
        <f>SUMIFS(Data!$G:$G,Data!$A:$A,$A161,Data!$F:$F,"gen_coal_twh")</f>
        <v/>
      </c>
      <c r="E161" s="16">
        <f>SUMIFS(Data!$G:$G,Data!$A:$A,$A161,Data!$F:$F,"gen_gas_twh")</f>
        <v/>
      </c>
      <c r="F161" s="16">
        <f>SUMIFS(Data!$G:$G,Data!$A:$A,$A161,Data!$F:$F,"gen_oil_twh")</f>
        <v/>
      </c>
      <c r="G161" s="16">
        <f>SUMIFS(Data!$G:$G,Data!$A:$A,$A161,Data!$F:$F,"gen_total_twh")</f>
        <v/>
      </c>
      <c r="H161" s="16">
        <f>SUMIFS(Data!$G:$G,Data!$A:$A,$A161,Data!$F:$F,"em_coal_mt")</f>
        <v/>
      </c>
      <c r="I161" s="16">
        <f>SUMIFS(Data!$G:$G,Data!$A:$A,$A161,Data!$F:$F,"em_gas_mt")</f>
        <v/>
      </c>
      <c r="J161" s="16">
        <f>SUMIFS(Data!$G:$G,Data!$A:$A,$A161,Data!$F:$F,"em_oil_mt")</f>
        <v/>
      </c>
      <c r="K161" s="28">
        <f>IF(COUNTIFS(Data!$A:$A,$A161,Data!$F:$F,"price_electricity_residential_usd_kwh")=0,"",SUMIFS(Data!$G:$G,Data!$A:$A,$A161,Data!$F:$F,"price_electricity_residential_usd_kwh"))</f>
        <v/>
      </c>
      <c r="L161" s="28">
        <f>IF(COUNTIFS(Data!$A:$A,$A161,Data!$F:$F,"price_coal_power_usd_gj")=0,"",SUMIFS(Data!$G:$G,Data!$A:$A,$A161,Data!$F:$F,"price_coal_power_usd_gj"))</f>
        <v/>
      </c>
      <c r="M161" s="28">
        <f>IF(COUNTIFS(Data!$A:$A,$A161,Data!$F:$F,"price_gas_power_usd_gj")=0,"",SUMIFS(Data!$G:$G,Data!$A:$A,$A161,Data!$F:$F,"price_gas_power_usd_gj"))</f>
        <v/>
      </c>
      <c r="N161" s="28">
        <f>IF(COUNTIFS(Data!$A:$A,$A161,Data!$F:$F,"price_gas_industry_usd_gj")=0,"",SUMIFS(Data!$G:$G,Data!$A:$A,$A161,Data!$F:$F,"price_gas_industry_usd_gj"))</f>
        <v/>
      </c>
      <c r="O161" s="28">
        <f>IF(COUNTIFS(Data!$A:$A,$A161,Data!$F:$F,"power_market_structure")=0,"",SUMIFS(Data!$G:$G,Data!$A:$A,$A161,Data!$F:$F,"power_market_structure"))</f>
        <v/>
      </c>
      <c r="P161" s="28">
        <f>IF(COUNTIFS(Data!$A:$A,$A161,Data!$F:$F,"rise_renewable_energy_score")=0,"",SUMIFS(Data!$G:$G,Data!$A:$A,$A161,Data!$F:$F,"rise_renewable_energy_score"))</f>
        <v/>
      </c>
      <c r="Q161" s="16">
        <f>H161+I161+J161</f>
        <v/>
      </c>
      <c r="R161" s="28">
        <f>Q161/G161</f>
        <v/>
      </c>
      <c r="S161" s="28">
        <f>IF(D161&gt;0,H161/D161,0.85)</f>
        <v/>
      </c>
      <c r="T161" s="28">
        <f>IF(E161&gt;0,I161/E161,0.4)</f>
        <v/>
      </c>
      <c r="U161" s="28">
        <f>IF(D161+F161&gt;0,(H161+J161)/(D161+F161),0)</f>
        <v/>
      </c>
      <c r="V161" s="16">
        <f>K161*1000</f>
        <v/>
      </c>
      <c r="W161" s="15">
        <f>IF(O161=3,in_pt3,IF(O161=2,in_pt2,IF(O161=1,in_pt1,IF(C161="High income",in_pt_hi,in_pt_oth))))</f>
        <v/>
      </c>
      <c r="X161" s="28">
        <f>IF(Q161&gt;0,in_kappa*(in_rise_lo+(in_rise_hi-in_rise_lo)*IF(P161="",in_rise_miss,P161)/100)*(D161+F161)*MAX(U161-in_gas_rep*T161,0)/Q161,0)</f>
        <v/>
      </c>
      <c r="Y161" s="16">
        <f>IF(IF(M161="",N161,M161)="",MAX(in_sw_floor,in_sw_miss),MAX(in_sw_floor,(IF(M161="",N161,M161)*in_hr_gas-L161*in_hr_coal)/MAX(S161-T161,0.1)))</f>
        <v/>
      </c>
      <c r="Z161" s="28">
        <f>IF(C161="Low income",in_b40_li,IF(C161="Lower middle income",in_b40_lmi,IF(C161="Upper middle income",in_b40_umi,IF(C161="High income",in_b40_hi,0.03))))</f>
        <v/>
      </c>
      <c r="AA161" s="15">
        <f>(D161+F161)/G161</f>
        <v/>
      </c>
      <c r="AB161" s="28">
        <f>100*W161*R161/V161/in_phase</f>
        <v/>
      </c>
      <c r="AC161" s="29">
        <f>100*Z161*W161*R161/V161*(1-IF(W161&gt;0,MIN(in_rebate/(W161*in_res_sh*in_q40),1),1))</f>
        <v/>
      </c>
      <c r="AD161" s="28">
        <f>IF(AA161&gt;0,100*U161*(1-W161)/(in_whole_sh*V161),0)</f>
        <v/>
      </c>
      <c r="AE161" s="28">
        <f>IF(AA161&gt;0,100*MAX(U161-R161,0)/(in_whole_sh*V161),0)</f>
        <v/>
      </c>
      <c r="AF161" s="16">
        <f>IF(AB161&gt;0,in_f1/AB161,in_cap)</f>
        <v/>
      </c>
      <c r="AG161" s="16">
        <f>IF(AC161&gt;0,in_f2/AC161,in_cap)</f>
        <v/>
      </c>
      <c r="AH161" s="16">
        <f>IF(AD161&gt;0,in_f3/AD161,in_cap)</f>
        <v/>
      </c>
      <c r="AI161" s="16">
        <f>MIN(in_cap,AF161,AG161,AH161)</f>
        <v/>
      </c>
      <c r="AJ161" s="30">
        <f>100*(1-(1-X161*(1-EXP(-((AI161)+(0))/Y161)))*(1-MIN(ABS(in_elas)*W161*R161*(AI161)/V161,1)))</f>
        <v/>
      </c>
      <c r="AK161" s="17">
        <f>IF(AI161&gt;=in_cap-1E-9,"rate cap",TRIM(IF(ABS(AI161-AF161)&lt;1E-9,"F1 ","")&amp;IF(ABS(AI161-AG161)&lt;1E-9,"F2 ","")&amp;IF(ABS(AI161-AH161)&lt;1E-9,"F3","")))</f>
        <v/>
      </c>
      <c r="AL161" s="15">
        <f>100*(1-(1-X161*(1-EXP(-((MIN(in_cap,IF(AB161&gt;0,(in_f1+1)/AB161,in_cap),AG161,AH161))+(0))/Y161)))*(1-MIN(ABS(in_elas)*W161*R161*(MIN(in_cap,IF(AB161&gt;0,(in_f1+1)/AB161,in_cap),AG161,AH161))/V161,1)))-AJ161</f>
        <v/>
      </c>
      <c r="AM161" s="16">
        <f>MIN(in_cap,IF(AE161&gt;0,in_f3/AE161,in_cap))</f>
        <v/>
      </c>
      <c r="AN161" s="30">
        <f>100*(1-(1-X161*(1-EXP(-((0)+(AM161))/Y161)))*(1-MIN(ABS(in_elas)*W161*R161*(0)/V161,1)))</f>
        <v/>
      </c>
      <c r="AO161" s="17">
        <f>IF(AM161&gt;=in_cap-1E-9,"rate cap","F3")</f>
        <v/>
      </c>
      <c r="AP161" s="15">
        <f>100*(1-(1-X161*(1-EXP(-((50)+(0))/Y161)))*(1-MIN(ABS(in_elas)*W161*R161*(50)/V161,1)))</f>
        <v/>
      </c>
      <c r="AQ161" s="15">
        <f>100*(1-(1-X161*(1-EXP(-((0)+(50))/Y161)))*(1-MIN(ABS(in_elas)*W161*R161*(0)/V161,1)))</f>
        <v/>
      </c>
      <c r="AR161" s="15">
        <f>IF(AP161&gt;0,AQ161/AP161,"")</f>
        <v/>
      </c>
      <c r="AS161" s="16">
        <f>50*AB161</f>
        <v/>
      </c>
      <c r="AT161" s="30">
        <f>MAX(BM161:BW161)</f>
        <v/>
      </c>
      <c r="AU161" s="31">
        <f>AI161*(MATCH(AT161,BM161:BW161,0)-1)/10</f>
        <v/>
      </c>
      <c r="AV161" s="31">
        <f>INDEX(BB161:BL161,1,(MATCH(AT161,BM161:BW161,0)-1)+1)</f>
        <v/>
      </c>
      <c r="AW161" s="31">
        <f>AB161*AU161</f>
        <v/>
      </c>
      <c r="AX161" s="30">
        <f>AC161*AU161</f>
        <v/>
      </c>
      <c r="AY161" s="31">
        <f>AD161*AU161+AE161*AV161</f>
        <v/>
      </c>
      <c r="AZ161" s="32">
        <f>TRIM(IF(AND(AU161&gt;0,ABS(AU161-AF161)&lt;1E-6),"F1 ","")&amp;IF(AND(AU161&gt;0,ABS(AU161-AG161)&lt;1E-6),"F2 ","")&amp;IF(AY161&gt;=in_f3-1E-6,"F3 ","")&amp;IF(AV161&gt;=in_cap-1E-9,"rate cap",""))</f>
        <v/>
      </c>
      <c r="BA161" s="31">
        <f>Q161*AT161/100</f>
        <v/>
      </c>
      <c r="BB161" s="16">
        <f>MAX(0,MIN(in_cap,IF(AE161&gt;0,(in_f3-AD161*AI161*0/10)/AE161,in_cap)))</f>
        <v/>
      </c>
      <c r="BC161" s="16">
        <f>MAX(0,MIN(in_cap,IF(AE161&gt;0,(in_f3-AD161*AI161*1/10)/AE161,in_cap)))</f>
        <v/>
      </c>
      <c r="BD161" s="16">
        <f>MAX(0,MIN(in_cap,IF(AE161&gt;0,(in_f3-AD161*AI161*2/10)/AE161,in_cap)))</f>
        <v/>
      </c>
      <c r="BE161" s="16">
        <f>MAX(0,MIN(in_cap,IF(AE161&gt;0,(in_f3-AD161*AI161*3/10)/AE161,in_cap)))</f>
        <v/>
      </c>
      <c r="BF161" s="16">
        <f>MAX(0,MIN(in_cap,IF(AE161&gt;0,(in_f3-AD161*AI161*4/10)/AE161,in_cap)))</f>
        <v/>
      </c>
      <c r="BG161" s="16">
        <f>MAX(0,MIN(in_cap,IF(AE161&gt;0,(in_f3-AD161*AI161*5/10)/AE161,in_cap)))</f>
        <v/>
      </c>
      <c r="BH161" s="16">
        <f>MAX(0,MIN(in_cap,IF(AE161&gt;0,(in_f3-AD161*AI161*6/10)/AE161,in_cap)))</f>
        <v/>
      </c>
      <c r="BI161" s="16">
        <f>MAX(0,MIN(in_cap,IF(AE161&gt;0,(in_f3-AD161*AI161*7/10)/AE161,in_cap)))</f>
        <v/>
      </c>
      <c r="BJ161" s="16">
        <f>MAX(0,MIN(in_cap,IF(AE161&gt;0,(in_f3-AD161*AI161*8/10)/AE161,in_cap)))</f>
        <v/>
      </c>
      <c r="BK161" s="16">
        <f>MAX(0,MIN(in_cap,IF(AE161&gt;0,(in_f3-AD161*AI161*9/10)/AE161,in_cap)))</f>
        <v/>
      </c>
      <c r="BL161" s="16">
        <f>MAX(0,MIN(in_cap,IF(AE161&gt;0,(in_f3-AD161*AI161*10/10)/AE161,in_cap)))</f>
        <v/>
      </c>
      <c r="BM161" s="15">
        <f>100*(1-(1-X161*(1-EXP(-((AI161*0/10)+(BB161))/Y161)))*(1-MIN(ABS(in_elas)*W161*R161*(AI161*0/10)/V161,1)))</f>
        <v/>
      </c>
      <c r="BN161" s="15">
        <f>100*(1-(1-X161*(1-EXP(-((AI161*1/10)+(BC161))/Y161)))*(1-MIN(ABS(in_elas)*W161*R161*(AI161*1/10)/V161,1)))</f>
        <v/>
      </c>
      <c r="BO161" s="15">
        <f>100*(1-(1-X161*(1-EXP(-((AI161*2/10)+(BD161))/Y161)))*(1-MIN(ABS(in_elas)*W161*R161*(AI161*2/10)/V161,1)))</f>
        <v/>
      </c>
      <c r="BP161" s="15">
        <f>100*(1-(1-X161*(1-EXP(-((AI161*3/10)+(BE161))/Y161)))*(1-MIN(ABS(in_elas)*W161*R161*(AI161*3/10)/V161,1)))</f>
        <v/>
      </c>
      <c r="BQ161" s="15">
        <f>100*(1-(1-X161*(1-EXP(-((AI161*4/10)+(BF161))/Y161)))*(1-MIN(ABS(in_elas)*W161*R161*(AI161*4/10)/V161,1)))</f>
        <v/>
      </c>
      <c r="BR161" s="15">
        <f>100*(1-(1-X161*(1-EXP(-((AI161*5/10)+(BG161))/Y161)))*(1-MIN(ABS(in_elas)*W161*R161*(AI161*5/10)/V161,1)))</f>
        <v/>
      </c>
      <c r="BS161" s="15">
        <f>100*(1-(1-X161*(1-EXP(-((AI161*6/10)+(BH161))/Y161)))*(1-MIN(ABS(in_elas)*W161*R161*(AI161*6/10)/V161,1)))</f>
        <v/>
      </c>
      <c r="BT161" s="15">
        <f>100*(1-(1-X161*(1-EXP(-((AI161*7/10)+(BI161))/Y161)))*(1-MIN(ABS(in_elas)*W161*R161*(AI161*7/10)/V161,1)))</f>
        <v/>
      </c>
      <c r="BU161" s="15">
        <f>100*(1-(1-X161*(1-EXP(-((AI161*8/10)+(BJ161))/Y161)))*(1-MIN(ABS(in_elas)*W161*R161*(AI161*8/10)/V161,1)))</f>
        <v/>
      </c>
      <c r="BV161" s="15">
        <f>100*(1-(1-X161*(1-EXP(-((AI161*9/10)+(BK161))/Y161)))*(1-MIN(ABS(in_elas)*W161*R161*(AI161*9/10)/V161,1)))</f>
        <v/>
      </c>
      <c r="BW161" s="15">
        <f>100*(1-(1-X161*(1-EXP(-((AI161*10/10)+(BL161))/Y161)))*(1-MIN(ABS(in_elas)*W161*R161*(AI161*10/10)/V161,1)))</f>
        <v/>
      </c>
    </row>
    <row r="162">
      <c r="A162" s="17" t="inlineStr">
        <is>
          <t>UGA</t>
        </is>
      </c>
      <c r="B162" s="17">
        <f>INDEX(Data!$B:$B,MATCH($A162,Data!$A:$A,0))</f>
        <v/>
      </c>
      <c r="C162" s="17">
        <f>INDEX(Data!$D:$D,MATCH($A162,Data!$A:$A,0))</f>
        <v/>
      </c>
      <c r="D162" s="16">
        <f>SUMIFS(Data!$G:$G,Data!$A:$A,$A162,Data!$F:$F,"gen_coal_twh")</f>
        <v/>
      </c>
      <c r="E162" s="16">
        <f>SUMIFS(Data!$G:$G,Data!$A:$A,$A162,Data!$F:$F,"gen_gas_twh")</f>
        <v/>
      </c>
      <c r="F162" s="16">
        <f>SUMIFS(Data!$G:$G,Data!$A:$A,$A162,Data!$F:$F,"gen_oil_twh")</f>
        <v/>
      </c>
      <c r="G162" s="16">
        <f>SUMIFS(Data!$G:$G,Data!$A:$A,$A162,Data!$F:$F,"gen_total_twh")</f>
        <v/>
      </c>
      <c r="H162" s="16">
        <f>SUMIFS(Data!$G:$G,Data!$A:$A,$A162,Data!$F:$F,"em_coal_mt")</f>
        <v/>
      </c>
      <c r="I162" s="16">
        <f>SUMIFS(Data!$G:$G,Data!$A:$A,$A162,Data!$F:$F,"em_gas_mt")</f>
        <v/>
      </c>
      <c r="J162" s="16">
        <f>SUMIFS(Data!$G:$G,Data!$A:$A,$A162,Data!$F:$F,"em_oil_mt")</f>
        <v/>
      </c>
      <c r="K162" s="28">
        <f>IF(COUNTIFS(Data!$A:$A,$A162,Data!$F:$F,"price_electricity_residential_usd_kwh")=0,"",SUMIFS(Data!$G:$G,Data!$A:$A,$A162,Data!$F:$F,"price_electricity_residential_usd_kwh"))</f>
        <v/>
      </c>
      <c r="L162" s="28">
        <f>IF(COUNTIFS(Data!$A:$A,$A162,Data!$F:$F,"price_coal_power_usd_gj")=0,"",SUMIFS(Data!$G:$G,Data!$A:$A,$A162,Data!$F:$F,"price_coal_power_usd_gj"))</f>
        <v/>
      </c>
      <c r="M162" s="28">
        <f>IF(COUNTIFS(Data!$A:$A,$A162,Data!$F:$F,"price_gas_power_usd_gj")=0,"",SUMIFS(Data!$G:$G,Data!$A:$A,$A162,Data!$F:$F,"price_gas_power_usd_gj"))</f>
        <v/>
      </c>
      <c r="N162" s="28">
        <f>IF(COUNTIFS(Data!$A:$A,$A162,Data!$F:$F,"price_gas_industry_usd_gj")=0,"",SUMIFS(Data!$G:$G,Data!$A:$A,$A162,Data!$F:$F,"price_gas_industry_usd_gj"))</f>
        <v/>
      </c>
      <c r="O162" s="28">
        <f>IF(COUNTIFS(Data!$A:$A,$A162,Data!$F:$F,"power_market_structure")=0,"",SUMIFS(Data!$G:$G,Data!$A:$A,$A162,Data!$F:$F,"power_market_structure"))</f>
        <v/>
      </c>
      <c r="P162" s="28">
        <f>IF(COUNTIFS(Data!$A:$A,$A162,Data!$F:$F,"rise_renewable_energy_score")=0,"",SUMIFS(Data!$G:$G,Data!$A:$A,$A162,Data!$F:$F,"rise_renewable_energy_score"))</f>
        <v/>
      </c>
      <c r="Q162" s="16">
        <f>H162+I162+J162</f>
        <v/>
      </c>
      <c r="R162" s="28">
        <f>Q162/G162</f>
        <v/>
      </c>
      <c r="S162" s="28">
        <f>IF(D162&gt;0,H162/D162,0.85)</f>
        <v/>
      </c>
      <c r="T162" s="28">
        <f>IF(E162&gt;0,I162/E162,0.4)</f>
        <v/>
      </c>
      <c r="U162" s="28">
        <f>IF(D162+F162&gt;0,(H162+J162)/(D162+F162),0)</f>
        <v/>
      </c>
      <c r="V162" s="16">
        <f>K162*1000</f>
        <v/>
      </c>
      <c r="W162" s="15">
        <f>IF(O162=3,in_pt3,IF(O162=2,in_pt2,IF(O162=1,in_pt1,IF(C162="High income",in_pt_hi,in_pt_oth))))</f>
        <v/>
      </c>
      <c r="X162" s="28">
        <f>IF(Q162&gt;0,in_kappa*(in_rise_lo+(in_rise_hi-in_rise_lo)*IF(P162="",in_rise_miss,P162)/100)*(D162+F162)*MAX(U162-in_gas_rep*T162,0)/Q162,0)</f>
        <v/>
      </c>
      <c r="Y162" s="16">
        <f>IF(IF(M162="",N162,M162)="",MAX(in_sw_floor,in_sw_miss),MAX(in_sw_floor,(IF(M162="",N162,M162)*in_hr_gas-L162*in_hr_coal)/MAX(S162-T162,0.1)))</f>
        <v/>
      </c>
      <c r="Z162" s="28">
        <f>IF(C162="Low income",in_b40_li,IF(C162="Lower middle income",in_b40_lmi,IF(C162="Upper middle income",in_b40_umi,IF(C162="High income",in_b40_hi,0.03))))</f>
        <v/>
      </c>
      <c r="AA162" s="15">
        <f>(D162+F162)/G162</f>
        <v/>
      </c>
      <c r="AB162" s="28">
        <f>100*W162*R162/V162/in_phase</f>
        <v/>
      </c>
      <c r="AC162" s="29">
        <f>100*Z162*W162*R162/V162*(1-IF(W162&gt;0,MIN(in_rebate/(W162*in_res_sh*in_q40),1),1))</f>
        <v/>
      </c>
      <c r="AD162" s="28">
        <f>IF(AA162&gt;0,100*U162*(1-W162)/(in_whole_sh*V162),0)</f>
        <v/>
      </c>
      <c r="AE162" s="28">
        <f>IF(AA162&gt;0,100*MAX(U162-R162,0)/(in_whole_sh*V162),0)</f>
        <v/>
      </c>
      <c r="AF162" s="16">
        <f>IF(AB162&gt;0,in_f1/AB162,in_cap)</f>
        <v/>
      </c>
      <c r="AG162" s="16">
        <f>IF(AC162&gt;0,in_f2/AC162,in_cap)</f>
        <v/>
      </c>
      <c r="AH162" s="16">
        <f>IF(AD162&gt;0,in_f3/AD162,in_cap)</f>
        <v/>
      </c>
      <c r="AI162" s="16">
        <f>MIN(in_cap,AF162,AG162,AH162)</f>
        <v/>
      </c>
      <c r="AJ162" s="30">
        <f>100*(1-(1-X162*(1-EXP(-((AI162)+(0))/Y162)))*(1-MIN(ABS(in_elas)*W162*R162*(AI162)/V162,1)))</f>
        <v/>
      </c>
      <c r="AK162" s="17">
        <f>IF(AI162&gt;=in_cap-1E-9,"rate cap",TRIM(IF(ABS(AI162-AF162)&lt;1E-9,"F1 ","")&amp;IF(ABS(AI162-AG162)&lt;1E-9,"F2 ","")&amp;IF(ABS(AI162-AH162)&lt;1E-9,"F3","")))</f>
        <v/>
      </c>
      <c r="AL162" s="15">
        <f>100*(1-(1-X162*(1-EXP(-((MIN(in_cap,IF(AB162&gt;0,(in_f1+1)/AB162,in_cap),AG162,AH162))+(0))/Y162)))*(1-MIN(ABS(in_elas)*W162*R162*(MIN(in_cap,IF(AB162&gt;0,(in_f1+1)/AB162,in_cap),AG162,AH162))/V162,1)))-AJ162</f>
        <v/>
      </c>
      <c r="AM162" s="16">
        <f>MIN(in_cap,IF(AE162&gt;0,in_f3/AE162,in_cap))</f>
        <v/>
      </c>
      <c r="AN162" s="30">
        <f>100*(1-(1-X162*(1-EXP(-((0)+(AM162))/Y162)))*(1-MIN(ABS(in_elas)*W162*R162*(0)/V162,1)))</f>
        <v/>
      </c>
      <c r="AO162" s="17">
        <f>IF(AM162&gt;=in_cap-1E-9,"rate cap","F3")</f>
        <v/>
      </c>
      <c r="AP162" s="15">
        <f>100*(1-(1-X162*(1-EXP(-((50)+(0))/Y162)))*(1-MIN(ABS(in_elas)*W162*R162*(50)/V162,1)))</f>
        <v/>
      </c>
      <c r="AQ162" s="15">
        <f>100*(1-(1-X162*(1-EXP(-((0)+(50))/Y162)))*(1-MIN(ABS(in_elas)*W162*R162*(0)/V162,1)))</f>
        <v/>
      </c>
      <c r="AR162" s="15">
        <f>IF(AP162&gt;0,AQ162/AP162,"")</f>
        <v/>
      </c>
      <c r="AS162" s="16">
        <f>50*AB162</f>
        <v/>
      </c>
      <c r="AT162" s="30">
        <f>MAX(BM162:BW162)</f>
        <v/>
      </c>
      <c r="AU162" s="31">
        <f>AI162*(MATCH(AT162,BM162:BW162,0)-1)/10</f>
        <v/>
      </c>
      <c r="AV162" s="31">
        <f>INDEX(BB162:BL162,1,(MATCH(AT162,BM162:BW162,0)-1)+1)</f>
        <v/>
      </c>
      <c r="AW162" s="31">
        <f>AB162*AU162</f>
        <v/>
      </c>
      <c r="AX162" s="30">
        <f>AC162*AU162</f>
        <v/>
      </c>
      <c r="AY162" s="31">
        <f>AD162*AU162+AE162*AV162</f>
        <v/>
      </c>
      <c r="AZ162" s="32">
        <f>TRIM(IF(AND(AU162&gt;0,ABS(AU162-AF162)&lt;1E-6),"F1 ","")&amp;IF(AND(AU162&gt;0,ABS(AU162-AG162)&lt;1E-6),"F2 ","")&amp;IF(AY162&gt;=in_f3-1E-6,"F3 ","")&amp;IF(AV162&gt;=in_cap-1E-9,"rate cap",""))</f>
        <v/>
      </c>
      <c r="BA162" s="31">
        <f>Q162*AT162/100</f>
        <v/>
      </c>
      <c r="BB162" s="16">
        <f>MAX(0,MIN(in_cap,IF(AE162&gt;0,(in_f3-AD162*AI162*0/10)/AE162,in_cap)))</f>
        <v/>
      </c>
      <c r="BC162" s="16">
        <f>MAX(0,MIN(in_cap,IF(AE162&gt;0,(in_f3-AD162*AI162*1/10)/AE162,in_cap)))</f>
        <v/>
      </c>
      <c r="BD162" s="16">
        <f>MAX(0,MIN(in_cap,IF(AE162&gt;0,(in_f3-AD162*AI162*2/10)/AE162,in_cap)))</f>
        <v/>
      </c>
      <c r="BE162" s="16">
        <f>MAX(0,MIN(in_cap,IF(AE162&gt;0,(in_f3-AD162*AI162*3/10)/AE162,in_cap)))</f>
        <v/>
      </c>
      <c r="BF162" s="16">
        <f>MAX(0,MIN(in_cap,IF(AE162&gt;0,(in_f3-AD162*AI162*4/10)/AE162,in_cap)))</f>
        <v/>
      </c>
      <c r="BG162" s="16">
        <f>MAX(0,MIN(in_cap,IF(AE162&gt;0,(in_f3-AD162*AI162*5/10)/AE162,in_cap)))</f>
        <v/>
      </c>
      <c r="BH162" s="16">
        <f>MAX(0,MIN(in_cap,IF(AE162&gt;0,(in_f3-AD162*AI162*6/10)/AE162,in_cap)))</f>
        <v/>
      </c>
      <c r="BI162" s="16">
        <f>MAX(0,MIN(in_cap,IF(AE162&gt;0,(in_f3-AD162*AI162*7/10)/AE162,in_cap)))</f>
        <v/>
      </c>
      <c r="BJ162" s="16">
        <f>MAX(0,MIN(in_cap,IF(AE162&gt;0,(in_f3-AD162*AI162*8/10)/AE162,in_cap)))</f>
        <v/>
      </c>
      <c r="BK162" s="16">
        <f>MAX(0,MIN(in_cap,IF(AE162&gt;0,(in_f3-AD162*AI162*9/10)/AE162,in_cap)))</f>
        <v/>
      </c>
      <c r="BL162" s="16">
        <f>MAX(0,MIN(in_cap,IF(AE162&gt;0,(in_f3-AD162*AI162*10/10)/AE162,in_cap)))</f>
        <v/>
      </c>
      <c r="BM162" s="15">
        <f>100*(1-(1-X162*(1-EXP(-((AI162*0/10)+(BB162))/Y162)))*(1-MIN(ABS(in_elas)*W162*R162*(AI162*0/10)/V162,1)))</f>
        <v/>
      </c>
      <c r="BN162" s="15">
        <f>100*(1-(1-X162*(1-EXP(-((AI162*1/10)+(BC162))/Y162)))*(1-MIN(ABS(in_elas)*W162*R162*(AI162*1/10)/V162,1)))</f>
        <v/>
      </c>
      <c r="BO162" s="15">
        <f>100*(1-(1-X162*(1-EXP(-((AI162*2/10)+(BD162))/Y162)))*(1-MIN(ABS(in_elas)*W162*R162*(AI162*2/10)/V162,1)))</f>
        <v/>
      </c>
      <c r="BP162" s="15">
        <f>100*(1-(1-X162*(1-EXP(-((AI162*3/10)+(BE162))/Y162)))*(1-MIN(ABS(in_elas)*W162*R162*(AI162*3/10)/V162,1)))</f>
        <v/>
      </c>
      <c r="BQ162" s="15">
        <f>100*(1-(1-X162*(1-EXP(-((AI162*4/10)+(BF162))/Y162)))*(1-MIN(ABS(in_elas)*W162*R162*(AI162*4/10)/V162,1)))</f>
        <v/>
      </c>
      <c r="BR162" s="15">
        <f>100*(1-(1-X162*(1-EXP(-((AI162*5/10)+(BG162))/Y162)))*(1-MIN(ABS(in_elas)*W162*R162*(AI162*5/10)/V162,1)))</f>
        <v/>
      </c>
      <c r="BS162" s="15">
        <f>100*(1-(1-X162*(1-EXP(-((AI162*6/10)+(BH162))/Y162)))*(1-MIN(ABS(in_elas)*W162*R162*(AI162*6/10)/V162,1)))</f>
        <v/>
      </c>
      <c r="BT162" s="15">
        <f>100*(1-(1-X162*(1-EXP(-((AI162*7/10)+(BI162))/Y162)))*(1-MIN(ABS(in_elas)*W162*R162*(AI162*7/10)/V162,1)))</f>
        <v/>
      </c>
      <c r="BU162" s="15">
        <f>100*(1-(1-X162*(1-EXP(-((AI162*8/10)+(BJ162))/Y162)))*(1-MIN(ABS(in_elas)*W162*R162*(AI162*8/10)/V162,1)))</f>
        <v/>
      </c>
      <c r="BV162" s="15">
        <f>100*(1-(1-X162*(1-EXP(-((AI162*9/10)+(BK162))/Y162)))*(1-MIN(ABS(in_elas)*W162*R162*(AI162*9/10)/V162,1)))</f>
        <v/>
      </c>
      <c r="BW162" s="15">
        <f>100*(1-(1-X162*(1-EXP(-((AI162*10/10)+(BL162))/Y162)))*(1-MIN(ABS(in_elas)*W162*R162*(AI162*10/10)/V162,1)))</f>
        <v/>
      </c>
    </row>
    <row r="163">
      <c r="A163" s="17" t="inlineStr">
        <is>
          <t>URY</t>
        </is>
      </c>
      <c r="B163" s="17">
        <f>INDEX(Data!$B:$B,MATCH($A163,Data!$A:$A,0))</f>
        <v/>
      </c>
      <c r="C163" s="17">
        <f>INDEX(Data!$D:$D,MATCH($A163,Data!$A:$A,0))</f>
        <v/>
      </c>
      <c r="D163" s="16">
        <f>SUMIFS(Data!$G:$G,Data!$A:$A,$A163,Data!$F:$F,"gen_coal_twh")</f>
        <v/>
      </c>
      <c r="E163" s="16">
        <f>SUMIFS(Data!$G:$G,Data!$A:$A,$A163,Data!$F:$F,"gen_gas_twh")</f>
        <v/>
      </c>
      <c r="F163" s="16">
        <f>SUMIFS(Data!$G:$G,Data!$A:$A,$A163,Data!$F:$F,"gen_oil_twh")</f>
        <v/>
      </c>
      <c r="G163" s="16">
        <f>SUMIFS(Data!$G:$G,Data!$A:$A,$A163,Data!$F:$F,"gen_total_twh")</f>
        <v/>
      </c>
      <c r="H163" s="16">
        <f>SUMIFS(Data!$G:$G,Data!$A:$A,$A163,Data!$F:$F,"em_coal_mt")</f>
        <v/>
      </c>
      <c r="I163" s="16">
        <f>SUMIFS(Data!$G:$G,Data!$A:$A,$A163,Data!$F:$F,"em_gas_mt")</f>
        <v/>
      </c>
      <c r="J163" s="16">
        <f>SUMIFS(Data!$G:$G,Data!$A:$A,$A163,Data!$F:$F,"em_oil_mt")</f>
        <v/>
      </c>
      <c r="K163" s="28">
        <f>IF(COUNTIFS(Data!$A:$A,$A163,Data!$F:$F,"price_electricity_residential_usd_kwh")=0,"",SUMIFS(Data!$G:$G,Data!$A:$A,$A163,Data!$F:$F,"price_electricity_residential_usd_kwh"))</f>
        <v/>
      </c>
      <c r="L163" s="28">
        <f>IF(COUNTIFS(Data!$A:$A,$A163,Data!$F:$F,"price_coal_power_usd_gj")=0,"",SUMIFS(Data!$G:$G,Data!$A:$A,$A163,Data!$F:$F,"price_coal_power_usd_gj"))</f>
        <v/>
      </c>
      <c r="M163" s="28">
        <f>IF(COUNTIFS(Data!$A:$A,$A163,Data!$F:$F,"price_gas_power_usd_gj")=0,"",SUMIFS(Data!$G:$G,Data!$A:$A,$A163,Data!$F:$F,"price_gas_power_usd_gj"))</f>
        <v/>
      </c>
      <c r="N163" s="28">
        <f>IF(COUNTIFS(Data!$A:$A,$A163,Data!$F:$F,"price_gas_industry_usd_gj")=0,"",SUMIFS(Data!$G:$G,Data!$A:$A,$A163,Data!$F:$F,"price_gas_industry_usd_gj"))</f>
        <v/>
      </c>
      <c r="O163" s="28">
        <f>IF(COUNTIFS(Data!$A:$A,$A163,Data!$F:$F,"power_market_structure")=0,"",SUMIFS(Data!$G:$G,Data!$A:$A,$A163,Data!$F:$F,"power_market_structure"))</f>
        <v/>
      </c>
      <c r="P163" s="28">
        <f>IF(COUNTIFS(Data!$A:$A,$A163,Data!$F:$F,"rise_renewable_energy_score")=0,"",SUMIFS(Data!$G:$G,Data!$A:$A,$A163,Data!$F:$F,"rise_renewable_energy_score"))</f>
        <v/>
      </c>
      <c r="Q163" s="16">
        <f>H163+I163+J163</f>
        <v/>
      </c>
      <c r="R163" s="28">
        <f>Q163/G163</f>
        <v/>
      </c>
      <c r="S163" s="28">
        <f>IF(D163&gt;0,H163/D163,0.85)</f>
        <v/>
      </c>
      <c r="T163" s="28">
        <f>IF(E163&gt;0,I163/E163,0.4)</f>
        <v/>
      </c>
      <c r="U163" s="28">
        <f>IF(D163+F163&gt;0,(H163+J163)/(D163+F163),0)</f>
        <v/>
      </c>
      <c r="V163" s="16">
        <f>K163*1000</f>
        <v/>
      </c>
      <c r="W163" s="15">
        <f>IF(O163=3,in_pt3,IF(O163=2,in_pt2,IF(O163=1,in_pt1,IF(C163="High income",in_pt_hi,in_pt_oth))))</f>
        <v/>
      </c>
      <c r="X163" s="28">
        <f>IF(Q163&gt;0,in_kappa*(in_rise_lo+(in_rise_hi-in_rise_lo)*IF(P163="",in_rise_miss,P163)/100)*(D163+F163)*MAX(U163-in_gas_rep*T163,0)/Q163,0)</f>
        <v/>
      </c>
      <c r="Y163" s="16">
        <f>IF(IF(M163="",N163,M163)="",MAX(in_sw_floor,in_sw_miss),MAX(in_sw_floor,(IF(M163="",N163,M163)*in_hr_gas-L163*in_hr_coal)/MAX(S163-T163,0.1)))</f>
        <v/>
      </c>
      <c r="Z163" s="28">
        <f>IF(C163="Low income",in_b40_li,IF(C163="Lower middle income",in_b40_lmi,IF(C163="Upper middle income",in_b40_umi,IF(C163="High income",in_b40_hi,0.03))))</f>
        <v/>
      </c>
      <c r="AA163" s="15">
        <f>(D163+F163)/G163</f>
        <v/>
      </c>
      <c r="AB163" s="28">
        <f>100*W163*R163/V163/in_phase</f>
        <v/>
      </c>
      <c r="AC163" s="29">
        <f>100*Z163*W163*R163/V163*(1-IF(W163&gt;0,MIN(in_rebate/(W163*in_res_sh*in_q40),1),1))</f>
        <v/>
      </c>
      <c r="AD163" s="28">
        <f>IF(AA163&gt;0,100*U163*(1-W163)/(in_whole_sh*V163),0)</f>
        <v/>
      </c>
      <c r="AE163" s="28">
        <f>IF(AA163&gt;0,100*MAX(U163-R163,0)/(in_whole_sh*V163),0)</f>
        <v/>
      </c>
      <c r="AF163" s="16">
        <f>IF(AB163&gt;0,in_f1/AB163,in_cap)</f>
        <v/>
      </c>
      <c r="AG163" s="16">
        <f>IF(AC163&gt;0,in_f2/AC163,in_cap)</f>
        <v/>
      </c>
      <c r="AH163" s="16">
        <f>IF(AD163&gt;0,in_f3/AD163,in_cap)</f>
        <v/>
      </c>
      <c r="AI163" s="16">
        <f>MIN(in_cap,AF163,AG163,AH163)</f>
        <v/>
      </c>
      <c r="AJ163" s="30">
        <f>100*(1-(1-X163*(1-EXP(-((AI163)+(0))/Y163)))*(1-MIN(ABS(in_elas)*W163*R163*(AI163)/V163,1)))</f>
        <v/>
      </c>
      <c r="AK163" s="17">
        <f>IF(AI163&gt;=in_cap-1E-9,"rate cap",TRIM(IF(ABS(AI163-AF163)&lt;1E-9,"F1 ","")&amp;IF(ABS(AI163-AG163)&lt;1E-9,"F2 ","")&amp;IF(ABS(AI163-AH163)&lt;1E-9,"F3","")))</f>
        <v/>
      </c>
      <c r="AL163" s="15">
        <f>100*(1-(1-X163*(1-EXP(-((MIN(in_cap,IF(AB163&gt;0,(in_f1+1)/AB163,in_cap),AG163,AH163))+(0))/Y163)))*(1-MIN(ABS(in_elas)*W163*R163*(MIN(in_cap,IF(AB163&gt;0,(in_f1+1)/AB163,in_cap),AG163,AH163))/V163,1)))-AJ163</f>
        <v/>
      </c>
      <c r="AM163" s="16">
        <f>MIN(in_cap,IF(AE163&gt;0,in_f3/AE163,in_cap))</f>
        <v/>
      </c>
      <c r="AN163" s="30">
        <f>100*(1-(1-X163*(1-EXP(-((0)+(AM163))/Y163)))*(1-MIN(ABS(in_elas)*W163*R163*(0)/V163,1)))</f>
        <v/>
      </c>
      <c r="AO163" s="17">
        <f>IF(AM163&gt;=in_cap-1E-9,"rate cap","F3")</f>
        <v/>
      </c>
      <c r="AP163" s="15">
        <f>100*(1-(1-X163*(1-EXP(-((50)+(0))/Y163)))*(1-MIN(ABS(in_elas)*W163*R163*(50)/V163,1)))</f>
        <v/>
      </c>
      <c r="AQ163" s="15">
        <f>100*(1-(1-X163*(1-EXP(-((0)+(50))/Y163)))*(1-MIN(ABS(in_elas)*W163*R163*(0)/V163,1)))</f>
        <v/>
      </c>
      <c r="AR163" s="15">
        <f>IF(AP163&gt;0,AQ163/AP163,"")</f>
        <v/>
      </c>
      <c r="AS163" s="16">
        <f>50*AB163</f>
        <v/>
      </c>
      <c r="AT163" s="30">
        <f>MAX(BM163:BW163)</f>
        <v/>
      </c>
      <c r="AU163" s="31">
        <f>AI163*(MATCH(AT163,BM163:BW163,0)-1)/10</f>
        <v/>
      </c>
      <c r="AV163" s="31">
        <f>INDEX(BB163:BL163,1,(MATCH(AT163,BM163:BW163,0)-1)+1)</f>
        <v/>
      </c>
      <c r="AW163" s="31">
        <f>AB163*AU163</f>
        <v/>
      </c>
      <c r="AX163" s="30">
        <f>AC163*AU163</f>
        <v/>
      </c>
      <c r="AY163" s="31">
        <f>AD163*AU163+AE163*AV163</f>
        <v/>
      </c>
      <c r="AZ163" s="32">
        <f>TRIM(IF(AND(AU163&gt;0,ABS(AU163-AF163)&lt;1E-6),"F1 ","")&amp;IF(AND(AU163&gt;0,ABS(AU163-AG163)&lt;1E-6),"F2 ","")&amp;IF(AY163&gt;=in_f3-1E-6,"F3 ","")&amp;IF(AV163&gt;=in_cap-1E-9,"rate cap",""))</f>
        <v/>
      </c>
      <c r="BA163" s="31">
        <f>Q163*AT163/100</f>
        <v/>
      </c>
      <c r="BB163" s="16">
        <f>MAX(0,MIN(in_cap,IF(AE163&gt;0,(in_f3-AD163*AI163*0/10)/AE163,in_cap)))</f>
        <v/>
      </c>
      <c r="BC163" s="16">
        <f>MAX(0,MIN(in_cap,IF(AE163&gt;0,(in_f3-AD163*AI163*1/10)/AE163,in_cap)))</f>
        <v/>
      </c>
      <c r="BD163" s="16">
        <f>MAX(0,MIN(in_cap,IF(AE163&gt;0,(in_f3-AD163*AI163*2/10)/AE163,in_cap)))</f>
        <v/>
      </c>
      <c r="BE163" s="16">
        <f>MAX(0,MIN(in_cap,IF(AE163&gt;0,(in_f3-AD163*AI163*3/10)/AE163,in_cap)))</f>
        <v/>
      </c>
      <c r="BF163" s="16">
        <f>MAX(0,MIN(in_cap,IF(AE163&gt;0,(in_f3-AD163*AI163*4/10)/AE163,in_cap)))</f>
        <v/>
      </c>
      <c r="BG163" s="16">
        <f>MAX(0,MIN(in_cap,IF(AE163&gt;0,(in_f3-AD163*AI163*5/10)/AE163,in_cap)))</f>
        <v/>
      </c>
      <c r="BH163" s="16">
        <f>MAX(0,MIN(in_cap,IF(AE163&gt;0,(in_f3-AD163*AI163*6/10)/AE163,in_cap)))</f>
        <v/>
      </c>
      <c r="BI163" s="16">
        <f>MAX(0,MIN(in_cap,IF(AE163&gt;0,(in_f3-AD163*AI163*7/10)/AE163,in_cap)))</f>
        <v/>
      </c>
      <c r="BJ163" s="16">
        <f>MAX(0,MIN(in_cap,IF(AE163&gt;0,(in_f3-AD163*AI163*8/10)/AE163,in_cap)))</f>
        <v/>
      </c>
      <c r="BK163" s="16">
        <f>MAX(0,MIN(in_cap,IF(AE163&gt;0,(in_f3-AD163*AI163*9/10)/AE163,in_cap)))</f>
        <v/>
      </c>
      <c r="BL163" s="16">
        <f>MAX(0,MIN(in_cap,IF(AE163&gt;0,(in_f3-AD163*AI163*10/10)/AE163,in_cap)))</f>
        <v/>
      </c>
      <c r="BM163" s="15">
        <f>100*(1-(1-X163*(1-EXP(-((AI163*0/10)+(BB163))/Y163)))*(1-MIN(ABS(in_elas)*W163*R163*(AI163*0/10)/V163,1)))</f>
        <v/>
      </c>
      <c r="BN163" s="15">
        <f>100*(1-(1-X163*(1-EXP(-((AI163*1/10)+(BC163))/Y163)))*(1-MIN(ABS(in_elas)*W163*R163*(AI163*1/10)/V163,1)))</f>
        <v/>
      </c>
      <c r="BO163" s="15">
        <f>100*(1-(1-X163*(1-EXP(-((AI163*2/10)+(BD163))/Y163)))*(1-MIN(ABS(in_elas)*W163*R163*(AI163*2/10)/V163,1)))</f>
        <v/>
      </c>
      <c r="BP163" s="15">
        <f>100*(1-(1-X163*(1-EXP(-((AI163*3/10)+(BE163))/Y163)))*(1-MIN(ABS(in_elas)*W163*R163*(AI163*3/10)/V163,1)))</f>
        <v/>
      </c>
      <c r="BQ163" s="15">
        <f>100*(1-(1-X163*(1-EXP(-((AI163*4/10)+(BF163))/Y163)))*(1-MIN(ABS(in_elas)*W163*R163*(AI163*4/10)/V163,1)))</f>
        <v/>
      </c>
      <c r="BR163" s="15">
        <f>100*(1-(1-X163*(1-EXP(-((AI163*5/10)+(BG163))/Y163)))*(1-MIN(ABS(in_elas)*W163*R163*(AI163*5/10)/V163,1)))</f>
        <v/>
      </c>
      <c r="BS163" s="15">
        <f>100*(1-(1-X163*(1-EXP(-((AI163*6/10)+(BH163))/Y163)))*(1-MIN(ABS(in_elas)*W163*R163*(AI163*6/10)/V163,1)))</f>
        <v/>
      </c>
      <c r="BT163" s="15">
        <f>100*(1-(1-X163*(1-EXP(-((AI163*7/10)+(BI163))/Y163)))*(1-MIN(ABS(in_elas)*W163*R163*(AI163*7/10)/V163,1)))</f>
        <v/>
      </c>
      <c r="BU163" s="15">
        <f>100*(1-(1-X163*(1-EXP(-((AI163*8/10)+(BJ163))/Y163)))*(1-MIN(ABS(in_elas)*W163*R163*(AI163*8/10)/V163,1)))</f>
        <v/>
      </c>
      <c r="BV163" s="15">
        <f>100*(1-(1-X163*(1-EXP(-((AI163*9/10)+(BK163))/Y163)))*(1-MIN(ABS(in_elas)*W163*R163*(AI163*9/10)/V163,1)))</f>
        <v/>
      </c>
      <c r="BW163" s="15">
        <f>100*(1-(1-X163*(1-EXP(-((AI163*10/10)+(BL163))/Y163)))*(1-MIN(ABS(in_elas)*W163*R163*(AI163*10/10)/V163,1)))</f>
        <v/>
      </c>
    </row>
    <row r="164">
      <c r="A164" s="17" t="inlineStr">
        <is>
          <t>USA</t>
        </is>
      </c>
      <c r="B164" s="17">
        <f>INDEX(Data!$B:$B,MATCH($A164,Data!$A:$A,0))</f>
        <v/>
      </c>
      <c r="C164" s="17">
        <f>INDEX(Data!$D:$D,MATCH($A164,Data!$A:$A,0))</f>
        <v/>
      </c>
      <c r="D164" s="16">
        <f>SUMIFS(Data!$G:$G,Data!$A:$A,$A164,Data!$F:$F,"gen_coal_twh")</f>
        <v/>
      </c>
      <c r="E164" s="16">
        <f>SUMIFS(Data!$G:$G,Data!$A:$A,$A164,Data!$F:$F,"gen_gas_twh")</f>
        <v/>
      </c>
      <c r="F164" s="16">
        <f>SUMIFS(Data!$G:$G,Data!$A:$A,$A164,Data!$F:$F,"gen_oil_twh")</f>
        <v/>
      </c>
      <c r="G164" s="16">
        <f>SUMIFS(Data!$G:$G,Data!$A:$A,$A164,Data!$F:$F,"gen_total_twh")</f>
        <v/>
      </c>
      <c r="H164" s="16">
        <f>SUMIFS(Data!$G:$G,Data!$A:$A,$A164,Data!$F:$F,"em_coal_mt")</f>
        <v/>
      </c>
      <c r="I164" s="16">
        <f>SUMIFS(Data!$G:$G,Data!$A:$A,$A164,Data!$F:$F,"em_gas_mt")</f>
        <v/>
      </c>
      <c r="J164" s="16">
        <f>SUMIFS(Data!$G:$G,Data!$A:$A,$A164,Data!$F:$F,"em_oil_mt")</f>
        <v/>
      </c>
      <c r="K164" s="28">
        <f>IF(COUNTIFS(Data!$A:$A,$A164,Data!$F:$F,"price_electricity_residential_usd_kwh")=0,"",SUMIFS(Data!$G:$G,Data!$A:$A,$A164,Data!$F:$F,"price_electricity_residential_usd_kwh"))</f>
        <v/>
      </c>
      <c r="L164" s="28">
        <f>IF(COUNTIFS(Data!$A:$A,$A164,Data!$F:$F,"price_coal_power_usd_gj")=0,"",SUMIFS(Data!$G:$G,Data!$A:$A,$A164,Data!$F:$F,"price_coal_power_usd_gj"))</f>
        <v/>
      </c>
      <c r="M164" s="28">
        <f>IF(COUNTIFS(Data!$A:$A,$A164,Data!$F:$F,"price_gas_power_usd_gj")=0,"",SUMIFS(Data!$G:$G,Data!$A:$A,$A164,Data!$F:$F,"price_gas_power_usd_gj"))</f>
        <v/>
      </c>
      <c r="N164" s="28">
        <f>IF(COUNTIFS(Data!$A:$A,$A164,Data!$F:$F,"price_gas_industry_usd_gj")=0,"",SUMIFS(Data!$G:$G,Data!$A:$A,$A164,Data!$F:$F,"price_gas_industry_usd_gj"))</f>
        <v/>
      </c>
      <c r="O164" s="28">
        <f>IF(COUNTIFS(Data!$A:$A,$A164,Data!$F:$F,"power_market_structure")=0,"",SUMIFS(Data!$G:$G,Data!$A:$A,$A164,Data!$F:$F,"power_market_structure"))</f>
        <v/>
      </c>
      <c r="P164" s="28">
        <f>IF(COUNTIFS(Data!$A:$A,$A164,Data!$F:$F,"rise_renewable_energy_score")=0,"",SUMIFS(Data!$G:$G,Data!$A:$A,$A164,Data!$F:$F,"rise_renewable_energy_score"))</f>
        <v/>
      </c>
      <c r="Q164" s="16">
        <f>H164+I164+J164</f>
        <v/>
      </c>
      <c r="R164" s="28">
        <f>Q164/G164</f>
        <v/>
      </c>
      <c r="S164" s="28">
        <f>IF(D164&gt;0,H164/D164,0.85)</f>
        <v/>
      </c>
      <c r="T164" s="28">
        <f>IF(E164&gt;0,I164/E164,0.4)</f>
        <v/>
      </c>
      <c r="U164" s="28">
        <f>IF(D164+F164&gt;0,(H164+J164)/(D164+F164),0)</f>
        <v/>
      </c>
      <c r="V164" s="16">
        <f>K164*1000</f>
        <v/>
      </c>
      <c r="W164" s="15">
        <f>IF(O164=3,in_pt3,IF(O164=2,in_pt2,IF(O164=1,in_pt1,IF(C164="High income",in_pt_hi,in_pt_oth))))</f>
        <v/>
      </c>
      <c r="X164" s="28">
        <f>IF(Q164&gt;0,in_kappa*(in_rise_lo+(in_rise_hi-in_rise_lo)*IF(P164="",in_rise_miss,P164)/100)*(D164+F164)*MAX(U164-in_gas_rep*T164,0)/Q164,0)</f>
        <v/>
      </c>
      <c r="Y164" s="16">
        <f>IF(IF(M164="",N164,M164)="",MAX(in_sw_floor,in_sw_miss),MAX(in_sw_floor,(IF(M164="",N164,M164)*in_hr_gas-L164*in_hr_coal)/MAX(S164-T164,0.1)))</f>
        <v/>
      </c>
      <c r="Z164" s="28">
        <f>IF(C164="Low income",in_b40_li,IF(C164="Lower middle income",in_b40_lmi,IF(C164="Upper middle income",in_b40_umi,IF(C164="High income",in_b40_hi,0.03))))</f>
        <v/>
      </c>
      <c r="AA164" s="15">
        <f>(D164+F164)/G164</f>
        <v/>
      </c>
      <c r="AB164" s="28">
        <f>100*W164*R164/V164/in_phase</f>
        <v/>
      </c>
      <c r="AC164" s="29">
        <f>100*Z164*W164*R164/V164*(1-IF(W164&gt;0,MIN(in_rebate/(W164*in_res_sh*in_q40),1),1))</f>
        <v/>
      </c>
      <c r="AD164" s="28">
        <f>IF(AA164&gt;0,100*U164*(1-W164)/(in_whole_sh*V164),0)</f>
        <v/>
      </c>
      <c r="AE164" s="28">
        <f>IF(AA164&gt;0,100*MAX(U164-R164,0)/(in_whole_sh*V164),0)</f>
        <v/>
      </c>
      <c r="AF164" s="16">
        <f>IF(AB164&gt;0,in_f1/AB164,in_cap)</f>
        <v/>
      </c>
      <c r="AG164" s="16">
        <f>IF(AC164&gt;0,in_f2/AC164,in_cap)</f>
        <v/>
      </c>
      <c r="AH164" s="16">
        <f>IF(AD164&gt;0,in_f3/AD164,in_cap)</f>
        <v/>
      </c>
      <c r="AI164" s="16">
        <f>MIN(in_cap,AF164,AG164,AH164)</f>
        <v/>
      </c>
      <c r="AJ164" s="30">
        <f>100*(1-(1-X164*(1-EXP(-((AI164)+(0))/Y164)))*(1-MIN(ABS(in_elas)*W164*R164*(AI164)/V164,1)))</f>
        <v/>
      </c>
      <c r="AK164" s="17">
        <f>IF(AI164&gt;=in_cap-1E-9,"rate cap",TRIM(IF(ABS(AI164-AF164)&lt;1E-9,"F1 ","")&amp;IF(ABS(AI164-AG164)&lt;1E-9,"F2 ","")&amp;IF(ABS(AI164-AH164)&lt;1E-9,"F3","")))</f>
        <v/>
      </c>
      <c r="AL164" s="15">
        <f>100*(1-(1-X164*(1-EXP(-((MIN(in_cap,IF(AB164&gt;0,(in_f1+1)/AB164,in_cap),AG164,AH164))+(0))/Y164)))*(1-MIN(ABS(in_elas)*W164*R164*(MIN(in_cap,IF(AB164&gt;0,(in_f1+1)/AB164,in_cap),AG164,AH164))/V164,1)))-AJ164</f>
        <v/>
      </c>
      <c r="AM164" s="16">
        <f>MIN(in_cap,IF(AE164&gt;0,in_f3/AE164,in_cap))</f>
        <v/>
      </c>
      <c r="AN164" s="30">
        <f>100*(1-(1-X164*(1-EXP(-((0)+(AM164))/Y164)))*(1-MIN(ABS(in_elas)*W164*R164*(0)/V164,1)))</f>
        <v/>
      </c>
      <c r="AO164" s="17">
        <f>IF(AM164&gt;=in_cap-1E-9,"rate cap","F3")</f>
        <v/>
      </c>
      <c r="AP164" s="15">
        <f>100*(1-(1-X164*(1-EXP(-((50)+(0))/Y164)))*(1-MIN(ABS(in_elas)*W164*R164*(50)/V164,1)))</f>
        <v/>
      </c>
      <c r="AQ164" s="15">
        <f>100*(1-(1-X164*(1-EXP(-((0)+(50))/Y164)))*(1-MIN(ABS(in_elas)*W164*R164*(0)/V164,1)))</f>
        <v/>
      </c>
      <c r="AR164" s="15">
        <f>IF(AP164&gt;0,AQ164/AP164,"")</f>
        <v/>
      </c>
      <c r="AS164" s="16">
        <f>50*AB164</f>
        <v/>
      </c>
      <c r="AT164" s="30">
        <f>MAX(BM164:BW164)</f>
        <v/>
      </c>
      <c r="AU164" s="31">
        <f>AI164*(MATCH(AT164,BM164:BW164,0)-1)/10</f>
        <v/>
      </c>
      <c r="AV164" s="31">
        <f>INDEX(BB164:BL164,1,(MATCH(AT164,BM164:BW164,0)-1)+1)</f>
        <v/>
      </c>
      <c r="AW164" s="31">
        <f>AB164*AU164</f>
        <v/>
      </c>
      <c r="AX164" s="30">
        <f>AC164*AU164</f>
        <v/>
      </c>
      <c r="AY164" s="31">
        <f>AD164*AU164+AE164*AV164</f>
        <v/>
      </c>
      <c r="AZ164" s="32">
        <f>TRIM(IF(AND(AU164&gt;0,ABS(AU164-AF164)&lt;1E-6),"F1 ","")&amp;IF(AND(AU164&gt;0,ABS(AU164-AG164)&lt;1E-6),"F2 ","")&amp;IF(AY164&gt;=in_f3-1E-6,"F3 ","")&amp;IF(AV164&gt;=in_cap-1E-9,"rate cap",""))</f>
        <v/>
      </c>
      <c r="BA164" s="31">
        <f>Q164*AT164/100</f>
        <v/>
      </c>
      <c r="BB164" s="16">
        <f>MAX(0,MIN(in_cap,IF(AE164&gt;0,(in_f3-AD164*AI164*0/10)/AE164,in_cap)))</f>
        <v/>
      </c>
      <c r="BC164" s="16">
        <f>MAX(0,MIN(in_cap,IF(AE164&gt;0,(in_f3-AD164*AI164*1/10)/AE164,in_cap)))</f>
        <v/>
      </c>
      <c r="BD164" s="16">
        <f>MAX(0,MIN(in_cap,IF(AE164&gt;0,(in_f3-AD164*AI164*2/10)/AE164,in_cap)))</f>
        <v/>
      </c>
      <c r="BE164" s="16">
        <f>MAX(0,MIN(in_cap,IF(AE164&gt;0,(in_f3-AD164*AI164*3/10)/AE164,in_cap)))</f>
        <v/>
      </c>
      <c r="BF164" s="16">
        <f>MAX(0,MIN(in_cap,IF(AE164&gt;0,(in_f3-AD164*AI164*4/10)/AE164,in_cap)))</f>
        <v/>
      </c>
      <c r="BG164" s="16">
        <f>MAX(0,MIN(in_cap,IF(AE164&gt;0,(in_f3-AD164*AI164*5/10)/AE164,in_cap)))</f>
        <v/>
      </c>
      <c r="BH164" s="16">
        <f>MAX(0,MIN(in_cap,IF(AE164&gt;0,(in_f3-AD164*AI164*6/10)/AE164,in_cap)))</f>
        <v/>
      </c>
      <c r="BI164" s="16">
        <f>MAX(0,MIN(in_cap,IF(AE164&gt;0,(in_f3-AD164*AI164*7/10)/AE164,in_cap)))</f>
        <v/>
      </c>
      <c r="BJ164" s="16">
        <f>MAX(0,MIN(in_cap,IF(AE164&gt;0,(in_f3-AD164*AI164*8/10)/AE164,in_cap)))</f>
        <v/>
      </c>
      <c r="BK164" s="16">
        <f>MAX(0,MIN(in_cap,IF(AE164&gt;0,(in_f3-AD164*AI164*9/10)/AE164,in_cap)))</f>
        <v/>
      </c>
      <c r="BL164" s="16">
        <f>MAX(0,MIN(in_cap,IF(AE164&gt;0,(in_f3-AD164*AI164*10/10)/AE164,in_cap)))</f>
        <v/>
      </c>
      <c r="BM164" s="15">
        <f>100*(1-(1-X164*(1-EXP(-((AI164*0/10)+(BB164))/Y164)))*(1-MIN(ABS(in_elas)*W164*R164*(AI164*0/10)/V164,1)))</f>
        <v/>
      </c>
      <c r="BN164" s="15">
        <f>100*(1-(1-X164*(1-EXP(-((AI164*1/10)+(BC164))/Y164)))*(1-MIN(ABS(in_elas)*W164*R164*(AI164*1/10)/V164,1)))</f>
        <v/>
      </c>
      <c r="BO164" s="15">
        <f>100*(1-(1-X164*(1-EXP(-((AI164*2/10)+(BD164))/Y164)))*(1-MIN(ABS(in_elas)*W164*R164*(AI164*2/10)/V164,1)))</f>
        <v/>
      </c>
      <c r="BP164" s="15">
        <f>100*(1-(1-X164*(1-EXP(-((AI164*3/10)+(BE164))/Y164)))*(1-MIN(ABS(in_elas)*W164*R164*(AI164*3/10)/V164,1)))</f>
        <v/>
      </c>
      <c r="BQ164" s="15">
        <f>100*(1-(1-X164*(1-EXP(-((AI164*4/10)+(BF164))/Y164)))*(1-MIN(ABS(in_elas)*W164*R164*(AI164*4/10)/V164,1)))</f>
        <v/>
      </c>
      <c r="BR164" s="15">
        <f>100*(1-(1-X164*(1-EXP(-((AI164*5/10)+(BG164))/Y164)))*(1-MIN(ABS(in_elas)*W164*R164*(AI164*5/10)/V164,1)))</f>
        <v/>
      </c>
      <c r="BS164" s="15">
        <f>100*(1-(1-X164*(1-EXP(-((AI164*6/10)+(BH164))/Y164)))*(1-MIN(ABS(in_elas)*W164*R164*(AI164*6/10)/V164,1)))</f>
        <v/>
      </c>
      <c r="BT164" s="15">
        <f>100*(1-(1-X164*(1-EXP(-((AI164*7/10)+(BI164))/Y164)))*(1-MIN(ABS(in_elas)*W164*R164*(AI164*7/10)/V164,1)))</f>
        <v/>
      </c>
      <c r="BU164" s="15">
        <f>100*(1-(1-X164*(1-EXP(-((AI164*8/10)+(BJ164))/Y164)))*(1-MIN(ABS(in_elas)*W164*R164*(AI164*8/10)/V164,1)))</f>
        <v/>
      </c>
      <c r="BV164" s="15">
        <f>100*(1-(1-X164*(1-EXP(-((AI164*9/10)+(BK164))/Y164)))*(1-MIN(ABS(in_elas)*W164*R164*(AI164*9/10)/V164,1)))</f>
        <v/>
      </c>
      <c r="BW164" s="15">
        <f>100*(1-(1-X164*(1-EXP(-((AI164*10/10)+(BL164))/Y164)))*(1-MIN(ABS(in_elas)*W164*R164*(AI164*10/10)/V164,1)))</f>
        <v/>
      </c>
    </row>
    <row r="165">
      <c r="A165" s="17" t="inlineStr">
        <is>
          <t>UZB</t>
        </is>
      </c>
      <c r="B165" s="17">
        <f>INDEX(Data!$B:$B,MATCH($A165,Data!$A:$A,0))</f>
        <v/>
      </c>
      <c r="C165" s="17">
        <f>INDEX(Data!$D:$D,MATCH($A165,Data!$A:$A,0))</f>
        <v/>
      </c>
      <c r="D165" s="16">
        <f>SUMIFS(Data!$G:$G,Data!$A:$A,$A165,Data!$F:$F,"gen_coal_twh")</f>
        <v/>
      </c>
      <c r="E165" s="16">
        <f>SUMIFS(Data!$G:$G,Data!$A:$A,$A165,Data!$F:$F,"gen_gas_twh")</f>
        <v/>
      </c>
      <c r="F165" s="16">
        <f>SUMIFS(Data!$G:$G,Data!$A:$A,$A165,Data!$F:$F,"gen_oil_twh")</f>
        <v/>
      </c>
      <c r="G165" s="16">
        <f>SUMIFS(Data!$G:$G,Data!$A:$A,$A165,Data!$F:$F,"gen_total_twh")</f>
        <v/>
      </c>
      <c r="H165" s="16">
        <f>SUMIFS(Data!$G:$G,Data!$A:$A,$A165,Data!$F:$F,"em_coal_mt")</f>
        <v/>
      </c>
      <c r="I165" s="16">
        <f>SUMIFS(Data!$G:$G,Data!$A:$A,$A165,Data!$F:$F,"em_gas_mt")</f>
        <v/>
      </c>
      <c r="J165" s="16">
        <f>SUMIFS(Data!$G:$G,Data!$A:$A,$A165,Data!$F:$F,"em_oil_mt")</f>
        <v/>
      </c>
      <c r="K165" s="28">
        <f>IF(COUNTIFS(Data!$A:$A,$A165,Data!$F:$F,"price_electricity_residential_usd_kwh")=0,"",SUMIFS(Data!$G:$G,Data!$A:$A,$A165,Data!$F:$F,"price_electricity_residential_usd_kwh"))</f>
        <v/>
      </c>
      <c r="L165" s="28">
        <f>IF(COUNTIFS(Data!$A:$A,$A165,Data!$F:$F,"price_coal_power_usd_gj")=0,"",SUMIFS(Data!$G:$G,Data!$A:$A,$A165,Data!$F:$F,"price_coal_power_usd_gj"))</f>
        <v/>
      </c>
      <c r="M165" s="28">
        <f>IF(COUNTIFS(Data!$A:$A,$A165,Data!$F:$F,"price_gas_power_usd_gj")=0,"",SUMIFS(Data!$G:$G,Data!$A:$A,$A165,Data!$F:$F,"price_gas_power_usd_gj"))</f>
        <v/>
      </c>
      <c r="N165" s="28">
        <f>IF(COUNTIFS(Data!$A:$A,$A165,Data!$F:$F,"price_gas_industry_usd_gj")=0,"",SUMIFS(Data!$G:$G,Data!$A:$A,$A165,Data!$F:$F,"price_gas_industry_usd_gj"))</f>
        <v/>
      </c>
      <c r="O165" s="28">
        <f>IF(COUNTIFS(Data!$A:$A,$A165,Data!$F:$F,"power_market_structure")=0,"",SUMIFS(Data!$G:$G,Data!$A:$A,$A165,Data!$F:$F,"power_market_structure"))</f>
        <v/>
      </c>
      <c r="P165" s="28">
        <f>IF(COUNTIFS(Data!$A:$A,$A165,Data!$F:$F,"rise_renewable_energy_score")=0,"",SUMIFS(Data!$G:$G,Data!$A:$A,$A165,Data!$F:$F,"rise_renewable_energy_score"))</f>
        <v/>
      </c>
      <c r="Q165" s="16">
        <f>H165+I165+J165</f>
        <v/>
      </c>
      <c r="R165" s="28">
        <f>Q165/G165</f>
        <v/>
      </c>
      <c r="S165" s="28">
        <f>IF(D165&gt;0,H165/D165,0.85)</f>
        <v/>
      </c>
      <c r="T165" s="28">
        <f>IF(E165&gt;0,I165/E165,0.4)</f>
        <v/>
      </c>
      <c r="U165" s="28">
        <f>IF(D165+F165&gt;0,(H165+J165)/(D165+F165),0)</f>
        <v/>
      </c>
      <c r="V165" s="16">
        <f>K165*1000</f>
        <v/>
      </c>
      <c r="W165" s="15">
        <f>IF(O165=3,in_pt3,IF(O165=2,in_pt2,IF(O165=1,in_pt1,IF(C165="High income",in_pt_hi,in_pt_oth))))</f>
        <v/>
      </c>
      <c r="X165" s="28">
        <f>IF(Q165&gt;0,in_kappa*(in_rise_lo+(in_rise_hi-in_rise_lo)*IF(P165="",in_rise_miss,P165)/100)*(D165+F165)*MAX(U165-in_gas_rep*T165,0)/Q165,0)</f>
        <v/>
      </c>
      <c r="Y165" s="16">
        <f>IF(IF(M165="",N165,M165)="",MAX(in_sw_floor,in_sw_miss),MAX(in_sw_floor,(IF(M165="",N165,M165)*in_hr_gas-L165*in_hr_coal)/MAX(S165-T165,0.1)))</f>
        <v/>
      </c>
      <c r="Z165" s="28">
        <f>IF(C165="Low income",in_b40_li,IF(C165="Lower middle income",in_b40_lmi,IF(C165="Upper middle income",in_b40_umi,IF(C165="High income",in_b40_hi,0.03))))</f>
        <v/>
      </c>
      <c r="AA165" s="15">
        <f>(D165+F165)/G165</f>
        <v/>
      </c>
      <c r="AB165" s="28">
        <f>100*W165*R165/V165/in_phase</f>
        <v/>
      </c>
      <c r="AC165" s="29">
        <f>100*Z165*W165*R165/V165*(1-IF(W165&gt;0,MIN(in_rebate/(W165*in_res_sh*in_q40),1),1))</f>
        <v/>
      </c>
      <c r="AD165" s="28">
        <f>IF(AA165&gt;0,100*U165*(1-W165)/(in_whole_sh*V165),0)</f>
        <v/>
      </c>
      <c r="AE165" s="28">
        <f>IF(AA165&gt;0,100*MAX(U165-R165,0)/(in_whole_sh*V165),0)</f>
        <v/>
      </c>
      <c r="AF165" s="16">
        <f>IF(AB165&gt;0,in_f1/AB165,in_cap)</f>
        <v/>
      </c>
      <c r="AG165" s="16">
        <f>IF(AC165&gt;0,in_f2/AC165,in_cap)</f>
        <v/>
      </c>
      <c r="AH165" s="16">
        <f>IF(AD165&gt;0,in_f3/AD165,in_cap)</f>
        <v/>
      </c>
      <c r="AI165" s="16">
        <f>MIN(in_cap,AF165,AG165,AH165)</f>
        <v/>
      </c>
      <c r="AJ165" s="30">
        <f>100*(1-(1-X165*(1-EXP(-((AI165)+(0))/Y165)))*(1-MIN(ABS(in_elas)*W165*R165*(AI165)/V165,1)))</f>
        <v/>
      </c>
      <c r="AK165" s="17">
        <f>IF(AI165&gt;=in_cap-1E-9,"rate cap",TRIM(IF(ABS(AI165-AF165)&lt;1E-9,"F1 ","")&amp;IF(ABS(AI165-AG165)&lt;1E-9,"F2 ","")&amp;IF(ABS(AI165-AH165)&lt;1E-9,"F3","")))</f>
        <v/>
      </c>
      <c r="AL165" s="15">
        <f>100*(1-(1-X165*(1-EXP(-((MIN(in_cap,IF(AB165&gt;0,(in_f1+1)/AB165,in_cap),AG165,AH165))+(0))/Y165)))*(1-MIN(ABS(in_elas)*W165*R165*(MIN(in_cap,IF(AB165&gt;0,(in_f1+1)/AB165,in_cap),AG165,AH165))/V165,1)))-AJ165</f>
        <v/>
      </c>
      <c r="AM165" s="16">
        <f>MIN(in_cap,IF(AE165&gt;0,in_f3/AE165,in_cap))</f>
        <v/>
      </c>
      <c r="AN165" s="30">
        <f>100*(1-(1-X165*(1-EXP(-((0)+(AM165))/Y165)))*(1-MIN(ABS(in_elas)*W165*R165*(0)/V165,1)))</f>
        <v/>
      </c>
      <c r="AO165" s="17">
        <f>IF(AM165&gt;=in_cap-1E-9,"rate cap","F3")</f>
        <v/>
      </c>
      <c r="AP165" s="15">
        <f>100*(1-(1-X165*(1-EXP(-((50)+(0))/Y165)))*(1-MIN(ABS(in_elas)*W165*R165*(50)/V165,1)))</f>
        <v/>
      </c>
      <c r="AQ165" s="15">
        <f>100*(1-(1-X165*(1-EXP(-((0)+(50))/Y165)))*(1-MIN(ABS(in_elas)*W165*R165*(0)/V165,1)))</f>
        <v/>
      </c>
      <c r="AR165" s="15">
        <f>IF(AP165&gt;0,AQ165/AP165,"")</f>
        <v/>
      </c>
      <c r="AS165" s="16">
        <f>50*AB165</f>
        <v/>
      </c>
      <c r="AT165" s="30">
        <f>MAX(BM165:BW165)</f>
        <v/>
      </c>
      <c r="AU165" s="31">
        <f>AI165*(MATCH(AT165,BM165:BW165,0)-1)/10</f>
        <v/>
      </c>
      <c r="AV165" s="31">
        <f>INDEX(BB165:BL165,1,(MATCH(AT165,BM165:BW165,0)-1)+1)</f>
        <v/>
      </c>
      <c r="AW165" s="31">
        <f>AB165*AU165</f>
        <v/>
      </c>
      <c r="AX165" s="30">
        <f>AC165*AU165</f>
        <v/>
      </c>
      <c r="AY165" s="31">
        <f>AD165*AU165+AE165*AV165</f>
        <v/>
      </c>
      <c r="AZ165" s="32">
        <f>TRIM(IF(AND(AU165&gt;0,ABS(AU165-AF165)&lt;1E-6),"F1 ","")&amp;IF(AND(AU165&gt;0,ABS(AU165-AG165)&lt;1E-6),"F2 ","")&amp;IF(AY165&gt;=in_f3-1E-6,"F3 ","")&amp;IF(AV165&gt;=in_cap-1E-9,"rate cap",""))</f>
        <v/>
      </c>
      <c r="BA165" s="31">
        <f>Q165*AT165/100</f>
        <v/>
      </c>
      <c r="BB165" s="16">
        <f>MAX(0,MIN(in_cap,IF(AE165&gt;0,(in_f3-AD165*AI165*0/10)/AE165,in_cap)))</f>
        <v/>
      </c>
      <c r="BC165" s="16">
        <f>MAX(0,MIN(in_cap,IF(AE165&gt;0,(in_f3-AD165*AI165*1/10)/AE165,in_cap)))</f>
        <v/>
      </c>
      <c r="BD165" s="16">
        <f>MAX(0,MIN(in_cap,IF(AE165&gt;0,(in_f3-AD165*AI165*2/10)/AE165,in_cap)))</f>
        <v/>
      </c>
      <c r="BE165" s="16">
        <f>MAX(0,MIN(in_cap,IF(AE165&gt;0,(in_f3-AD165*AI165*3/10)/AE165,in_cap)))</f>
        <v/>
      </c>
      <c r="BF165" s="16">
        <f>MAX(0,MIN(in_cap,IF(AE165&gt;0,(in_f3-AD165*AI165*4/10)/AE165,in_cap)))</f>
        <v/>
      </c>
      <c r="BG165" s="16">
        <f>MAX(0,MIN(in_cap,IF(AE165&gt;0,(in_f3-AD165*AI165*5/10)/AE165,in_cap)))</f>
        <v/>
      </c>
      <c r="BH165" s="16">
        <f>MAX(0,MIN(in_cap,IF(AE165&gt;0,(in_f3-AD165*AI165*6/10)/AE165,in_cap)))</f>
        <v/>
      </c>
      <c r="BI165" s="16">
        <f>MAX(0,MIN(in_cap,IF(AE165&gt;0,(in_f3-AD165*AI165*7/10)/AE165,in_cap)))</f>
        <v/>
      </c>
      <c r="BJ165" s="16">
        <f>MAX(0,MIN(in_cap,IF(AE165&gt;0,(in_f3-AD165*AI165*8/10)/AE165,in_cap)))</f>
        <v/>
      </c>
      <c r="BK165" s="16">
        <f>MAX(0,MIN(in_cap,IF(AE165&gt;0,(in_f3-AD165*AI165*9/10)/AE165,in_cap)))</f>
        <v/>
      </c>
      <c r="BL165" s="16">
        <f>MAX(0,MIN(in_cap,IF(AE165&gt;0,(in_f3-AD165*AI165*10/10)/AE165,in_cap)))</f>
        <v/>
      </c>
      <c r="BM165" s="15">
        <f>100*(1-(1-X165*(1-EXP(-((AI165*0/10)+(BB165))/Y165)))*(1-MIN(ABS(in_elas)*W165*R165*(AI165*0/10)/V165,1)))</f>
        <v/>
      </c>
      <c r="BN165" s="15">
        <f>100*(1-(1-X165*(1-EXP(-((AI165*1/10)+(BC165))/Y165)))*(1-MIN(ABS(in_elas)*W165*R165*(AI165*1/10)/V165,1)))</f>
        <v/>
      </c>
      <c r="BO165" s="15">
        <f>100*(1-(1-X165*(1-EXP(-((AI165*2/10)+(BD165))/Y165)))*(1-MIN(ABS(in_elas)*W165*R165*(AI165*2/10)/V165,1)))</f>
        <v/>
      </c>
      <c r="BP165" s="15">
        <f>100*(1-(1-X165*(1-EXP(-((AI165*3/10)+(BE165))/Y165)))*(1-MIN(ABS(in_elas)*W165*R165*(AI165*3/10)/V165,1)))</f>
        <v/>
      </c>
      <c r="BQ165" s="15">
        <f>100*(1-(1-X165*(1-EXP(-((AI165*4/10)+(BF165))/Y165)))*(1-MIN(ABS(in_elas)*W165*R165*(AI165*4/10)/V165,1)))</f>
        <v/>
      </c>
      <c r="BR165" s="15">
        <f>100*(1-(1-X165*(1-EXP(-((AI165*5/10)+(BG165))/Y165)))*(1-MIN(ABS(in_elas)*W165*R165*(AI165*5/10)/V165,1)))</f>
        <v/>
      </c>
      <c r="BS165" s="15">
        <f>100*(1-(1-X165*(1-EXP(-((AI165*6/10)+(BH165))/Y165)))*(1-MIN(ABS(in_elas)*W165*R165*(AI165*6/10)/V165,1)))</f>
        <v/>
      </c>
      <c r="BT165" s="15">
        <f>100*(1-(1-X165*(1-EXP(-((AI165*7/10)+(BI165))/Y165)))*(1-MIN(ABS(in_elas)*W165*R165*(AI165*7/10)/V165,1)))</f>
        <v/>
      </c>
      <c r="BU165" s="15">
        <f>100*(1-(1-X165*(1-EXP(-((AI165*8/10)+(BJ165))/Y165)))*(1-MIN(ABS(in_elas)*W165*R165*(AI165*8/10)/V165,1)))</f>
        <v/>
      </c>
      <c r="BV165" s="15">
        <f>100*(1-(1-X165*(1-EXP(-((AI165*9/10)+(BK165))/Y165)))*(1-MIN(ABS(in_elas)*W165*R165*(AI165*9/10)/V165,1)))</f>
        <v/>
      </c>
      <c r="BW165" s="15">
        <f>100*(1-(1-X165*(1-EXP(-((AI165*10/10)+(BL165))/Y165)))*(1-MIN(ABS(in_elas)*W165*R165*(AI165*10/10)/V165,1)))</f>
        <v/>
      </c>
    </row>
    <row r="166">
      <c r="A166" s="17" t="inlineStr">
        <is>
          <t>VCT</t>
        </is>
      </c>
      <c r="B166" s="17">
        <f>INDEX(Data!$B:$B,MATCH($A166,Data!$A:$A,0))</f>
        <v/>
      </c>
      <c r="C166" s="17">
        <f>INDEX(Data!$D:$D,MATCH($A166,Data!$A:$A,0))</f>
        <v/>
      </c>
      <c r="D166" s="16">
        <f>SUMIFS(Data!$G:$G,Data!$A:$A,$A166,Data!$F:$F,"gen_coal_twh")</f>
        <v/>
      </c>
      <c r="E166" s="16">
        <f>SUMIFS(Data!$G:$G,Data!$A:$A,$A166,Data!$F:$F,"gen_gas_twh")</f>
        <v/>
      </c>
      <c r="F166" s="16">
        <f>SUMIFS(Data!$G:$G,Data!$A:$A,$A166,Data!$F:$F,"gen_oil_twh")</f>
        <v/>
      </c>
      <c r="G166" s="16">
        <f>SUMIFS(Data!$G:$G,Data!$A:$A,$A166,Data!$F:$F,"gen_total_twh")</f>
        <v/>
      </c>
      <c r="H166" s="16">
        <f>SUMIFS(Data!$G:$G,Data!$A:$A,$A166,Data!$F:$F,"em_coal_mt")</f>
        <v/>
      </c>
      <c r="I166" s="16">
        <f>SUMIFS(Data!$G:$G,Data!$A:$A,$A166,Data!$F:$F,"em_gas_mt")</f>
        <v/>
      </c>
      <c r="J166" s="16">
        <f>SUMIFS(Data!$G:$G,Data!$A:$A,$A166,Data!$F:$F,"em_oil_mt")</f>
        <v/>
      </c>
      <c r="K166" s="28">
        <f>IF(COUNTIFS(Data!$A:$A,$A166,Data!$F:$F,"price_electricity_residential_usd_kwh")=0,"",SUMIFS(Data!$G:$G,Data!$A:$A,$A166,Data!$F:$F,"price_electricity_residential_usd_kwh"))</f>
        <v/>
      </c>
      <c r="L166" s="28">
        <f>IF(COUNTIFS(Data!$A:$A,$A166,Data!$F:$F,"price_coal_power_usd_gj")=0,"",SUMIFS(Data!$G:$G,Data!$A:$A,$A166,Data!$F:$F,"price_coal_power_usd_gj"))</f>
        <v/>
      </c>
      <c r="M166" s="28">
        <f>IF(COUNTIFS(Data!$A:$A,$A166,Data!$F:$F,"price_gas_power_usd_gj")=0,"",SUMIFS(Data!$G:$G,Data!$A:$A,$A166,Data!$F:$F,"price_gas_power_usd_gj"))</f>
        <v/>
      </c>
      <c r="N166" s="28">
        <f>IF(COUNTIFS(Data!$A:$A,$A166,Data!$F:$F,"price_gas_industry_usd_gj")=0,"",SUMIFS(Data!$G:$G,Data!$A:$A,$A166,Data!$F:$F,"price_gas_industry_usd_gj"))</f>
        <v/>
      </c>
      <c r="O166" s="28">
        <f>IF(COUNTIFS(Data!$A:$A,$A166,Data!$F:$F,"power_market_structure")=0,"",SUMIFS(Data!$G:$G,Data!$A:$A,$A166,Data!$F:$F,"power_market_structure"))</f>
        <v/>
      </c>
      <c r="P166" s="28">
        <f>IF(COUNTIFS(Data!$A:$A,$A166,Data!$F:$F,"rise_renewable_energy_score")=0,"",SUMIFS(Data!$G:$G,Data!$A:$A,$A166,Data!$F:$F,"rise_renewable_energy_score"))</f>
        <v/>
      </c>
      <c r="Q166" s="16">
        <f>H166+I166+J166</f>
        <v/>
      </c>
      <c r="R166" s="28">
        <f>Q166/G166</f>
        <v/>
      </c>
      <c r="S166" s="28">
        <f>IF(D166&gt;0,H166/D166,0.85)</f>
        <v/>
      </c>
      <c r="T166" s="28">
        <f>IF(E166&gt;0,I166/E166,0.4)</f>
        <v/>
      </c>
      <c r="U166" s="28">
        <f>IF(D166+F166&gt;0,(H166+J166)/(D166+F166),0)</f>
        <v/>
      </c>
      <c r="V166" s="16">
        <f>K166*1000</f>
        <v/>
      </c>
      <c r="W166" s="15">
        <f>IF(O166=3,in_pt3,IF(O166=2,in_pt2,IF(O166=1,in_pt1,IF(C166="High income",in_pt_hi,in_pt_oth))))</f>
        <v/>
      </c>
      <c r="X166" s="28">
        <f>IF(Q166&gt;0,in_kappa*(in_rise_lo+(in_rise_hi-in_rise_lo)*IF(P166="",in_rise_miss,P166)/100)*(D166+F166)*MAX(U166-in_gas_rep*T166,0)/Q166,0)</f>
        <v/>
      </c>
      <c r="Y166" s="16">
        <f>IF(IF(M166="",N166,M166)="",MAX(in_sw_floor,in_sw_miss),MAX(in_sw_floor,(IF(M166="",N166,M166)*in_hr_gas-L166*in_hr_coal)/MAX(S166-T166,0.1)))</f>
        <v/>
      </c>
      <c r="Z166" s="28">
        <f>IF(C166="Low income",in_b40_li,IF(C166="Lower middle income",in_b40_lmi,IF(C166="Upper middle income",in_b40_umi,IF(C166="High income",in_b40_hi,0.03))))</f>
        <v/>
      </c>
      <c r="AA166" s="15">
        <f>(D166+F166)/G166</f>
        <v/>
      </c>
      <c r="AB166" s="28">
        <f>100*W166*R166/V166/in_phase</f>
        <v/>
      </c>
      <c r="AC166" s="29">
        <f>100*Z166*W166*R166/V166*(1-IF(W166&gt;0,MIN(in_rebate/(W166*in_res_sh*in_q40),1),1))</f>
        <v/>
      </c>
      <c r="AD166" s="28">
        <f>IF(AA166&gt;0,100*U166*(1-W166)/(in_whole_sh*V166),0)</f>
        <v/>
      </c>
      <c r="AE166" s="28">
        <f>IF(AA166&gt;0,100*MAX(U166-R166,0)/(in_whole_sh*V166),0)</f>
        <v/>
      </c>
      <c r="AF166" s="16">
        <f>IF(AB166&gt;0,in_f1/AB166,in_cap)</f>
        <v/>
      </c>
      <c r="AG166" s="16">
        <f>IF(AC166&gt;0,in_f2/AC166,in_cap)</f>
        <v/>
      </c>
      <c r="AH166" s="16">
        <f>IF(AD166&gt;0,in_f3/AD166,in_cap)</f>
        <v/>
      </c>
      <c r="AI166" s="16">
        <f>MIN(in_cap,AF166,AG166,AH166)</f>
        <v/>
      </c>
      <c r="AJ166" s="30">
        <f>100*(1-(1-X166*(1-EXP(-((AI166)+(0))/Y166)))*(1-MIN(ABS(in_elas)*W166*R166*(AI166)/V166,1)))</f>
        <v/>
      </c>
      <c r="AK166" s="17">
        <f>IF(AI166&gt;=in_cap-1E-9,"rate cap",TRIM(IF(ABS(AI166-AF166)&lt;1E-9,"F1 ","")&amp;IF(ABS(AI166-AG166)&lt;1E-9,"F2 ","")&amp;IF(ABS(AI166-AH166)&lt;1E-9,"F3","")))</f>
        <v/>
      </c>
      <c r="AL166" s="15">
        <f>100*(1-(1-X166*(1-EXP(-((MIN(in_cap,IF(AB166&gt;0,(in_f1+1)/AB166,in_cap),AG166,AH166))+(0))/Y166)))*(1-MIN(ABS(in_elas)*W166*R166*(MIN(in_cap,IF(AB166&gt;0,(in_f1+1)/AB166,in_cap),AG166,AH166))/V166,1)))-AJ166</f>
        <v/>
      </c>
      <c r="AM166" s="16">
        <f>MIN(in_cap,IF(AE166&gt;0,in_f3/AE166,in_cap))</f>
        <v/>
      </c>
      <c r="AN166" s="30">
        <f>100*(1-(1-X166*(1-EXP(-((0)+(AM166))/Y166)))*(1-MIN(ABS(in_elas)*W166*R166*(0)/V166,1)))</f>
        <v/>
      </c>
      <c r="AO166" s="17">
        <f>IF(AM166&gt;=in_cap-1E-9,"rate cap","F3")</f>
        <v/>
      </c>
      <c r="AP166" s="15">
        <f>100*(1-(1-X166*(1-EXP(-((50)+(0))/Y166)))*(1-MIN(ABS(in_elas)*W166*R166*(50)/V166,1)))</f>
        <v/>
      </c>
      <c r="AQ166" s="15">
        <f>100*(1-(1-X166*(1-EXP(-((0)+(50))/Y166)))*(1-MIN(ABS(in_elas)*W166*R166*(0)/V166,1)))</f>
        <v/>
      </c>
      <c r="AR166" s="15">
        <f>IF(AP166&gt;0,AQ166/AP166,"")</f>
        <v/>
      </c>
      <c r="AS166" s="16">
        <f>50*AB166</f>
        <v/>
      </c>
      <c r="AT166" s="30">
        <f>MAX(BM166:BW166)</f>
        <v/>
      </c>
      <c r="AU166" s="31">
        <f>AI166*(MATCH(AT166,BM166:BW166,0)-1)/10</f>
        <v/>
      </c>
      <c r="AV166" s="31">
        <f>INDEX(BB166:BL166,1,(MATCH(AT166,BM166:BW166,0)-1)+1)</f>
        <v/>
      </c>
      <c r="AW166" s="31">
        <f>AB166*AU166</f>
        <v/>
      </c>
      <c r="AX166" s="30">
        <f>AC166*AU166</f>
        <v/>
      </c>
      <c r="AY166" s="31">
        <f>AD166*AU166+AE166*AV166</f>
        <v/>
      </c>
      <c r="AZ166" s="32">
        <f>TRIM(IF(AND(AU166&gt;0,ABS(AU166-AF166)&lt;1E-6),"F1 ","")&amp;IF(AND(AU166&gt;0,ABS(AU166-AG166)&lt;1E-6),"F2 ","")&amp;IF(AY166&gt;=in_f3-1E-6,"F3 ","")&amp;IF(AV166&gt;=in_cap-1E-9,"rate cap",""))</f>
        <v/>
      </c>
      <c r="BA166" s="31">
        <f>Q166*AT166/100</f>
        <v/>
      </c>
      <c r="BB166" s="16">
        <f>MAX(0,MIN(in_cap,IF(AE166&gt;0,(in_f3-AD166*AI166*0/10)/AE166,in_cap)))</f>
        <v/>
      </c>
      <c r="BC166" s="16">
        <f>MAX(0,MIN(in_cap,IF(AE166&gt;0,(in_f3-AD166*AI166*1/10)/AE166,in_cap)))</f>
        <v/>
      </c>
      <c r="BD166" s="16">
        <f>MAX(0,MIN(in_cap,IF(AE166&gt;0,(in_f3-AD166*AI166*2/10)/AE166,in_cap)))</f>
        <v/>
      </c>
      <c r="BE166" s="16">
        <f>MAX(0,MIN(in_cap,IF(AE166&gt;0,(in_f3-AD166*AI166*3/10)/AE166,in_cap)))</f>
        <v/>
      </c>
      <c r="BF166" s="16">
        <f>MAX(0,MIN(in_cap,IF(AE166&gt;0,(in_f3-AD166*AI166*4/10)/AE166,in_cap)))</f>
        <v/>
      </c>
      <c r="BG166" s="16">
        <f>MAX(0,MIN(in_cap,IF(AE166&gt;0,(in_f3-AD166*AI166*5/10)/AE166,in_cap)))</f>
        <v/>
      </c>
      <c r="BH166" s="16">
        <f>MAX(0,MIN(in_cap,IF(AE166&gt;0,(in_f3-AD166*AI166*6/10)/AE166,in_cap)))</f>
        <v/>
      </c>
      <c r="BI166" s="16">
        <f>MAX(0,MIN(in_cap,IF(AE166&gt;0,(in_f3-AD166*AI166*7/10)/AE166,in_cap)))</f>
        <v/>
      </c>
      <c r="BJ166" s="16">
        <f>MAX(0,MIN(in_cap,IF(AE166&gt;0,(in_f3-AD166*AI166*8/10)/AE166,in_cap)))</f>
        <v/>
      </c>
      <c r="BK166" s="16">
        <f>MAX(0,MIN(in_cap,IF(AE166&gt;0,(in_f3-AD166*AI166*9/10)/AE166,in_cap)))</f>
        <v/>
      </c>
      <c r="BL166" s="16">
        <f>MAX(0,MIN(in_cap,IF(AE166&gt;0,(in_f3-AD166*AI166*10/10)/AE166,in_cap)))</f>
        <v/>
      </c>
      <c r="BM166" s="15">
        <f>100*(1-(1-X166*(1-EXP(-((AI166*0/10)+(BB166))/Y166)))*(1-MIN(ABS(in_elas)*W166*R166*(AI166*0/10)/V166,1)))</f>
        <v/>
      </c>
      <c r="BN166" s="15">
        <f>100*(1-(1-X166*(1-EXP(-((AI166*1/10)+(BC166))/Y166)))*(1-MIN(ABS(in_elas)*W166*R166*(AI166*1/10)/V166,1)))</f>
        <v/>
      </c>
      <c r="BO166" s="15">
        <f>100*(1-(1-X166*(1-EXP(-((AI166*2/10)+(BD166))/Y166)))*(1-MIN(ABS(in_elas)*W166*R166*(AI166*2/10)/V166,1)))</f>
        <v/>
      </c>
      <c r="BP166" s="15">
        <f>100*(1-(1-X166*(1-EXP(-((AI166*3/10)+(BE166))/Y166)))*(1-MIN(ABS(in_elas)*W166*R166*(AI166*3/10)/V166,1)))</f>
        <v/>
      </c>
      <c r="BQ166" s="15">
        <f>100*(1-(1-X166*(1-EXP(-((AI166*4/10)+(BF166))/Y166)))*(1-MIN(ABS(in_elas)*W166*R166*(AI166*4/10)/V166,1)))</f>
        <v/>
      </c>
      <c r="BR166" s="15">
        <f>100*(1-(1-X166*(1-EXP(-((AI166*5/10)+(BG166))/Y166)))*(1-MIN(ABS(in_elas)*W166*R166*(AI166*5/10)/V166,1)))</f>
        <v/>
      </c>
      <c r="BS166" s="15">
        <f>100*(1-(1-X166*(1-EXP(-((AI166*6/10)+(BH166))/Y166)))*(1-MIN(ABS(in_elas)*W166*R166*(AI166*6/10)/V166,1)))</f>
        <v/>
      </c>
      <c r="BT166" s="15">
        <f>100*(1-(1-X166*(1-EXP(-((AI166*7/10)+(BI166))/Y166)))*(1-MIN(ABS(in_elas)*W166*R166*(AI166*7/10)/V166,1)))</f>
        <v/>
      </c>
      <c r="BU166" s="15">
        <f>100*(1-(1-X166*(1-EXP(-((AI166*8/10)+(BJ166))/Y166)))*(1-MIN(ABS(in_elas)*W166*R166*(AI166*8/10)/V166,1)))</f>
        <v/>
      </c>
      <c r="BV166" s="15">
        <f>100*(1-(1-X166*(1-EXP(-((AI166*9/10)+(BK166))/Y166)))*(1-MIN(ABS(in_elas)*W166*R166*(AI166*9/10)/V166,1)))</f>
        <v/>
      </c>
      <c r="BW166" s="15">
        <f>100*(1-(1-X166*(1-EXP(-((AI166*10/10)+(BL166))/Y166)))*(1-MIN(ABS(in_elas)*W166*R166*(AI166*10/10)/V166,1)))</f>
        <v/>
      </c>
    </row>
    <row r="167">
      <c r="A167" s="17" t="inlineStr">
        <is>
          <t>VEN</t>
        </is>
      </c>
      <c r="B167" s="17">
        <f>INDEX(Data!$B:$B,MATCH($A167,Data!$A:$A,0))</f>
        <v/>
      </c>
      <c r="C167" s="17">
        <f>INDEX(Data!$D:$D,MATCH($A167,Data!$A:$A,0))</f>
        <v/>
      </c>
      <c r="D167" s="16">
        <f>SUMIFS(Data!$G:$G,Data!$A:$A,$A167,Data!$F:$F,"gen_coal_twh")</f>
        <v/>
      </c>
      <c r="E167" s="16">
        <f>SUMIFS(Data!$G:$G,Data!$A:$A,$A167,Data!$F:$F,"gen_gas_twh")</f>
        <v/>
      </c>
      <c r="F167" s="16">
        <f>SUMIFS(Data!$G:$G,Data!$A:$A,$A167,Data!$F:$F,"gen_oil_twh")</f>
        <v/>
      </c>
      <c r="G167" s="16">
        <f>SUMIFS(Data!$G:$G,Data!$A:$A,$A167,Data!$F:$F,"gen_total_twh")</f>
        <v/>
      </c>
      <c r="H167" s="16">
        <f>SUMIFS(Data!$G:$G,Data!$A:$A,$A167,Data!$F:$F,"em_coal_mt")</f>
        <v/>
      </c>
      <c r="I167" s="16">
        <f>SUMIFS(Data!$G:$G,Data!$A:$A,$A167,Data!$F:$F,"em_gas_mt")</f>
        <v/>
      </c>
      <c r="J167" s="16">
        <f>SUMIFS(Data!$G:$G,Data!$A:$A,$A167,Data!$F:$F,"em_oil_mt")</f>
        <v/>
      </c>
      <c r="K167" s="28">
        <f>IF(COUNTIFS(Data!$A:$A,$A167,Data!$F:$F,"price_electricity_residential_usd_kwh")=0,"",SUMIFS(Data!$G:$G,Data!$A:$A,$A167,Data!$F:$F,"price_electricity_residential_usd_kwh"))</f>
        <v/>
      </c>
      <c r="L167" s="28">
        <f>IF(COUNTIFS(Data!$A:$A,$A167,Data!$F:$F,"price_coal_power_usd_gj")=0,"",SUMIFS(Data!$G:$G,Data!$A:$A,$A167,Data!$F:$F,"price_coal_power_usd_gj"))</f>
        <v/>
      </c>
      <c r="M167" s="28">
        <f>IF(COUNTIFS(Data!$A:$A,$A167,Data!$F:$F,"price_gas_power_usd_gj")=0,"",SUMIFS(Data!$G:$G,Data!$A:$A,$A167,Data!$F:$F,"price_gas_power_usd_gj"))</f>
        <v/>
      </c>
      <c r="N167" s="28">
        <f>IF(COUNTIFS(Data!$A:$A,$A167,Data!$F:$F,"price_gas_industry_usd_gj")=0,"",SUMIFS(Data!$G:$G,Data!$A:$A,$A167,Data!$F:$F,"price_gas_industry_usd_gj"))</f>
        <v/>
      </c>
      <c r="O167" s="28">
        <f>IF(COUNTIFS(Data!$A:$A,$A167,Data!$F:$F,"power_market_structure")=0,"",SUMIFS(Data!$G:$G,Data!$A:$A,$A167,Data!$F:$F,"power_market_structure"))</f>
        <v/>
      </c>
      <c r="P167" s="28">
        <f>IF(COUNTIFS(Data!$A:$A,$A167,Data!$F:$F,"rise_renewable_energy_score")=0,"",SUMIFS(Data!$G:$G,Data!$A:$A,$A167,Data!$F:$F,"rise_renewable_energy_score"))</f>
        <v/>
      </c>
      <c r="Q167" s="16">
        <f>H167+I167+J167</f>
        <v/>
      </c>
      <c r="R167" s="28">
        <f>Q167/G167</f>
        <v/>
      </c>
      <c r="S167" s="28">
        <f>IF(D167&gt;0,H167/D167,0.85)</f>
        <v/>
      </c>
      <c r="T167" s="28">
        <f>IF(E167&gt;0,I167/E167,0.4)</f>
        <v/>
      </c>
      <c r="U167" s="28">
        <f>IF(D167+F167&gt;0,(H167+J167)/(D167+F167),0)</f>
        <v/>
      </c>
      <c r="V167" s="16">
        <f>K167*1000</f>
        <v/>
      </c>
      <c r="W167" s="15">
        <f>IF(O167=3,in_pt3,IF(O167=2,in_pt2,IF(O167=1,in_pt1,IF(C167="High income",in_pt_hi,in_pt_oth))))</f>
        <v/>
      </c>
      <c r="X167" s="28">
        <f>IF(Q167&gt;0,in_kappa*(in_rise_lo+(in_rise_hi-in_rise_lo)*IF(P167="",in_rise_miss,P167)/100)*(D167+F167)*MAX(U167-in_gas_rep*T167,0)/Q167,0)</f>
        <v/>
      </c>
      <c r="Y167" s="16">
        <f>IF(IF(M167="",N167,M167)="",MAX(in_sw_floor,in_sw_miss),MAX(in_sw_floor,(IF(M167="",N167,M167)*in_hr_gas-L167*in_hr_coal)/MAX(S167-T167,0.1)))</f>
        <v/>
      </c>
      <c r="Z167" s="28">
        <f>IF(C167="Low income",in_b40_li,IF(C167="Lower middle income",in_b40_lmi,IF(C167="Upper middle income",in_b40_umi,IF(C167="High income",in_b40_hi,0.03))))</f>
        <v/>
      </c>
      <c r="AA167" s="15">
        <f>(D167+F167)/G167</f>
        <v/>
      </c>
      <c r="AB167" s="28">
        <f>100*W167*R167/V167/in_phase</f>
        <v/>
      </c>
      <c r="AC167" s="29">
        <f>100*Z167*W167*R167/V167*(1-IF(W167&gt;0,MIN(in_rebate/(W167*in_res_sh*in_q40),1),1))</f>
        <v/>
      </c>
      <c r="AD167" s="28">
        <f>IF(AA167&gt;0,100*U167*(1-W167)/(in_whole_sh*V167),0)</f>
        <v/>
      </c>
      <c r="AE167" s="28">
        <f>IF(AA167&gt;0,100*MAX(U167-R167,0)/(in_whole_sh*V167),0)</f>
        <v/>
      </c>
      <c r="AF167" s="16">
        <f>IF(AB167&gt;0,in_f1/AB167,in_cap)</f>
        <v/>
      </c>
      <c r="AG167" s="16">
        <f>IF(AC167&gt;0,in_f2/AC167,in_cap)</f>
        <v/>
      </c>
      <c r="AH167" s="16">
        <f>IF(AD167&gt;0,in_f3/AD167,in_cap)</f>
        <v/>
      </c>
      <c r="AI167" s="16">
        <f>MIN(in_cap,AF167,AG167,AH167)</f>
        <v/>
      </c>
      <c r="AJ167" s="30">
        <f>100*(1-(1-X167*(1-EXP(-((AI167)+(0))/Y167)))*(1-MIN(ABS(in_elas)*W167*R167*(AI167)/V167,1)))</f>
        <v/>
      </c>
      <c r="AK167" s="17">
        <f>IF(AI167&gt;=in_cap-1E-9,"rate cap",TRIM(IF(ABS(AI167-AF167)&lt;1E-9,"F1 ","")&amp;IF(ABS(AI167-AG167)&lt;1E-9,"F2 ","")&amp;IF(ABS(AI167-AH167)&lt;1E-9,"F3","")))</f>
        <v/>
      </c>
      <c r="AL167" s="15">
        <f>100*(1-(1-X167*(1-EXP(-((MIN(in_cap,IF(AB167&gt;0,(in_f1+1)/AB167,in_cap),AG167,AH167))+(0))/Y167)))*(1-MIN(ABS(in_elas)*W167*R167*(MIN(in_cap,IF(AB167&gt;0,(in_f1+1)/AB167,in_cap),AG167,AH167))/V167,1)))-AJ167</f>
        <v/>
      </c>
      <c r="AM167" s="16">
        <f>MIN(in_cap,IF(AE167&gt;0,in_f3/AE167,in_cap))</f>
        <v/>
      </c>
      <c r="AN167" s="30">
        <f>100*(1-(1-X167*(1-EXP(-((0)+(AM167))/Y167)))*(1-MIN(ABS(in_elas)*W167*R167*(0)/V167,1)))</f>
        <v/>
      </c>
      <c r="AO167" s="17">
        <f>IF(AM167&gt;=in_cap-1E-9,"rate cap","F3")</f>
        <v/>
      </c>
      <c r="AP167" s="15">
        <f>100*(1-(1-X167*(1-EXP(-((50)+(0))/Y167)))*(1-MIN(ABS(in_elas)*W167*R167*(50)/V167,1)))</f>
        <v/>
      </c>
      <c r="AQ167" s="15">
        <f>100*(1-(1-X167*(1-EXP(-((0)+(50))/Y167)))*(1-MIN(ABS(in_elas)*W167*R167*(0)/V167,1)))</f>
        <v/>
      </c>
      <c r="AR167" s="15">
        <f>IF(AP167&gt;0,AQ167/AP167,"")</f>
        <v/>
      </c>
      <c r="AS167" s="16">
        <f>50*AB167</f>
        <v/>
      </c>
      <c r="AT167" s="30">
        <f>MAX(BM167:BW167)</f>
        <v/>
      </c>
      <c r="AU167" s="31">
        <f>AI167*(MATCH(AT167,BM167:BW167,0)-1)/10</f>
        <v/>
      </c>
      <c r="AV167" s="31">
        <f>INDEX(BB167:BL167,1,(MATCH(AT167,BM167:BW167,0)-1)+1)</f>
        <v/>
      </c>
      <c r="AW167" s="31">
        <f>AB167*AU167</f>
        <v/>
      </c>
      <c r="AX167" s="30">
        <f>AC167*AU167</f>
        <v/>
      </c>
      <c r="AY167" s="31">
        <f>AD167*AU167+AE167*AV167</f>
        <v/>
      </c>
      <c r="AZ167" s="32">
        <f>TRIM(IF(AND(AU167&gt;0,ABS(AU167-AF167)&lt;1E-6),"F1 ","")&amp;IF(AND(AU167&gt;0,ABS(AU167-AG167)&lt;1E-6),"F2 ","")&amp;IF(AY167&gt;=in_f3-1E-6,"F3 ","")&amp;IF(AV167&gt;=in_cap-1E-9,"rate cap",""))</f>
        <v/>
      </c>
      <c r="BA167" s="31">
        <f>Q167*AT167/100</f>
        <v/>
      </c>
      <c r="BB167" s="16">
        <f>MAX(0,MIN(in_cap,IF(AE167&gt;0,(in_f3-AD167*AI167*0/10)/AE167,in_cap)))</f>
        <v/>
      </c>
      <c r="BC167" s="16">
        <f>MAX(0,MIN(in_cap,IF(AE167&gt;0,(in_f3-AD167*AI167*1/10)/AE167,in_cap)))</f>
        <v/>
      </c>
      <c r="BD167" s="16">
        <f>MAX(0,MIN(in_cap,IF(AE167&gt;0,(in_f3-AD167*AI167*2/10)/AE167,in_cap)))</f>
        <v/>
      </c>
      <c r="BE167" s="16">
        <f>MAX(0,MIN(in_cap,IF(AE167&gt;0,(in_f3-AD167*AI167*3/10)/AE167,in_cap)))</f>
        <v/>
      </c>
      <c r="BF167" s="16">
        <f>MAX(0,MIN(in_cap,IF(AE167&gt;0,(in_f3-AD167*AI167*4/10)/AE167,in_cap)))</f>
        <v/>
      </c>
      <c r="BG167" s="16">
        <f>MAX(0,MIN(in_cap,IF(AE167&gt;0,(in_f3-AD167*AI167*5/10)/AE167,in_cap)))</f>
        <v/>
      </c>
      <c r="BH167" s="16">
        <f>MAX(0,MIN(in_cap,IF(AE167&gt;0,(in_f3-AD167*AI167*6/10)/AE167,in_cap)))</f>
        <v/>
      </c>
      <c r="BI167" s="16">
        <f>MAX(0,MIN(in_cap,IF(AE167&gt;0,(in_f3-AD167*AI167*7/10)/AE167,in_cap)))</f>
        <v/>
      </c>
      <c r="BJ167" s="16">
        <f>MAX(0,MIN(in_cap,IF(AE167&gt;0,(in_f3-AD167*AI167*8/10)/AE167,in_cap)))</f>
        <v/>
      </c>
      <c r="BK167" s="16">
        <f>MAX(0,MIN(in_cap,IF(AE167&gt;0,(in_f3-AD167*AI167*9/10)/AE167,in_cap)))</f>
        <v/>
      </c>
      <c r="BL167" s="16">
        <f>MAX(0,MIN(in_cap,IF(AE167&gt;0,(in_f3-AD167*AI167*10/10)/AE167,in_cap)))</f>
        <v/>
      </c>
      <c r="BM167" s="15">
        <f>100*(1-(1-X167*(1-EXP(-((AI167*0/10)+(BB167))/Y167)))*(1-MIN(ABS(in_elas)*W167*R167*(AI167*0/10)/V167,1)))</f>
        <v/>
      </c>
      <c r="BN167" s="15">
        <f>100*(1-(1-X167*(1-EXP(-((AI167*1/10)+(BC167))/Y167)))*(1-MIN(ABS(in_elas)*W167*R167*(AI167*1/10)/V167,1)))</f>
        <v/>
      </c>
      <c r="BO167" s="15">
        <f>100*(1-(1-X167*(1-EXP(-((AI167*2/10)+(BD167))/Y167)))*(1-MIN(ABS(in_elas)*W167*R167*(AI167*2/10)/V167,1)))</f>
        <v/>
      </c>
      <c r="BP167" s="15">
        <f>100*(1-(1-X167*(1-EXP(-((AI167*3/10)+(BE167))/Y167)))*(1-MIN(ABS(in_elas)*W167*R167*(AI167*3/10)/V167,1)))</f>
        <v/>
      </c>
      <c r="BQ167" s="15">
        <f>100*(1-(1-X167*(1-EXP(-((AI167*4/10)+(BF167))/Y167)))*(1-MIN(ABS(in_elas)*W167*R167*(AI167*4/10)/V167,1)))</f>
        <v/>
      </c>
      <c r="BR167" s="15">
        <f>100*(1-(1-X167*(1-EXP(-((AI167*5/10)+(BG167))/Y167)))*(1-MIN(ABS(in_elas)*W167*R167*(AI167*5/10)/V167,1)))</f>
        <v/>
      </c>
      <c r="BS167" s="15">
        <f>100*(1-(1-X167*(1-EXP(-((AI167*6/10)+(BH167))/Y167)))*(1-MIN(ABS(in_elas)*W167*R167*(AI167*6/10)/V167,1)))</f>
        <v/>
      </c>
      <c r="BT167" s="15">
        <f>100*(1-(1-X167*(1-EXP(-((AI167*7/10)+(BI167))/Y167)))*(1-MIN(ABS(in_elas)*W167*R167*(AI167*7/10)/V167,1)))</f>
        <v/>
      </c>
      <c r="BU167" s="15">
        <f>100*(1-(1-X167*(1-EXP(-((AI167*8/10)+(BJ167))/Y167)))*(1-MIN(ABS(in_elas)*W167*R167*(AI167*8/10)/V167,1)))</f>
        <v/>
      </c>
      <c r="BV167" s="15">
        <f>100*(1-(1-X167*(1-EXP(-((AI167*9/10)+(BK167))/Y167)))*(1-MIN(ABS(in_elas)*W167*R167*(AI167*9/10)/V167,1)))</f>
        <v/>
      </c>
      <c r="BW167" s="15">
        <f>100*(1-(1-X167*(1-EXP(-((AI167*10/10)+(BL167))/Y167)))*(1-MIN(ABS(in_elas)*W167*R167*(AI167*10/10)/V167,1)))</f>
        <v/>
      </c>
    </row>
    <row r="168">
      <c r="A168" s="17" t="inlineStr">
        <is>
          <t>VNM</t>
        </is>
      </c>
      <c r="B168" s="17">
        <f>INDEX(Data!$B:$B,MATCH($A168,Data!$A:$A,0))</f>
        <v/>
      </c>
      <c r="C168" s="17">
        <f>INDEX(Data!$D:$D,MATCH($A168,Data!$A:$A,0))</f>
        <v/>
      </c>
      <c r="D168" s="16">
        <f>SUMIFS(Data!$G:$G,Data!$A:$A,$A168,Data!$F:$F,"gen_coal_twh")</f>
        <v/>
      </c>
      <c r="E168" s="16">
        <f>SUMIFS(Data!$G:$G,Data!$A:$A,$A168,Data!$F:$F,"gen_gas_twh")</f>
        <v/>
      </c>
      <c r="F168" s="16">
        <f>SUMIFS(Data!$G:$G,Data!$A:$A,$A168,Data!$F:$F,"gen_oil_twh")</f>
        <v/>
      </c>
      <c r="G168" s="16">
        <f>SUMIFS(Data!$G:$G,Data!$A:$A,$A168,Data!$F:$F,"gen_total_twh")</f>
        <v/>
      </c>
      <c r="H168" s="16">
        <f>SUMIFS(Data!$G:$G,Data!$A:$A,$A168,Data!$F:$F,"em_coal_mt")</f>
        <v/>
      </c>
      <c r="I168" s="16">
        <f>SUMIFS(Data!$G:$G,Data!$A:$A,$A168,Data!$F:$F,"em_gas_mt")</f>
        <v/>
      </c>
      <c r="J168" s="16">
        <f>SUMIFS(Data!$G:$G,Data!$A:$A,$A168,Data!$F:$F,"em_oil_mt")</f>
        <v/>
      </c>
      <c r="K168" s="28">
        <f>IF(COUNTIFS(Data!$A:$A,$A168,Data!$F:$F,"price_electricity_residential_usd_kwh")=0,"",SUMIFS(Data!$G:$G,Data!$A:$A,$A168,Data!$F:$F,"price_electricity_residential_usd_kwh"))</f>
        <v/>
      </c>
      <c r="L168" s="28">
        <f>IF(COUNTIFS(Data!$A:$A,$A168,Data!$F:$F,"price_coal_power_usd_gj")=0,"",SUMIFS(Data!$G:$G,Data!$A:$A,$A168,Data!$F:$F,"price_coal_power_usd_gj"))</f>
        <v/>
      </c>
      <c r="M168" s="28">
        <f>IF(COUNTIFS(Data!$A:$A,$A168,Data!$F:$F,"price_gas_power_usd_gj")=0,"",SUMIFS(Data!$G:$G,Data!$A:$A,$A168,Data!$F:$F,"price_gas_power_usd_gj"))</f>
        <v/>
      </c>
      <c r="N168" s="28">
        <f>IF(COUNTIFS(Data!$A:$A,$A168,Data!$F:$F,"price_gas_industry_usd_gj")=0,"",SUMIFS(Data!$G:$G,Data!$A:$A,$A168,Data!$F:$F,"price_gas_industry_usd_gj"))</f>
        <v/>
      </c>
      <c r="O168" s="28">
        <f>IF(COUNTIFS(Data!$A:$A,$A168,Data!$F:$F,"power_market_structure")=0,"",SUMIFS(Data!$G:$G,Data!$A:$A,$A168,Data!$F:$F,"power_market_structure"))</f>
        <v/>
      </c>
      <c r="P168" s="28">
        <f>IF(COUNTIFS(Data!$A:$A,$A168,Data!$F:$F,"rise_renewable_energy_score")=0,"",SUMIFS(Data!$G:$G,Data!$A:$A,$A168,Data!$F:$F,"rise_renewable_energy_score"))</f>
        <v/>
      </c>
      <c r="Q168" s="16">
        <f>H168+I168+J168</f>
        <v/>
      </c>
      <c r="R168" s="28">
        <f>Q168/G168</f>
        <v/>
      </c>
      <c r="S168" s="28">
        <f>IF(D168&gt;0,H168/D168,0.85)</f>
        <v/>
      </c>
      <c r="T168" s="28">
        <f>IF(E168&gt;0,I168/E168,0.4)</f>
        <v/>
      </c>
      <c r="U168" s="28">
        <f>IF(D168+F168&gt;0,(H168+J168)/(D168+F168),0)</f>
        <v/>
      </c>
      <c r="V168" s="16">
        <f>K168*1000</f>
        <v/>
      </c>
      <c r="W168" s="15">
        <f>IF(O168=3,in_pt3,IF(O168=2,in_pt2,IF(O168=1,in_pt1,IF(C168="High income",in_pt_hi,in_pt_oth))))</f>
        <v/>
      </c>
      <c r="X168" s="28">
        <f>IF(Q168&gt;0,in_kappa*(in_rise_lo+(in_rise_hi-in_rise_lo)*IF(P168="",in_rise_miss,P168)/100)*(D168+F168)*MAX(U168-in_gas_rep*T168,0)/Q168,0)</f>
        <v/>
      </c>
      <c r="Y168" s="16">
        <f>IF(IF(M168="",N168,M168)="",MAX(in_sw_floor,in_sw_miss),MAX(in_sw_floor,(IF(M168="",N168,M168)*in_hr_gas-L168*in_hr_coal)/MAX(S168-T168,0.1)))</f>
        <v/>
      </c>
      <c r="Z168" s="28">
        <f>IF(C168="Low income",in_b40_li,IF(C168="Lower middle income",in_b40_lmi,IF(C168="Upper middle income",in_b40_umi,IF(C168="High income",in_b40_hi,0.03))))</f>
        <v/>
      </c>
      <c r="AA168" s="15">
        <f>(D168+F168)/G168</f>
        <v/>
      </c>
      <c r="AB168" s="28">
        <f>100*W168*R168/V168/in_phase</f>
        <v/>
      </c>
      <c r="AC168" s="29">
        <f>100*Z168*W168*R168/V168*(1-IF(W168&gt;0,MIN(in_rebate/(W168*in_res_sh*in_q40),1),1))</f>
        <v/>
      </c>
      <c r="AD168" s="28">
        <f>IF(AA168&gt;0,100*U168*(1-W168)/(in_whole_sh*V168),0)</f>
        <v/>
      </c>
      <c r="AE168" s="28">
        <f>IF(AA168&gt;0,100*MAX(U168-R168,0)/(in_whole_sh*V168),0)</f>
        <v/>
      </c>
      <c r="AF168" s="16">
        <f>IF(AB168&gt;0,in_f1/AB168,in_cap)</f>
        <v/>
      </c>
      <c r="AG168" s="16">
        <f>IF(AC168&gt;0,in_f2/AC168,in_cap)</f>
        <v/>
      </c>
      <c r="AH168" s="16">
        <f>IF(AD168&gt;0,in_f3/AD168,in_cap)</f>
        <v/>
      </c>
      <c r="AI168" s="16">
        <f>MIN(in_cap,AF168,AG168,AH168)</f>
        <v/>
      </c>
      <c r="AJ168" s="30">
        <f>100*(1-(1-X168*(1-EXP(-((AI168)+(0))/Y168)))*(1-MIN(ABS(in_elas)*W168*R168*(AI168)/V168,1)))</f>
        <v/>
      </c>
      <c r="AK168" s="17">
        <f>IF(AI168&gt;=in_cap-1E-9,"rate cap",TRIM(IF(ABS(AI168-AF168)&lt;1E-9,"F1 ","")&amp;IF(ABS(AI168-AG168)&lt;1E-9,"F2 ","")&amp;IF(ABS(AI168-AH168)&lt;1E-9,"F3","")))</f>
        <v/>
      </c>
      <c r="AL168" s="15">
        <f>100*(1-(1-X168*(1-EXP(-((MIN(in_cap,IF(AB168&gt;0,(in_f1+1)/AB168,in_cap),AG168,AH168))+(0))/Y168)))*(1-MIN(ABS(in_elas)*W168*R168*(MIN(in_cap,IF(AB168&gt;0,(in_f1+1)/AB168,in_cap),AG168,AH168))/V168,1)))-AJ168</f>
        <v/>
      </c>
      <c r="AM168" s="16">
        <f>MIN(in_cap,IF(AE168&gt;0,in_f3/AE168,in_cap))</f>
        <v/>
      </c>
      <c r="AN168" s="30">
        <f>100*(1-(1-X168*(1-EXP(-((0)+(AM168))/Y168)))*(1-MIN(ABS(in_elas)*W168*R168*(0)/V168,1)))</f>
        <v/>
      </c>
      <c r="AO168" s="17">
        <f>IF(AM168&gt;=in_cap-1E-9,"rate cap","F3")</f>
        <v/>
      </c>
      <c r="AP168" s="15">
        <f>100*(1-(1-X168*(1-EXP(-((50)+(0))/Y168)))*(1-MIN(ABS(in_elas)*W168*R168*(50)/V168,1)))</f>
        <v/>
      </c>
      <c r="AQ168" s="15">
        <f>100*(1-(1-X168*(1-EXP(-((0)+(50))/Y168)))*(1-MIN(ABS(in_elas)*W168*R168*(0)/V168,1)))</f>
        <v/>
      </c>
      <c r="AR168" s="15">
        <f>IF(AP168&gt;0,AQ168/AP168,"")</f>
        <v/>
      </c>
      <c r="AS168" s="16">
        <f>50*AB168</f>
        <v/>
      </c>
      <c r="AT168" s="30">
        <f>MAX(BM168:BW168)</f>
        <v/>
      </c>
      <c r="AU168" s="31">
        <f>AI168*(MATCH(AT168,BM168:BW168,0)-1)/10</f>
        <v/>
      </c>
      <c r="AV168" s="31">
        <f>INDEX(BB168:BL168,1,(MATCH(AT168,BM168:BW168,0)-1)+1)</f>
        <v/>
      </c>
      <c r="AW168" s="31">
        <f>AB168*AU168</f>
        <v/>
      </c>
      <c r="AX168" s="30">
        <f>AC168*AU168</f>
        <v/>
      </c>
      <c r="AY168" s="31">
        <f>AD168*AU168+AE168*AV168</f>
        <v/>
      </c>
      <c r="AZ168" s="32">
        <f>TRIM(IF(AND(AU168&gt;0,ABS(AU168-AF168)&lt;1E-6),"F1 ","")&amp;IF(AND(AU168&gt;0,ABS(AU168-AG168)&lt;1E-6),"F2 ","")&amp;IF(AY168&gt;=in_f3-1E-6,"F3 ","")&amp;IF(AV168&gt;=in_cap-1E-9,"rate cap",""))</f>
        <v/>
      </c>
      <c r="BA168" s="31">
        <f>Q168*AT168/100</f>
        <v/>
      </c>
      <c r="BB168" s="16">
        <f>MAX(0,MIN(in_cap,IF(AE168&gt;0,(in_f3-AD168*AI168*0/10)/AE168,in_cap)))</f>
        <v/>
      </c>
      <c r="BC168" s="16">
        <f>MAX(0,MIN(in_cap,IF(AE168&gt;0,(in_f3-AD168*AI168*1/10)/AE168,in_cap)))</f>
        <v/>
      </c>
      <c r="BD168" s="16">
        <f>MAX(0,MIN(in_cap,IF(AE168&gt;0,(in_f3-AD168*AI168*2/10)/AE168,in_cap)))</f>
        <v/>
      </c>
      <c r="BE168" s="16">
        <f>MAX(0,MIN(in_cap,IF(AE168&gt;0,(in_f3-AD168*AI168*3/10)/AE168,in_cap)))</f>
        <v/>
      </c>
      <c r="BF168" s="16">
        <f>MAX(0,MIN(in_cap,IF(AE168&gt;0,(in_f3-AD168*AI168*4/10)/AE168,in_cap)))</f>
        <v/>
      </c>
      <c r="BG168" s="16">
        <f>MAX(0,MIN(in_cap,IF(AE168&gt;0,(in_f3-AD168*AI168*5/10)/AE168,in_cap)))</f>
        <v/>
      </c>
      <c r="BH168" s="16">
        <f>MAX(0,MIN(in_cap,IF(AE168&gt;0,(in_f3-AD168*AI168*6/10)/AE168,in_cap)))</f>
        <v/>
      </c>
      <c r="BI168" s="16">
        <f>MAX(0,MIN(in_cap,IF(AE168&gt;0,(in_f3-AD168*AI168*7/10)/AE168,in_cap)))</f>
        <v/>
      </c>
      <c r="BJ168" s="16">
        <f>MAX(0,MIN(in_cap,IF(AE168&gt;0,(in_f3-AD168*AI168*8/10)/AE168,in_cap)))</f>
        <v/>
      </c>
      <c r="BK168" s="16">
        <f>MAX(0,MIN(in_cap,IF(AE168&gt;0,(in_f3-AD168*AI168*9/10)/AE168,in_cap)))</f>
        <v/>
      </c>
      <c r="BL168" s="16">
        <f>MAX(0,MIN(in_cap,IF(AE168&gt;0,(in_f3-AD168*AI168*10/10)/AE168,in_cap)))</f>
        <v/>
      </c>
      <c r="BM168" s="15">
        <f>100*(1-(1-X168*(1-EXP(-((AI168*0/10)+(BB168))/Y168)))*(1-MIN(ABS(in_elas)*W168*R168*(AI168*0/10)/V168,1)))</f>
        <v/>
      </c>
      <c r="BN168" s="15">
        <f>100*(1-(1-X168*(1-EXP(-((AI168*1/10)+(BC168))/Y168)))*(1-MIN(ABS(in_elas)*W168*R168*(AI168*1/10)/V168,1)))</f>
        <v/>
      </c>
      <c r="BO168" s="15">
        <f>100*(1-(1-X168*(1-EXP(-((AI168*2/10)+(BD168))/Y168)))*(1-MIN(ABS(in_elas)*W168*R168*(AI168*2/10)/V168,1)))</f>
        <v/>
      </c>
      <c r="BP168" s="15">
        <f>100*(1-(1-X168*(1-EXP(-((AI168*3/10)+(BE168))/Y168)))*(1-MIN(ABS(in_elas)*W168*R168*(AI168*3/10)/V168,1)))</f>
        <v/>
      </c>
      <c r="BQ168" s="15">
        <f>100*(1-(1-X168*(1-EXP(-((AI168*4/10)+(BF168))/Y168)))*(1-MIN(ABS(in_elas)*W168*R168*(AI168*4/10)/V168,1)))</f>
        <v/>
      </c>
      <c r="BR168" s="15">
        <f>100*(1-(1-X168*(1-EXP(-((AI168*5/10)+(BG168))/Y168)))*(1-MIN(ABS(in_elas)*W168*R168*(AI168*5/10)/V168,1)))</f>
        <v/>
      </c>
      <c r="BS168" s="15">
        <f>100*(1-(1-X168*(1-EXP(-((AI168*6/10)+(BH168))/Y168)))*(1-MIN(ABS(in_elas)*W168*R168*(AI168*6/10)/V168,1)))</f>
        <v/>
      </c>
      <c r="BT168" s="15">
        <f>100*(1-(1-X168*(1-EXP(-((AI168*7/10)+(BI168))/Y168)))*(1-MIN(ABS(in_elas)*W168*R168*(AI168*7/10)/V168,1)))</f>
        <v/>
      </c>
      <c r="BU168" s="15">
        <f>100*(1-(1-X168*(1-EXP(-((AI168*8/10)+(BJ168))/Y168)))*(1-MIN(ABS(in_elas)*W168*R168*(AI168*8/10)/V168,1)))</f>
        <v/>
      </c>
      <c r="BV168" s="15">
        <f>100*(1-(1-X168*(1-EXP(-((AI168*9/10)+(BK168))/Y168)))*(1-MIN(ABS(in_elas)*W168*R168*(AI168*9/10)/V168,1)))</f>
        <v/>
      </c>
      <c r="BW168" s="15">
        <f>100*(1-(1-X168*(1-EXP(-((AI168*10/10)+(BL168))/Y168)))*(1-MIN(ABS(in_elas)*W168*R168*(AI168*10/10)/V168,1)))</f>
        <v/>
      </c>
    </row>
    <row r="169">
      <c r="A169" s="17" t="inlineStr">
        <is>
          <t>WSM</t>
        </is>
      </c>
      <c r="B169" s="17">
        <f>INDEX(Data!$B:$B,MATCH($A169,Data!$A:$A,0))</f>
        <v/>
      </c>
      <c r="C169" s="17">
        <f>INDEX(Data!$D:$D,MATCH($A169,Data!$A:$A,0))</f>
        <v/>
      </c>
      <c r="D169" s="16">
        <f>SUMIFS(Data!$G:$G,Data!$A:$A,$A169,Data!$F:$F,"gen_coal_twh")</f>
        <v/>
      </c>
      <c r="E169" s="16">
        <f>SUMIFS(Data!$G:$G,Data!$A:$A,$A169,Data!$F:$F,"gen_gas_twh")</f>
        <v/>
      </c>
      <c r="F169" s="16">
        <f>SUMIFS(Data!$G:$G,Data!$A:$A,$A169,Data!$F:$F,"gen_oil_twh")</f>
        <v/>
      </c>
      <c r="G169" s="16">
        <f>SUMIFS(Data!$G:$G,Data!$A:$A,$A169,Data!$F:$F,"gen_total_twh")</f>
        <v/>
      </c>
      <c r="H169" s="16">
        <f>SUMIFS(Data!$G:$G,Data!$A:$A,$A169,Data!$F:$F,"em_coal_mt")</f>
        <v/>
      </c>
      <c r="I169" s="16">
        <f>SUMIFS(Data!$G:$G,Data!$A:$A,$A169,Data!$F:$F,"em_gas_mt")</f>
        <v/>
      </c>
      <c r="J169" s="16">
        <f>SUMIFS(Data!$G:$G,Data!$A:$A,$A169,Data!$F:$F,"em_oil_mt")</f>
        <v/>
      </c>
      <c r="K169" s="28">
        <f>IF(COUNTIFS(Data!$A:$A,$A169,Data!$F:$F,"price_electricity_residential_usd_kwh")=0,"",SUMIFS(Data!$G:$G,Data!$A:$A,$A169,Data!$F:$F,"price_electricity_residential_usd_kwh"))</f>
        <v/>
      </c>
      <c r="L169" s="28">
        <f>IF(COUNTIFS(Data!$A:$A,$A169,Data!$F:$F,"price_coal_power_usd_gj")=0,"",SUMIFS(Data!$G:$G,Data!$A:$A,$A169,Data!$F:$F,"price_coal_power_usd_gj"))</f>
        <v/>
      </c>
      <c r="M169" s="28">
        <f>IF(COUNTIFS(Data!$A:$A,$A169,Data!$F:$F,"price_gas_power_usd_gj")=0,"",SUMIFS(Data!$G:$G,Data!$A:$A,$A169,Data!$F:$F,"price_gas_power_usd_gj"))</f>
        <v/>
      </c>
      <c r="N169" s="28">
        <f>IF(COUNTIFS(Data!$A:$A,$A169,Data!$F:$F,"price_gas_industry_usd_gj")=0,"",SUMIFS(Data!$G:$G,Data!$A:$A,$A169,Data!$F:$F,"price_gas_industry_usd_gj"))</f>
        <v/>
      </c>
      <c r="O169" s="28">
        <f>IF(COUNTIFS(Data!$A:$A,$A169,Data!$F:$F,"power_market_structure")=0,"",SUMIFS(Data!$G:$G,Data!$A:$A,$A169,Data!$F:$F,"power_market_structure"))</f>
        <v/>
      </c>
      <c r="P169" s="28">
        <f>IF(COUNTIFS(Data!$A:$A,$A169,Data!$F:$F,"rise_renewable_energy_score")=0,"",SUMIFS(Data!$G:$G,Data!$A:$A,$A169,Data!$F:$F,"rise_renewable_energy_score"))</f>
        <v/>
      </c>
      <c r="Q169" s="16">
        <f>H169+I169+J169</f>
        <v/>
      </c>
      <c r="R169" s="28">
        <f>Q169/G169</f>
        <v/>
      </c>
      <c r="S169" s="28">
        <f>IF(D169&gt;0,H169/D169,0.85)</f>
        <v/>
      </c>
      <c r="T169" s="28">
        <f>IF(E169&gt;0,I169/E169,0.4)</f>
        <v/>
      </c>
      <c r="U169" s="28">
        <f>IF(D169+F169&gt;0,(H169+J169)/(D169+F169),0)</f>
        <v/>
      </c>
      <c r="V169" s="16">
        <f>K169*1000</f>
        <v/>
      </c>
      <c r="W169" s="15">
        <f>IF(O169=3,in_pt3,IF(O169=2,in_pt2,IF(O169=1,in_pt1,IF(C169="High income",in_pt_hi,in_pt_oth))))</f>
        <v/>
      </c>
      <c r="X169" s="28">
        <f>IF(Q169&gt;0,in_kappa*(in_rise_lo+(in_rise_hi-in_rise_lo)*IF(P169="",in_rise_miss,P169)/100)*(D169+F169)*MAX(U169-in_gas_rep*T169,0)/Q169,0)</f>
        <v/>
      </c>
      <c r="Y169" s="16">
        <f>IF(IF(M169="",N169,M169)="",MAX(in_sw_floor,in_sw_miss),MAX(in_sw_floor,(IF(M169="",N169,M169)*in_hr_gas-L169*in_hr_coal)/MAX(S169-T169,0.1)))</f>
        <v/>
      </c>
      <c r="Z169" s="28">
        <f>IF(C169="Low income",in_b40_li,IF(C169="Lower middle income",in_b40_lmi,IF(C169="Upper middle income",in_b40_umi,IF(C169="High income",in_b40_hi,0.03))))</f>
        <v/>
      </c>
      <c r="AA169" s="15">
        <f>(D169+F169)/G169</f>
        <v/>
      </c>
      <c r="AB169" s="28">
        <f>100*W169*R169/V169/in_phase</f>
        <v/>
      </c>
      <c r="AC169" s="29">
        <f>100*Z169*W169*R169/V169*(1-IF(W169&gt;0,MIN(in_rebate/(W169*in_res_sh*in_q40),1),1))</f>
        <v/>
      </c>
      <c r="AD169" s="28">
        <f>IF(AA169&gt;0,100*U169*(1-W169)/(in_whole_sh*V169),0)</f>
        <v/>
      </c>
      <c r="AE169" s="28">
        <f>IF(AA169&gt;0,100*MAX(U169-R169,0)/(in_whole_sh*V169),0)</f>
        <v/>
      </c>
      <c r="AF169" s="16">
        <f>IF(AB169&gt;0,in_f1/AB169,in_cap)</f>
        <v/>
      </c>
      <c r="AG169" s="16">
        <f>IF(AC169&gt;0,in_f2/AC169,in_cap)</f>
        <v/>
      </c>
      <c r="AH169" s="16">
        <f>IF(AD169&gt;0,in_f3/AD169,in_cap)</f>
        <v/>
      </c>
      <c r="AI169" s="16">
        <f>MIN(in_cap,AF169,AG169,AH169)</f>
        <v/>
      </c>
      <c r="AJ169" s="30">
        <f>100*(1-(1-X169*(1-EXP(-((AI169)+(0))/Y169)))*(1-MIN(ABS(in_elas)*W169*R169*(AI169)/V169,1)))</f>
        <v/>
      </c>
      <c r="AK169" s="17">
        <f>IF(AI169&gt;=in_cap-1E-9,"rate cap",TRIM(IF(ABS(AI169-AF169)&lt;1E-9,"F1 ","")&amp;IF(ABS(AI169-AG169)&lt;1E-9,"F2 ","")&amp;IF(ABS(AI169-AH169)&lt;1E-9,"F3","")))</f>
        <v/>
      </c>
      <c r="AL169" s="15">
        <f>100*(1-(1-X169*(1-EXP(-((MIN(in_cap,IF(AB169&gt;0,(in_f1+1)/AB169,in_cap),AG169,AH169))+(0))/Y169)))*(1-MIN(ABS(in_elas)*W169*R169*(MIN(in_cap,IF(AB169&gt;0,(in_f1+1)/AB169,in_cap),AG169,AH169))/V169,1)))-AJ169</f>
        <v/>
      </c>
      <c r="AM169" s="16">
        <f>MIN(in_cap,IF(AE169&gt;0,in_f3/AE169,in_cap))</f>
        <v/>
      </c>
      <c r="AN169" s="30">
        <f>100*(1-(1-X169*(1-EXP(-((0)+(AM169))/Y169)))*(1-MIN(ABS(in_elas)*W169*R169*(0)/V169,1)))</f>
        <v/>
      </c>
      <c r="AO169" s="17">
        <f>IF(AM169&gt;=in_cap-1E-9,"rate cap","F3")</f>
        <v/>
      </c>
      <c r="AP169" s="15">
        <f>100*(1-(1-X169*(1-EXP(-((50)+(0))/Y169)))*(1-MIN(ABS(in_elas)*W169*R169*(50)/V169,1)))</f>
        <v/>
      </c>
      <c r="AQ169" s="15">
        <f>100*(1-(1-X169*(1-EXP(-((0)+(50))/Y169)))*(1-MIN(ABS(in_elas)*W169*R169*(0)/V169,1)))</f>
        <v/>
      </c>
      <c r="AR169" s="15">
        <f>IF(AP169&gt;0,AQ169/AP169,"")</f>
        <v/>
      </c>
      <c r="AS169" s="16">
        <f>50*AB169</f>
        <v/>
      </c>
      <c r="AT169" s="30">
        <f>MAX(BM169:BW169)</f>
        <v/>
      </c>
      <c r="AU169" s="31">
        <f>AI169*(MATCH(AT169,BM169:BW169,0)-1)/10</f>
        <v/>
      </c>
      <c r="AV169" s="31">
        <f>INDEX(BB169:BL169,1,(MATCH(AT169,BM169:BW169,0)-1)+1)</f>
        <v/>
      </c>
      <c r="AW169" s="31">
        <f>AB169*AU169</f>
        <v/>
      </c>
      <c r="AX169" s="30">
        <f>AC169*AU169</f>
        <v/>
      </c>
      <c r="AY169" s="31">
        <f>AD169*AU169+AE169*AV169</f>
        <v/>
      </c>
      <c r="AZ169" s="32">
        <f>TRIM(IF(AND(AU169&gt;0,ABS(AU169-AF169)&lt;1E-6),"F1 ","")&amp;IF(AND(AU169&gt;0,ABS(AU169-AG169)&lt;1E-6),"F2 ","")&amp;IF(AY169&gt;=in_f3-1E-6,"F3 ","")&amp;IF(AV169&gt;=in_cap-1E-9,"rate cap",""))</f>
        <v/>
      </c>
      <c r="BA169" s="31">
        <f>Q169*AT169/100</f>
        <v/>
      </c>
      <c r="BB169" s="16">
        <f>MAX(0,MIN(in_cap,IF(AE169&gt;0,(in_f3-AD169*AI169*0/10)/AE169,in_cap)))</f>
        <v/>
      </c>
      <c r="BC169" s="16">
        <f>MAX(0,MIN(in_cap,IF(AE169&gt;0,(in_f3-AD169*AI169*1/10)/AE169,in_cap)))</f>
        <v/>
      </c>
      <c r="BD169" s="16">
        <f>MAX(0,MIN(in_cap,IF(AE169&gt;0,(in_f3-AD169*AI169*2/10)/AE169,in_cap)))</f>
        <v/>
      </c>
      <c r="BE169" s="16">
        <f>MAX(0,MIN(in_cap,IF(AE169&gt;0,(in_f3-AD169*AI169*3/10)/AE169,in_cap)))</f>
        <v/>
      </c>
      <c r="BF169" s="16">
        <f>MAX(0,MIN(in_cap,IF(AE169&gt;0,(in_f3-AD169*AI169*4/10)/AE169,in_cap)))</f>
        <v/>
      </c>
      <c r="BG169" s="16">
        <f>MAX(0,MIN(in_cap,IF(AE169&gt;0,(in_f3-AD169*AI169*5/10)/AE169,in_cap)))</f>
        <v/>
      </c>
      <c r="BH169" s="16">
        <f>MAX(0,MIN(in_cap,IF(AE169&gt;0,(in_f3-AD169*AI169*6/10)/AE169,in_cap)))</f>
        <v/>
      </c>
      <c r="BI169" s="16">
        <f>MAX(0,MIN(in_cap,IF(AE169&gt;0,(in_f3-AD169*AI169*7/10)/AE169,in_cap)))</f>
        <v/>
      </c>
      <c r="BJ169" s="16">
        <f>MAX(0,MIN(in_cap,IF(AE169&gt;0,(in_f3-AD169*AI169*8/10)/AE169,in_cap)))</f>
        <v/>
      </c>
      <c r="BK169" s="16">
        <f>MAX(0,MIN(in_cap,IF(AE169&gt;0,(in_f3-AD169*AI169*9/10)/AE169,in_cap)))</f>
        <v/>
      </c>
      <c r="BL169" s="16">
        <f>MAX(0,MIN(in_cap,IF(AE169&gt;0,(in_f3-AD169*AI169*10/10)/AE169,in_cap)))</f>
        <v/>
      </c>
      <c r="BM169" s="15">
        <f>100*(1-(1-X169*(1-EXP(-((AI169*0/10)+(BB169))/Y169)))*(1-MIN(ABS(in_elas)*W169*R169*(AI169*0/10)/V169,1)))</f>
        <v/>
      </c>
      <c r="BN169" s="15">
        <f>100*(1-(1-X169*(1-EXP(-((AI169*1/10)+(BC169))/Y169)))*(1-MIN(ABS(in_elas)*W169*R169*(AI169*1/10)/V169,1)))</f>
        <v/>
      </c>
      <c r="BO169" s="15">
        <f>100*(1-(1-X169*(1-EXP(-((AI169*2/10)+(BD169))/Y169)))*(1-MIN(ABS(in_elas)*W169*R169*(AI169*2/10)/V169,1)))</f>
        <v/>
      </c>
      <c r="BP169" s="15">
        <f>100*(1-(1-X169*(1-EXP(-((AI169*3/10)+(BE169))/Y169)))*(1-MIN(ABS(in_elas)*W169*R169*(AI169*3/10)/V169,1)))</f>
        <v/>
      </c>
      <c r="BQ169" s="15">
        <f>100*(1-(1-X169*(1-EXP(-((AI169*4/10)+(BF169))/Y169)))*(1-MIN(ABS(in_elas)*W169*R169*(AI169*4/10)/V169,1)))</f>
        <v/>
      </c>
      <c r="BR169" s="15">
        <f>100*(1-(1-X169*(1-EXP(-((AI169*5/10)+(BG169))/Y169)))*(1-MIN(ABS(in_elas)*W169*R169*(AI169*5/10)/V169,1)))</f>
        <v/>
      </c>
      <c r="BS169" s="15">
        <f>100*(1-(1-X169*(1-EXP(-((AI169*6/10)+(BH169))/Y169)))*(1-MIN(ABS(in_elas)*W169*R169*(AI169*6/10)/V169,1)))</f>
        <v/>
      </c>
      <c r="BT169" s="15">
        <f>100*(1-(1-X169*(1-EXP(-((AI169*7/10)+(BI169))/Y169)))*(1-MIN(ABS(in_elas)*W169*R169*(AI169*7/10)/V169,1)))</f>
        <v/>
      </c>
      <c r="BU169" s="15">
        <f>100*(1-(1-X169*(1-EXP(-((AI169*8/10)+(BJ169))/Y169)))*(1-MIN(ABS(in_elas)*W169*R169*(AI169*8/10)/V169,1)))</f>
        <v/>
      </c>
      <c r="BV169" s="15">
        <f>100*(1-(1-X169*(1-EXP(-((AI169*9/10)+(BK169))/Y169)))*(1-MIN(ABS(in_elas)*W169*R169*(AI169*9/10)/V169,1)))</f>
        <v/>
      </c>
      <c r="BW169" s="15">
        <f>100*(1-(1-X169*(1-EXP(-((AI169*10/10)+(BL169))/Y169)))*(1-MIN(ABS(in_elas)*W169*R169*(AI169*10/10)/V169,1)))</f>
        <v/>
      </c>
    </row>
    <row r="170">
      <c r="A170" s="17" t="inlineStr">
        <is>
          <t>XKX</t>
        </is>
      </c>
      <c r="B170" s="17">
        <f>INDEX(Data!$B:$B,MATCH($A170,Data!$A:$A,0))</f>
        <v/>
      </c>
      <c r="C170" s="17">
        <f>INDEX(Data!$D:$D,MATCH($A170,Data!$A:$A,0))</f>
        <v/>
      </c>
      <c r="D170" s="16">
        <f>SUMIFS(Data!$G:$G,Data!$A:$A,$A170,Data!$F:$F,"gen_coal_twh")</f>
        <v/>
      </c>
      <c r="E170" s="16">
        <f>SUMIFS(Data!$G:$G,Data!$A:$A,$A170,Data!$F:$F,"gen_gas_twh")</f>
        <v/>
      </c>
      <c r="F170" s="16">
        <f>SUMIFS(Data!$G:$G,Data!$A:$A,$A170,Data!$F:$F,"gen_oil_twh")</f>
        <v/>
      </c>
      <c r="G170" s="16">
        <f>SUMIFS(Data!$G:$G,Data!$A:$A,$A170,Data!$F:$F,"gen_total_twh")</f>
        <v/>
      </c>
      <c r="H170" s="16">
        <f>SUMIFS(Data!$G:$G,Data!$A:$A,$A170,Data!$F:$F,"em_coal_mt")</f>
        <v/>
      </c>
      <c r="I170" s="16">
        <f>SUMIFS(Data!$G:$G,Data!$A:$A,$A170,Data!$F:$F,"em_gas_mt")</f>
        <v/>
      </c>
      <c r="J170" s="16">
        <f>SUMIFS(Data!$G:$G,Data!$A:$A,$A170,Data!$F:$F,"em_oil_mt")</f>
        <v/>
      </c>
      <c r="K170" s="28">
        <f>IF(COUNTIFS(Data!$A:$A,$A170,Data!$F:$F,"price_electricity_residential_usd_kwh")=0,"",SUMIFS(Data!$G:$G,Data!$A:$A,$A170,Data!$F:$F,"price_electricity_residential_usd_kwh"))</f>
        <v/>
      </c>
      <c r="L170" s="28">
        <f>IF(COUNTIFS(Data!$A:$A,$A170,Data!$F:$F,"price_coal_power_usd_gj")=0,"",SUMIFS(Data!$G:$G,Data!$A:$A,$A170,Data!$F:$F,"price_coal_power_usd_gj"))</f>
        <v/>
      </c>
      <c r="M170" s="28">
        <f>IF(COUNTIFS(Data!$A:$A,$A170,Data!$F:$F,"price_gas_power_usd_gj")=0,"",SUMIFS(Data!$G:$G,Data!$A:$A,$A170,Data!$F:$F,"price_gas_power_usd_gj"))</f>
        <v/>
      </c>
      <c r="N170" s="28">
        <f>IF(COUNTIFS(Data!$A:$A,$A170,Data!$F:$F,"price_gas_industry_usd_gj")=0,"",SUMIFS(Data!$G:$G,Data!$A:$A,$A170,Data!$F:$F,"price_gas_industry_usd_gj"))</f>
        <v/>
      </c>
      <c r="O170" s="28">
        <f>IF(COUNTIFS(Data!$A:$A,$A170,Data!$F:$F,"power_market_structure")=0,"",SUMIFS(Data!$G:$G,Data!$A:$A,$A170,Data!$F:$F,"power_market_structure"))</f>
        <v/>
      </c>
      <c r="P170" s="28">
        <f>IF(COUNTIFS(Data!$A:$A,$A170,Data!$F:$F,"rise_renewable_energy_score")=0,"",SUMIFS(Data!$G:$G,Data!$A:$A,$A170,Data!$F:$F,"rise_renewable_energy_score"))</f>
        <v/>
      </c>
      <c r="Q170" s="16">
        <f>H170+I170+J170</f>
        <v/>
      </c>
      <c r="R170" s="28">
        <f>Q170/G170</f>
        <v/>
      </c>
      <c r="S170" s="28">
        <f>IF(D170&gt;0,H170/D170,0.85)</f>
        <v/>
      </c>
      <c r="T170" s="28">
        <f>IF(E170&gt;0,I170/E170,0.4)</f>
        <v/>
      </c>
      <c r="U170" s="28">
        <f>IF(D170+F170&gt;0,(H170+J170)/(D170+F170),0)</f>
        <v/>
      </c>
      <c r="V170" s="16">
        <f>K170*1000</f>
        <v/>
      </c>
      <c r="W170" s="15">
        <f>IF(O170=3,in_pt3,IF(O170=2,in_pt2,IF(O170=1,in_pt1,IF(C170="High income",in_pt_hi,in_pt_oth))))</f>
        <v/>
      </c>
      <c r="X170" s="28">
        <f>IF(Q170&gt;0,in_kappa*(in_rise_lo+(in_rise_hi-in_rise_lo)*IF(P170="",in_rise_miss,P170)/100)*(D170+F170)*MAX(U170-in_gas_rep*T170,0)/Q170,0)</f>
        <v/>
      </c>
      <c r="Y170" s="16">
        <f>IF(IF(M170="",N170,M170)="",MAX(in_sw_floor,in_sw_miss),MAX(in_sw_floor,(IF(M170="",N170,M170)*in_hr_gas-L170*in_hr_coal)/MAX(S170-T170,0.1)))</f>
        <v/>
      </c>
      <c r="Z170" s="28">
        <f>IF(C170="Low income",in_b40_li,IF(C170="Lower middle income",in_b40_lmi,IF(C170="Upper middle income",in_b40_umi,IF(C170="High income",in_b40_hi,0.03))))</f>
        <v/>
      </c>
      <c r="AA170" s="15">
        <f>(D170+F170)/G170</f>
        <v/>
      </c>
      <c r="AB170" s="28">
        <f>100*W170*R170/V170/in_phase</f>
        <v/>
      </c>
      <c r="AC170" s="29">
        <f>100*Z170*W170*R170/V170*(1-IF(W170&gt;0,MIN(in_rebate/(W170*in_res_sh*in_q40),1),1))</f>
        <v/>
      </c>
      <c r="AD170" s="28">
        <f>IF(AA170&gt;0,100*U170*(1-W170)/(in_whole_sh*V170),0)</f>
        <v/>
      </c>
      <c r="AE170" s="28">
        <f>IF(AA170&gt;0,100*MAX(U170-R170,0)/(in_whole_sh*V170),0)</f>
        <v/>
      </c>
      <c r="AF170" s="16">
        <f>IF(AB170&gt;0,in_f1/AB170,in_cap)</f>
        <v/>
      </c>
      <c r="AG170" s="16">
        <f>IF(AC170&gt;0,in_f2/AC170,in_cap)</f>
        <v/>
      </c>
      <c r="AH170" s="16">
        <f>IF(AD170&gt;0,in_f3/AD170,in_cap)</f>
        <v/>
      </c>
      <c r="AI170" s="16">
        <f>MIN(in_cap,AF170,AG170,AH170)</f>
        <v/>
      </c>
      <c r="AJ170" s="30">
        <f>100*(1-(1-X170*(1-EXP(-((AI170)+(0))/Y170)))*(1-MIN(ABS(in_elas)*W170*R170*(AI170)/V170,1)))</f>
        <v/>
      </c>
      <c r="AK170" s="17">
        <f>IF(AI170&gt;=in_cap-1E-9,"rate cap",TRIM(IF(ABS(AI170-AF170)&lt;1E-9,"F1 ","")&amp;IF(ABS(AI170-AG170)&lt;1E-9,"F2 ","")&amp;IF(ABS(AI170-AH170)&lt;1E-9,"F3","")))</f>
        <v/>
      </c>
      <c r="AL170" s="15">
        <f>100*(1-(1-X170*(1-EXP(-((MIN(in_cap,IF(AB170&gt;0,(in_f1+1)/AB170,in_cap),AG170,AH170))+(0))/Y170)))*(1-MIN(ABS(in_elas)*W170*R170*(MIN(in_cap,IF(AB170&gt;0,(in_f1+1)/AB170,in_cap),AG170,AH170))/V170,1)))-AJ170</f>
        <v/>
      </c>
      <c r="AM170" s="16">
        <f>MIN(in_cap,IF(AE170&gt;0,in_f3/AE170,in_cap))</f>
        <v/>
      </c>
      <c r="AN170" s="30">
        <f>100*(1-(1-X170*(1-EXP(-((0)+(AM170))/Y170)))*(1-MIN(ABS(in_elas)*W170*R170*(0)/V170,1)))</f>
        <v/>
      </c>
      <c r="AO170" s="17">
        <f>IF(AM170&gt;=in_cap-1E-9,"rate cap","F3")</f>
        <v/>
      </c>
      <c r="AP170" s="15">
        <f>100*(1-(1-X170*(1-EXP(-((50)+(0))/Y170)))*(1-MIN(ABS(in_elas)*W170*R170*(50)/V170,1)))</f>
        <v/>
      </c>
      <c r="AQ170" s="15">
        <f>100*(1-(1-X170*(1-EXP(-((0)+(50))/Y170)))*(1-MIN(ABS(in_elas)*W170*R170*(0)/V170,1)))</f>
        <v/>
      </c>
      <c r="AR170" s="15">
        <f>IF(AP170&gt;0,AQ170/AP170,"")</f>
        <v/>
      </c>
      <c r="AS170" s="16">
        <f>50*AB170</f>
        <v/>
      </c>
      <c r="AT170" s="30">
        <f>MAX(BM170:BW170)</f>
        <v/>
      </c>
      <c r="AU170" s="31">
        <f>AI170*(MATCH(AT170,BM170:BW170,0)-1)/10</f>
        <v/>
      </c>
      <c r="AV170" s="31">
        <f>INDEX(BB170:BL170,1,(MATCH(AT170,BM170:BW170,0)-1)+1)</f>
        <v/>
      </c>
      <c r="AW170" s="31">
        <f>AB170*AU170</f>
        <v/>
      </c>
      <c r="AX170" s="30">
        <f>AC170*AU170</f>
        <v/>
      </c>
      <c r="AY170" s="31">
        <f>AD170*AU170+AE170*AV170</f>
        <v/>
      </c>
      <c r="AZ170" s="32">
        <f>TRIM(IF(AND(AU170&gt;0,ABS(AU170-AF170)&lt;1E-6),"F1 ","")&amp;IF(AND(AU170&gt;0,ABS(AU170-AG170)&lt;1E-6),"F2 ","")&amp;IF(AY170&gt;=in_f3-1E-6,"F3 ","")&amp;IF(AV170&gt;=in_cap-1E-9,"rate cap",""))</f>
        <v/>
      </c>
      <c r="BA170" s="31">
        <f>Q170*AT170/100</f>
        <v/>
      </c>
      <c r="BB170" s="16">
        <f>MAX(0,MIN(in_cap,IF(AE170&gt;0,(in_f3-AD170*AI170*0/10)/AE170,in_cap)))</f>
        <v/>
      </c>
      <c r="BC170" s="16">
        <f>MAX(0,MIN(in_cap,IF(AE170&gt;0,(in_f3-AD170*AI170*1/10)/AE170,in_cap)))</f>
        <v/>
      </c>
      <c r="BD170" s="16">
        <f>MAX(0,MIN(in_cap,IF(AE170&gt;0,(in_f3-AD170*AI170*2/10)/AE170,in_cap)))</f>
        <v/>
      </c>
      <c r="BE170" s="16">
        <f>MAX(0,MIN(in_cap,IF(AE170&gt;0,(in_f3-AD170*AI170*3/10)/AE170,in_cap)))</f>
        <v/>
      </c>
      <c r="BF170" s="16">
        <f>MAX(0,MIN(in_cap,IF(AE170&gt;0,(in_f3-AD170*AI170*4/10)/AE170,in_cap)))</f>
        <v/>
      </c>
      <c r="BG170" s="16">
        <f>MAX(0,MIN(in_cap,IF(AE170&gt;0,(in_f3-AD170*AI170*5/10)/AE170,in_cap)))</f>
        <v/>
      </c>
      <c r="BH170" s="16">
        <f>MAX(0,MIN(in_cap,IF(AE170&gt;0,(in_f3-AD170*AI170*6/10)/AE170,in_cap)))</f>
        <v/>
      </c>
      <c r="BI170" s="16">
        <f>MAX(0,MIN(in_cap,IF(AE170&gt;0,(in_f3-AD170*AI170*7/10)/AE170,in_cap)))</f>
        <v/>
      </c>
      <c r="BJ170" s="16">
        <f>MAX(0,MIN(in_cap,IF(AE170&gt;0,(in_f3-AD170*AI170*8/10)/AE170,in_cap)))</f>
        <v/>
      </c>
      <c r="BK170" s="16">
        <f>MAX(0,MIN(in_cap,IF(AE170&gt;0,(in_f3-AD170*AI170*9/10)/AE170,in_cap)))</f>
        <v/>
      </c>
      <c r="BL170" s="16">
        <f>MAX(0,MIN(in_cap,IF(AE170&gt;0,(in_f3-AD170*AI170*10/10)/AE170,in_cap)))</f>
        <v/>
      </c>
      <c r="BM170" s="15">
        <f>100*(1-(1-X170*(1-EXP(-((AI170*0/10)+(BB170))/Y170)))*(1-MIN(ABS(in_elas)*W170*R170*(AI170*0/10)/V170,1)))</f>
        <v/>
      </c>
      <c r="BN170" s="15">
        <f>100*(1-(1-X170*(1-EXP(-((AI170*1/10)+(BC170))/Y170)))*(1-MIN(ABS(in_elas)*W170*R170*(AI170*1/10)/V170,1)))</f>
        <v/>
      </c>
      <c r="BO170" s="15">
        <f>100*(1-(1-X170*(1-EXP(-((AI170*2/10)+(BD170))/Y170)))*(1-MIN(ABS(in_elas)*W170*R170*(AI170*2/10)/V170,1)))</f>
        <v/>
      </c>
      <c r="BP170" s="15">
        <f>100*(1-(1-X170*(1-EXP(-((AI170*3/10)+(BE170))/Y170)))*(1-MIN(ABS(in_elas)*W170*R170*(AI170*3/10)/V170,1)))</f>
        <v/>
      </c>
      <c r="BQ170" s="15">
        <f>100*(1-(1-X170*(1-EXP(-((AI170*4/10)+(BF170))/Y170)))*(1-MIN(ABS(in_elas)*W170*R170*(AI170*4/10)/V170,1)))</f>
        <v/>
      </c>
      <c r="BR170" s="15">
        <f>100*(1-(1-X170*(1-EXP(-((AI170*5/10)+(BG170))/Y170)))*(1-MIN(ABS(in_elas)*W170*R170*(AI170*5/10)/V170,1)))</f>
        <v/>
      </c>
      <c r="BS170" s="15">
        <f>100*(1-(1-X170*(1-EXP(-((AI170*6/10)+(BH170))/Y170)))*(1-MIN(ABS(in_elas)*W170*R170*(AI170*6/10)/V170,1)))</f>
        <v/>
      </c>
      <c r="BT170" s="15">
        <f>100*(1-(1-X170*(1-EXP(-((AI170*7/10)+(BI170))/Y170)))*(1-MIN(ABS(in_elas)*W170*R170*(AI170*7/10)/V170,1)))</f>
        <v/>
      </c>
      <c r="BU170" s="15">
        <f>100*(1-(1-X170*(1-EXP(-((AI170*8/10)+(BJ170))/Y170)))*(1-MIN(ABS(in_elas)*W170*R170*(AI170*8/10)/V170,1)))</f>
        <v/>
      </c>
      <c r="BV170" s="15">
        <f>100*(1-(1-X170*(1-EXP(-((AI170*9/10)+(BK170))/Y170)))*(1-MIN(ABS(in_elas)*W170*R170*(AI170*9/10)/V170,1)))</f>
        <v/>
      </c>
      <c r="BW170" s="15">
        <f>100*(1-(1-X170*(1-EXP(-((AI170*10/10)+(BL170))/Y170)))*(1-MIN(ABS(in_elas)*W170*R170*(AI170*10/10)/V170,1)))</f>
        <v/>
      </c>
    </row>
    <row r="171">
      <c r="A171" s="17" t="inlineStr">
        <is>
          <t>YEM</t>
        </is>
      </c>
      <c r="B171" s="17">
        <f>INDEX(Data!$B:$B,MATCH($A171,Data!$A:$A,0))</f>
        <v/>
      </c>
      <c r="C171" s="17">
        <f>INDEX(Data!$D:$D,MATCH($A171,Data!$A:$A,0))</f>
        <v/>
      </c>
      <c r="D171" s="16">
        <f>SUMIFS(Data!$G:$G,Data!$A:$A,$A171,Data!$F:$F,"gen_coal_twh")</f>
        <v/>
      </c>
      <c r="E171" s="16">
        <f>SUMIFS(Data!$G:$G,Data!$A:$A,$A171,Data!$F:$F,"gen_gas_twh")</f>
        <v/>
      </c>
      <c r="F171" s="16">
        <f>SUMIFS(Data!$G:$G,Data!$A:$A,$A171,Data!$F:$F,"gen_oil_twh")</f>
        <v/>
      </c>
      <c r="G171" s="16">
        <f>SUMIFS(Data!$G:$G,Data!$A:$A,$A171,Data!$F:$F,"gen_total_twh")</f>
        <v/>
      </c>
      <c r="H171" s="16">
        <f>SUMIFS(Data!$G:$G,Data!$A:$A,$A171,Data!$F:$F,"em_coal_mt")</f>
        <v/>
      </c>
      <c r="I171" s="16">
        <f>SUMIFS(Data!$G:$G,Data!$A:$A,$A171,Data!$F:$F,"em_gas_mt")</f>
        <v/>
      </c>
      <c r="J171" s="16">
        <f>SUMIFS(Data!$G:$G,Data!$A:$A,$A171,Data!$F:$F,"em_oil_mt")</f>
        <v/>
      </c>
      <c r="K171" s="28">
        <f>IF(COUNTIFS(Data!$A:$A,$A171,Data!$F:$F,"price_electricity_residential_usd_kwh")=0,"",SUMIFS(Data!$G:$G,Data!$A:$A,$A171,Data!$F:$F,"price_electricity_residential_usd_kwh"))</f>
        <v/>
      </c>
      <c r="L171" s="28">
        <f>IF(COUNTIFS(Data!$A:$A,$A171,Data!$F:$F,"price_coal_power_usd_gj")=0,"",SUMIFS(Data!$G:$G,Data!$A:$A,$A171,Data!$F:$F,"price_coal_power_usd_gj"))</f>
        <v/>
      </c>
      <c r="M171" s="28">
        <f>IF(COUNTIFS(Data!$A:$A,$A171,Data!$F:$F,"price_gas_power_usd_gj")=0,"",SUMIFS(Data!$G:$G,Data!$A:$A,$A171,Data!$F:$F,"price_gas_power_usd_gj"))</f>
        <v/>
      </c>
      <c r="N171" s="28">
        <f>IF(COUNTIFS(Data!$A:$A,$A171,Data!$F:$F,"price_gas_industry_usd_gj")=0,"",SUMIFS(Data!$G:$G,Data!$A:$A,$A171,Data!$F:$F,"price_gas_industry_usd_gj"))</f>
        <v/>
      </c>
      <c r="O171" s="28">
        <f>IF(COUNTIFS(Data!$A:$A,$A171,Data!$F:$F,"power_market_structure")=0,"",SUMIFS(Data!$G:$G,Data!$A:$A,$A171,Data!$F:$F,"power_market_structure"))</f>
        <v/>
      </c>
      <c r="P171" s="28">
        <f>IF(COUNTIFS(Data!$A:$A,$A171,Data!$F:$F,"rise_renewable_energy_score")=0,"",SUMIFS(Data!$G:$G,Data!$A:$A,$A171,Data!$F:$F,"rise_renewable_energy_score"))</f>
        <v/>
      </c>
      <c r="Q171" s="16">
        <f>H171+I171+J171</f>
        <v/>
      </c>
      <c r="R171" s="28">
        <f>Q171/G171</f>
        <v/>
      </c>
      <c r="S171" s="28">
        <f>IF(D171&gt;0,H171/D171,0.85)</f>
        <v/>
      </c>
      <c r="T171" s="28">
        <f>IF(E171&gt;0,I171/E171,0.4)</f>
        <v/>
      </c>
      <c r="U171" s="28">
        <f>IF(D171+F171&gt;0,(H171+J171)/(D171+F171),0)</f>
        <v/>
      </c>
      <c r="V171" s="16">
        <f>K171*1000</f>
        <v/>
      </c>
      <c r="W171" s="15">
        <f>IF(O171=3,in_pt3,IF(O171=2,in_pt2,IF(O171=1,in_pt1,IF(C171="High income",in_pt_hi,in_pt_oth))))</f>
        <v/>
      </c>
      <c r="X171" s="28">
        <f>IF(Q171&gt;0,in_kappa*(in_rise_lo+(in_rise_hi-in_rise_lo)*IF(P171="",in_rise_miss,P171)/100)*(D171+F171)*MAX(U171-in_gas_rep*T171,0)/Q171,0)</f>
        <v/>
      </c>
      <c r="Y171" s="16">
        <f>IF(IF(M171="",N171,M171)="",MAX(in_sw_floor,in_sw_miss),MAX(in_sw_floor,(IF(M171="",N171,M171)*in_hr_gas-L171*in_hr_coal)/MAX(S171-T171,0.1)))</f>
        <v/>
      </c>
      <c r="Z171" s="28">
        <f>IF(C171="Low income",in_b40_li,IF(C171="Lower middle income",in_b40_lmi,IF(C171="Upper middle income",in_b40_umi,IF(C171="High income",in_b40_hi,0.03))))</f>
        <v/>
      </c>
      <c r="AA171" s="15">
        <f>(D171+F171)/G171</f>
        <v/>
      </c>
      <c r="AB171" s="28">
        <f>100*W171*R171/V171/in_phase</f>
        <v/>
      </c>
      <c r="AC171" s="29">
        <f>100*Z171*W171*R171/V171*(1-IF(W171&gt;0,MIN(in_rebate/(W171*in_res_sh*in_q40),1),1))</f>
        <v/>
      </c>
      <c r="AD171" s="28">
        <f>IF(AA171&gt;0,100*U171*(1-W171)/(in_whole_sh*V171),0)</f>
        <v/>
      </c>
      <c r="AE171" s="28">
        <f>IF(AA171&gt;0,100*MAX(U171-R171,0)/(in_whole_sh*V171),0)</f>
        <v/>
      </c>
      <c r="AF171" s="16">
        <f>IF(AB171&gt;0,in_f1/AB171,in_cap)</f>
        <v/>
      </c>
      <c r="AG171" s="16">
        <f>IF(AC171&gt;0,in_f2/AC171,in_cap)</f>
        <v/>
      </c>
      <c r="AH171" s="16">
        <f>IF(AD171&gt;0,in_f3/AD171,in_cap)</f>
        <v/>
      </c>
      <c r="AI171" s="16">
        <f>MIN(in_cap,AF171,AG171,AH171)</f>
        <v/>
      </c>
      <c r="AJ171" s="30">
        <f>100*(1-(1-X171*(1-EXP(-((AI171)+(0))/Y171)))*(1-MIN(ABS(in_elas)*W171*R171*(AI171)/V171,1)))</f>
        <v/>
      </c>
      <c r="AK171" s="17">
        <f>IF(AI171&gt;=in_cap-1E-9,"rate cap",TRIM(IF(ABS(AI171-AF171)&lt;1E-9,"F1 ","")&amp;IF(ABS(AI171-AG171)&lt;1E-9,"F2 ","")&amp;IF(ABS(AI171-AH171)&lt;1E-9,"F3","")))</f>
        <v/>
      </c>
      <c r="AL171" s="15">
        <f>100*(1-(1-X171*(1-EXP(-((MIN(in_cap,IF(AB171&gt;0,(in_f1+1)/AB171,in_cap),AG171,AH171))+(0))/Y171)))*(1-MIN(ABS(in_elas)*W171*R171*(MIN(in_cap,IF(AB171&gt;0,(in_f1+1)/AB171,in_cap),AG171,AH171))/V171,1)))-AJ171</f>
        <v/>
      </c>
      <c r="AM171" s="16">
        <f>MIN(in_cap,IF(AE171&gt;0,in_f3/AE171,in_cap))</f>
        <v/>
      </c>
      <c r="AN171" s="30">
        <f>100*(1-(1-X171*(1-EXP(-((0)+(AM171))/Y171)))*(1-MIN(ABS(in_elas)*W171*R171*(0)/V171,1)))</f>
        <v/>
      </c>
      <c r="AO171" s="17">
        <f>IF(AM171&gt;=in_cap-1E-9,"rate cap","F3")</f>
        <v/>
      </c>
      <c r="AP171" s="15">
        <f>100*(1-(1-X171*(1-EXP(-((50)+(0))/Y171)))*(1-MIN(ABS(in_elas)*W171*R171*(50)/V171,1)))</f>
        <v/>
      </c>
      <c r="AQ171" s="15">
        <f>100*(1-(1-X171*(1-EXP(-((0)+(50))/Y171)))*(1-MIN(ABS(in_elas)*W171*R171*(0)/V171,1)))</f>
        <v/>
      </c>
      <c r="AR171" s="15">
        <f>IF(AP171&gt;0,AQ171/AP171,"")</f>
        <v/>
      </c>
      <c r="AS171" s="16">
        <f>50*AB171</f>
        <v/>
      </c>
      <c r="AT171" s="30">
        <f>MAX(BM171:BW171)</f>
        <v/>
      </c>
      <c r="AU171" s="31">
        <f>AI171*(MATCH(AT171,BM171:BW171,0)-1)/10</f>
        <v/>
      </c>
      <c r="AV171" s="31">
        <f>INDEX(BB171:BL171,1,(MATCH(AT171,BM171:BW171,0)-1)+1)</f>
        <v/>
      </c>
      <c r="AW171" s="31">
        <f>AB171*AU171</f>
        <v/>
      </c>
      <c r="AX171" s="30">
        <f>AC171*AU171</f>
        <v/>
      </c>
      <c r="AY171" s="31">
        <f>AD171*AU171+AE171*AV171</f>
        <v/>
      </c>
      <c r="AZ171" s="32">
        <f>TRIM(IF(AND(AU171&gt;0,ABS(AU171-AF171)&lt;1E-6),"F1 ","")&amp;IF(AND(AU171&gt;0,ABS(AU171-AG171)&lt;1E-6),"F2 ","")&amp;IF(AY171&gt;=in_f3-1E-6,"F3 ","")&amp;IF(AV171&gt;=in_cap-1E-9,"rate cap",""))</f>
        <v/>
      </c>
      <c r="BA171" s="31">
        <f>Q171*AT171/100</f>
        <v/>
      </c>
      <c r="BB171" s="16">
        <f>MAX(0,MIN(in_cap,IF(AE171&gt;0,(in_f3-AD171*AI171*0/10)/AE171,in_cap)))</f>
        <v/>
      </c>
      <c r="BC171" s="16">
        <f>MAX(0,MIN(in_cap,IF(AE171&gt;0,(in_f3-AD171*AI171*1/10)/AE171,in_cap)))</f>
        <v/>
      </c>
      <c r="BD171" s="16">
        <f>MAX(0,MIN(in_cap,IF(AE171&gt;0,(in_f3-AD171*AI171*2/10)/AE171,in_cap)))</f>
        <v/>
      </c>
      <c r="BE171" s="16">
        <f>MAX(0,MIN(in_cap,IF(AE171&gt;0,(in_f3-AD171*AI171*3/10)/AE171,in_cap)))</f>
        <v/>
      </c>
      <c r="BF171" s="16">
        <f>MAX(0,MIN(in_cap,IF(AE171&gt;0,(in_f3-AD171*AI171*4/10)/AE171,in_cap)))</f>
        <v/>
      </c>
      <c r="BG171" s="16">
        <f>MAX(0,MIN(in_cap,IF(AE171&gt;0,(in_f3-AD171*AI171*5/10)/AE171,in_cap)))</f>
        <v/>
      </c>
      <c r="BH171" s="16">
        <f>MAX(0,MIN(in_cap,IF(AE171&gt;0,(in_f3-AD171*AI171*6/10)/AE171,in_cap)))</f>
        <v/>
      </c>
      <c r="BI171" s="16">
        <f>MAX(0,MIN(in_cap,IF(AE171&gt;0,(in_f3-AD171*AI171*7/10)/AE171,in_cap)))</f>
        <v/>
      </c>
      <c r="BJ171" s="16">
        <f>MAX(0,MIN(in_cap,IF(AE171&gt;0,(in_f3-AD171*AI171*8/10)/AE171,in_cap)))</f>
        <v/>
      </c>
      <c r="BK171" s="16">
        <f>MAX(0,MIN(in_cap,IF(AE171&gt;0,(in_f3-AD171*AI171*9/10)/AE171,in_cap)))</f>
        <v/>
      </c>
      <c r="BL171" s="16">
        <f>MAX(0,MIN(in_cap,IF(AE171&gt;0,(in_f3-AD171*AI171*10/10)/AE171,in_cap)))</f>
        <v/>
      </c>
      <c r="BM171" s="15">
        <f>100*(1-(1-X171*(1-EXP(-((AI171*0/10)+(BB171))/Y171)))*(1-MIN(ABS(in_elas)*W171*R171*(AI171*0/10)/V171,1)))</f>
        <v/>
      </c>
      <c r="BN171" s="15">
        <f>100*(1-(1-X171*(1-EXP(-((AI171*1/10)+(BC171))/Y171)))*(1-MIN(ABS(in_elas)*W171*R171*(AI171*1/10)/V171,1)))</f>
        <v/>
      </c>
      <c r="BO171" s="15">
        <f>100*(1-(1-X171*(1-EXP(-((AI171*2/10)+(BD171))/Y171)))*(1-MIN(ABS(in_elas)*W171*R171*(AI171*2/10)/V171,1)))</f>
        <v/>
      </c>
      <c r="BP171" s="15">
        <f>100*(1-(1-X171*(1-EXP(-((AI171*3/10)+(BE171))/Y171)))*(1-MIN(ABS(in_elas)*W171*R171*(AI171*3/10)/V171,1)))</f>
        <v/>
      </c>
      <c r="BQ171" s="15">
        <f>100*(1-(1-X171*(1-EXP(-((AI171*4/10)+(BF171))/Y171)))*(1-MIN(ABS(in_elas)*W171*R171*(AI171*4/10)/V171,1)))</f>
        <v/>
      </c>
      <c r="BR171" s="15">
        <f>100*(1-(1-X171*(1-EXP(-((AI171*5/10)+(BG171))/Y171)))*(1-MIN(ABS(in_elas)*W171*R171*(AI171*5/10)/V171,1)))</f>
        <v/>
      </c>
      <c r="BS171" s="15">
        <f>100*(1-(1-X171*(1-EXP(-((AI171*6/10)+(BH171))/Y171)))*(1-MIN(ABS(in_elas)*W171*R171*(AI171*6/10)/V171,1)))</f>
        <v/>
      </c>
      <c r="BT171" s="15">
        <f>100*(1-(1-X171*(1-EXP(-((AI171*7/10)+(BI171))/Y171)))*(1-MIN(ABS(in_elas)*W171*R171*(AI171*7/10)/V171,1)))</f>
        <v/>
      </c>
      <c r="BU171" s="15">
        <f>100*(1-(1-X171*(1-EXP(-((AI171*8/10)+(BJ171))/Y171)))*(1-MIN(ABS(in_elas)*W171*R171*(AI171*8/10)/V171,1)))</f>
        <v/>
      </c>
      <c r="BV171" s="15">
        <f>100*(1-(1-X171*(1-EXP(-((AI171*9/10)+(BK171))/Y171)))*(1-MIN(ABS(in_elas)*W171*R171*(AI171*9/10)/V171,1)))</f>
        <v/>
      </c>
      <c r="BW171" s="15">
        <f>100*(1-(1-X171*(1-EXP(-((AI171*10/10)+(BL171))/Y171)))*(1-MIN(ABS(in_elas)*W171*R171*(AI171*10/10)/V171,1)))</f>
        <v/>
      </c>
    </row>
    <row r="172">
      <c r="A172" s="17" t="inlineStr">
        <is>
          <t>ZAF</t>
        </is>
      </c>
      <c r="B172" s="17">
        <f>INDEX(Data!$B:$B,MATCH($A172,Data!$A:$A,0))</f>
        <v/>
      </c>
      <c r="C172" s="17">
        <f>INDEX(Data!$D:$D,MATCH($A172,Data!$A:$A,0))</f>
        <v/>
      </c>
      <c r="D172" s="16">
        <f>SUMIFS(Data!$G:$G,Data!$A:$A,$A172,Data!$F:$F,"gen_coal_twh")</f>
        <v/>
      </c>
      <c r="E172" s="16">
        <f>SUMIFS(Data!$G:$G,Data!$A:$A,$A172,Data!$F:$F,"gen_gas_twh")</f>
        <v/>
      </c>
      <c r="F172" s="16">
        <f>SUMIFS(Data!$G:$G,Data!$A:$A,$A172,Data!$F:$F,"gen_oil_twh")</f>
        <v/>
      </c>
      <c r="G172" s="16">
        <f>SUMIFS(Data!$G:$G,Data!$A:$A,$A172,Data!$F:$F,"gen_total_twh")</f>
        <v/>
      </c>
      <c r="H172" s="16">
        <f>SUMIFS(Data!$G:$G,Data!$A:$A,$A172,Data!$F:$F,"em_coal_mt")</f>
        <v/>
      </c>
      <c r="I172" s="16">
        <f>SUMIFS(Data!$G:$G,Data!$A:$A,$A172,Data!$F:$F,"em_gas_mt")</f>
        <v/>
      </c>
      <c r="J172" s="16">
        <f>SUMIFS(Data!$G:$G,Data!$A:$A,$A172,Data!$F:$F,"em_oil_mt")</f>
        <v/>
      </c>
      <c r="K172" s="28">
        <f>IF(COUNTIFS(Data!$A:$A,$A172,Data!$F:$F,"price_electricity_residential_usd_kwh")=0,"",SUMIFS(Data!$G:$G,Data!$A:$A,$A172,Data!$F:$F,"price_electricity_residential_usd_kwh"))</f>
        <v/>
      </c>
      <c r="L172" s="28">
        <f>IF(COUNTIFS(Data!$A:$A,$A172,Data!$F:$F,"price_coal_power_usd_gj")=0,"",SUMIFS(Data!$G:$G,Data!$A:$A,$A172,Data!$F:$F,"price_coal_power_usd_gj"))</f>
        <v/>
      </c>
      <c r="M172" s="28">
        <f>IF(COUNTIFS(Data!$A:$A,$A172,Data!$F:$F,"price_gas_power_usd_gj")=0,"",SUMIFS(Data!$G:$G,Data!$A:$A,$A172,Data!$F:$F,"price_gas_power_usd_gj"))</f>
        <v/>
      </c>
      <c r="N172" s="28">
        <f>IF(COUNTIFS(Data!$A:$A,$A172,Data!$F:$F,"price_gas_industry_usd_gj")=0,"",SUMIFS(Data!$G:$G,Data!$A:$A,$A172,Data!$F:$F,"price_gas_industry_usd_gj"))</f>
        <v/>
      </c>
      <c r="O172" s="28">
        <f>IF(COUNTIFS(Data!$A:$A,$A172,Data!$F:$F,"power_market_structure")=0,"",SUMIFS(Data!$G:$G,Data!$A:$A,$A172,Data!$F:$F,"power_market_structure"))</f>
        <v/>
      </c>
      <c r="P172" s="28">
        <f>IF(COUNTIFS(Data!$A:$A,$A172,Data!$F:$F,"rise_renewable_energy_score")=0,"",SUMIFS(Data!$G:$G,Data!$A:$A,$A172,Data!$F:$F,"rise_renewable_energy_score"))</f>
        <v/>
      </c>
      <c r="Q172" s="16">
        <f>H172+I172+J172</f>
        <v/>
      </c>
      <c r="R172" s="28">
        <f>Q172/G172</f>
        <v/>
      </c>
      <c r="S172" s="28">
        <f>IF(D172&gt;0,H172/D172,0.85)</f>
        <v/>
      </c>
      <c r="T172" s="28">
        <f>IF(E172&gt;0,I172/E172,0.4)</f>
        <v/>
      </c>
      <c r="U172" s="28">
        <f>IF(D172+F172&gt;0,(H172+J172)/(D172+F172),0)</f>
        <v/>
      </c>
      <c r="V172" s="16">
        <f>K172*1000</f>
        <v/>
      </c>
      <c r="W172" s="15">
        <f>IF(O172=3,in_pt3,IF(O172=2,in_pt2,IF(O172=1,in_pt1,IF(C172="High income",in_pt_hi,in_pt_oth))))</f>
        <v/>
      </c>
      <c r="X172" s="28">
        <f>IF(Q172&gt;0,in_kappa*(in_rise_lo+(in_rise_hi-in_rise_lo)*IF(P172="",in_rise_miss,P172)/100)*(D172+F172)*MAX(U172-in_gas_rep*T172,0)/Q172,0)</f>
        <v/>
      </c>
      <c r="Y172" s="16">
        <f>IF(IF(M172="",N172,M172)="",MAX(in_sw_floor,in_sw_miss),MAX(in_sw_floor,(IF(M172="",N172,M172)*in_hr_gas-L172*in_hr_coal)/MAX(S172-T172,0.1)))</f>
        <v/>
      </c>
      <c r="Z172" s="28">
        <f>IF(C172="Low income",in_b40_li,IF(C172="Lower middle income",in_b40_lmi,IF(C172="Upper middle income",in_b40_umi,IF(C172="High income",in_b40_hi,0.03))))</f>
        <v/>
      </c>
      <c r="AA172" s="15">
        <f>(D172+F172)/G172</f>
        <v/>
      </c>
      <c r="AB172" s="28">
        <f>100*W172*R172/V172/in_phase</f>
        <v/>
      </c>
      <c r="AC172" s="29">
        <f>100*Z172*W172*R172/V172*(1-IF(W172&gt;0,MIN(in_rebate/(W172*in_res_sh*in_q40),1),1))</f>
        <v/>
      </c>
      <c r="AD172" s="28">
        <f>IF(AA172&gt;0,100*U172*(1-W172)/(in_whole_sh*V172),0)</f>
        <v/>
      </c>
      <c r="AE172" s="28">
        <f>IF(AA172&gt;0,100*MAX(U172-R172,0)/(in_whole_sh*V172),0)</f>
        <v/>
      </c>
      <c r="AF172" s="16">
        <f>IF(AB172&gt;0,in_f1/AB172,in_cap)</f>
        <v/>
      </c>
      <c r="AG172" s="16">
        <f>IF(AC172&gt;0,in_f2/AC172,in_cap)</f>
        <v/>
      </c>
      <c r="AH172" s="16">
        <f>IF(AD172&gt;0,in_f3/AD172,in_cap)</f>
        <v/>
      </c>
      <c r="AI172" s="16">
        <f>MIN(in_cap,AF172,AG172,AH172)</f>
        <v/>
      </c>
      <c r="AJ172" s="30">
        <f>100*(1-(1-X172*(1-EXP(-((AI172)+(0))/Y172)))*(1-MIN(ABS(in_elas)*W172*R172*(AI172)/V172,1)))</f>
        <v/>
      </c>
      <c r="AK172" s="17">
        <f>IF(AI172&gt;=in_cap-1E-9,"rate cap",TRIM(IF(ABS(AI172-AF172)&lt;1E-9,"F1 ","")&amp;IF(ABS(AI172-AG172)&lt;1E-9,"F2 ","")&amp;IF(ABS(AI172-AH172)&lt;1E-9,"F3","")))</f>
        <v/>
      </c>
      <c r="AL172" s="15">
        <f>100*(1-(1-X172*(1-EXP(-((MIN(in_cap,IF(AB172&gt;0,(in_f1+1)/AB172,in_cap),AG172,AH172))+(0))/Y172)))*(1-MIN(ABS(in_elas)*W172*R172*(MIN(in_cap,IF(AB172&gt;0,(in_f1+1)/AB172,in_cap),AG172,AH172))/V172,1)))-AJ172</f>
        <v/>
      </c>
      <c r="AM172" s="16">
        <f>MIN(in_cap,IF(AE172&gt;0,in_f3/AE172,in_cap))</f>
        <v/>
      </c>
      <c r="AN172" s="30">
        <f>100*(1-(1-X172*(1-EXP(-((0)+(AM172))/Y172)))*(1-MIN(ABS(in_elas)*W172*R172*(0)/V172,1)))</f>
        <v/>
      </c>
      <c r="AO172" s="17">
        <f>IF(AM172&gt;=in_cap-1E-9,"rate cap","F3")</f>
        <v/>
      </c>
      <c r="AP172" s="15">
        <f>100*(1-(1-X172*(1-EXP(-((50)+(0))/Y172)))*(1-MIN(ABS(in_elas)*W172*R172*(50)/V172,1)))</f>
        <v/>
      </c>
      <c r="AQ172" s="15">
        <f>100*(1-(1-X172*(1-EXP(-((0)+(50))/Y172)))*(1-MIN(ABS(in_elas)*W172*R172*(0)/V172,1)))</f>
        <v/>
      </c>
      <c r="AR172" s="15">
        <f>IF(AP172&gt;0,AQ172/AP172,"")</f>
        <v/>
      </c>
      <c r="AS172" s="16">
        <f>50*AB172</f>
        <v/>
      </c>
      <c r="AT172" s="30">
        <f>MAX(BM172:BW172)</f>
        <v/>
      </c>
      <c r="AU172" s="31">
        <f>AI172*(MATCH(AT172,BM172:BW172,0)-1)/10</f>
        <v/>
      </c>
      <c r="AV172" s="31">
        <f>INDEX(BB172:BL172,1,(MATCH(AT172,BM172:BW172,0)-1)+1)</f>
        <v/>
      </c>
      <c r="AW172" s="31">
        <f>AB172*AU172</f>
        <v/>
      </c>
      <c r="AX172" s="30">
        <f>AC172*AU172</f>
        <v/>
      </c>
      <c r="AY172" s="31">
        <f>AD172*AU172+AE172*AV172</f>
        <v/>
      </c>
      <c r="AZ172" s="32">
        <f>TRIM(IF(AND(AU172&gt;0,ABS(AU172-AF172)&lt;1E-6),"F1 ","")&amp;IF(AND(AU172&gt;0,ABS(AU172-AG172)&lt;1E-6),"F2 ","")&amp;IF(AY172&gt;=in_f3-1E-6,"F3 ","")&amp;IF(AV172&gt;=in_cap-1E-9,"rate cap",""))</f>
        <v/>
      </c>
      <c r="BA172" s="31">
        <f>Q172*AT172/100</f>
        <v/>
      </c>
      <c r="BB172" s="16">
        <f>MAX(0,MIN(in_cap,IF(AE172&gt;0,(in_f3-AD172*AI172*0/10)/AE172,in_cap)))</f>
        <v/>
      </c>
      <c r="BC172" s="16">
        <f>MAX(0,MIN(in_cap,IF(AE172&gt;0,(in_f3-AD172*AI172*1/10)/AE172,in_cap)))</f>
        <v/>
      </c>
      <c r="BD172" s="16">
        <f>MAX(0,MIN(in_cap,IF(AE172&gt;0,(in_f3-AD172*AI172*2/10)/AE172,in_cap)))</f>
        <v/>
      </c>
      <c r="BE172" s="16">
        <f>MAX(0,MIN(in_cap,IF(AE172&gt;0,(in_f3-AD172*AI172*3/10)/AE172,in_cap)))</f>
        <v/>
      </c>
      <c r="BF172" s="16">
        <f>MAX(0,MIN(in_cap,IF(AE172&gt;0,(in_f3-AD172*AI172*4/10)/AE172,in_cap)))</f>
        <v/>
      </c>
      <c r="BG172" s="16">
        <f>MAX(0,MIN(in_cap,IF(AE172&gt;0,(in_f3-AD172*AI172*5/10)/AE172,in_cap)))</f>
        <v/>
      </c>
      <c r="BH172" s="16">
        <f>MAX(0,MIN(in_cap,IF(AE172&gt;0,(in_f3-AD172*AI172*6/10)/AE172,in_cap)))</f>
        <v/>
      </c>
      <c r="BI172" s="16">
        <f>MAX(0,MIN(in_cap,IF(AE172&gt;0,(in_f3-AD172*AI172*7/10)/AE172,in_cap)))</f>
        <v/>
      </c>
      <c r="BJ172" s="16">
        <f>MAX(0,MIN(in_cap,IF(AE172&gt;0,(in_f3-AD172*AI172*8/10)/AE172,in_cap)))</f>
        <v/>
      </c>
      <c r="BK172" s="16">
        <f>MAX(0,MIN(in_cap,IF(AE172&gt;0,(in_f3-AD172*AI172*9/10)/AE172,in_cap)))</f>
        <v/>
      </c>
      <c r="BL172" s="16">
        <f>MAX(0,MIN(in_cap,IF(AE172&gt;0,(in_f3-AD172*AI172*10/10)/AE172,in_cap)))</f>
        <v/>
      </c>
      <c r="BM172" s="15">
        <f>100*(1-(1-X172*(1-EXP(-((AI172*0/10)+(BB172))/Y172)))*(1-MIN(ABS(in_elas)*W172*R172*(AI172*0/10)/V172,1)))</f>
        <v/>
      </c>
      <c r="BN172" s="15">
        <f>100*(1-(1-X172*(1-EXP(-((AI172*1/10)+(BC172))/Y172)))*(1-MIN(ABS(in_elas)*W172*R172*(AI172*1/10)/V172,1)))</f>
        <v/>
      </c>
      <c r="BO172" s="15">
        <f>100*(1-(1-X172*(1-EXP(-((AI172*2/10)+(BD172))/Y172)))*(1-MIN(ABS(in_elas)*W172*R172*(AI172*2/10)/V172,1)))</f>
        <v/>
      </c>
      <c r="BP172" s="15">
        <f>100*(1-(1-X172*(1-EXP(-((AI172*3/10)+(BE172))/Y172)))*(1-MIN(ABS(in_elas)*W172*R172*(AI172*3/10)/V172,1)))</f>
        <v/>
      </c>
      <c r="BQ172" s="15">
        <f>100*(1-(1-X172*(1-EXP(-((AI172*4/10)+(BF172))/Y172)))*(1-MIN(ABS(in_elas)*W172*R172*(AI172*4/10)/V172,1)))</f>
        <v/>
      </c>
      <c r="BR172" s="15">
        <f>100*(1-(1-X172*(1-EXP(-((AI172*5/10)+(BG172))/Y172)))*(1-MIN(ABS(in_elas)*W172*R172*(AI172*5/10)/V172,1)))</f>
        <v/>
      </c>
      <c r="BS172" s="15">
        <f>100*(1-(1-X172*(1-EXP(-((AI172*6/10)+(BH172))/Y172)))*(1-MIN(ABS(in_elas)*W172*R172*(AI172*6/10)/V172,1)))</f>
        <v/>
      </c>
      <c r="BT172" s="15">
        <f>100*(1-(1-X172*(1-EXP(-((AI172*7/10)+(BI172))/Y172)))*(1-MIN(ABS(in_elas)*W172*R172*(AI172*7/10)/V172,1)))</f>
        <v/>
      </c>
      <c r="BU172" s="15">
        <f>100*(1-(1-X172*(1-EXP(-((AI172*8/10)+(BJ172))/Y172)))*(1-MIN(ABS(in_elas)*W172*R172*(AI172*8/10)/V172,1)))</f>
        <v/>
      </c>
      <c r="BV172" s="15">
        <f>100*(1-(1-X172*(1-EXP(-((AI172*9/10)+(BK172))/Y172)))*(1-MIN(ABS(in_elas)*W172*R172*(AI172*9/10)/V172,1)))</f>
        <v/>
      </c>
      <c r="BW172" s="15">
        <f>100*(1-(1-X172*(1-EXP(-((AI172*10/10)+(BL172))/Y172)))*(1-MIN(ABS(in_elas)*W172*R172*(AI172*10/10)/V172,1)))</f>
        <v/>
      </c>
    </row>
    <row r="173">
      <c r="A173" s="17" t="inlineStr">
        <is>
          <t>ZMB</t>
        </is>
      </c>
      <c r="B173" s="17">
        <f>INDEX(Data!$B:$B,MATCH($A173,Data!$A:$A,0))</f>
        <v/>
      </c>
      <c r="C173" s="17">
        <f>INDEX(Data!$D:$D,MATCH($A173,Data!$A:$A,0))</f>
        <v/>
      </c>
      <c r="D173" s="16">
        <f>SUMIFS(Data!$G:$G,Data!$A:$A,$A173,Data!$F:$F,"gen_coal_twh")</f>
        <v/>
      </c>
      <c r="E173" s="16">
        <f>SUMIFS(Data!$G:$G,Data!$A:$A,$A173,Data!$F:$F,"gen_gas_twh")</f>
        <v/>
      </c>
      <c r="F173" s="16">
        <f>SUMIFS(Data!$G:$G,Data!$A:$A,$A173,Data!$F:$F,"gen_oil_twh")</f>
        <v/>
      </c>
      <c r="G173" s="16">
        <f>SUMIFS(Data!$G:$G,Data!$A:$A,$A173,Data!$F:$F,"gen_total_twh")</f>
        <v/>
      </c>
      <c r="H173" s="16">
        <f>SUMIFS(Data!$G:$G,Data!$A:$A,$A173,Data!$F:$F,"em_coal_mt")</f>
        <v/>
      </c>
      <c r="I173" s="16">
        <f>SUMIFS(Data!$G:$G,Data!$A:$A,$A173,Data!$F:$F,"em_gas_mt")</f>
        <v/>
      </c>
      <c r="J173" s="16">
        <f>SUMIFS(Data!$G:$G,Data!$A:$A,$A173,Data!$F:$F,"em_oil_mt")</f>
        <v/>
      </c>
      <c r="K173" s="28">
        <f>IF(COUNTIFS(Data!$A:$A,$A173,Data!$F:$F,"price_electricity_residential_usd_kwh")=0,"",SUMIFS(Data!$G:$G,Data!$A:$A,$A173,Data!$F:$F,"price_electricity_residential_usd_kwh"))</f>
        <v/>
      </c>
      <c r="L173" s="28">
        <f>IF(COUNTIFS(Data!$A:$A,$A173,Data!$F:$F,"price_coal_power_usd_gj")=0,"",SUMIFS(Data!$G:$G,Data!$A:$A,$A173,Data!$F:$F,"price_coal_power_usd_gj"))</f>
        <v/>
      </c>
      <c r="M173" s="28">
        <f>IF(COUNTIFS(Data!$A:$A,$A173,Data!$F:$F,"price_gas_power_usd_gj")=0,"",SUMIFS(Data!$G:$G,Data!$A:$A,$A173,Data!$F:$F,"price_gas_power_usd_gj"))</f>
        <v/>
      </c>
      <c r="N173" s="28">
        <f>IF(COUNTIFS(Data!$A:$A,$A173,Data!$F:$F,"price_gas_industry_usd_gj")=0,"",SUMIFS(Data!$G:$G,Data!$A:$A,$A173,Data!$F:$F,"price_gas_industry_usd_gj"))</f>
        <v/>
      </c>
      <c r="O173" s="28">
        <f>IF(COUNTIFS(Data!$A:$A,$A173,Data!$F:$F,"power_market_structure")=0,"",SUMIFS(Data!$G:$G,Data!$A:$A,$A173,Data!$F:$F,"power_market_structure"))</f>
        <v/>
      </c>
      <c r="P173" s="28">
        <f>IF(COUNTIFS(Data!$A:$A,$A173,Data!$F:$F,"rise_renewable_energy_score")=0,"",SUMIFS(Data!$G:$G,Data!$A:$A,$A173,Data!$F:$F,"rise_renewable_energy_score"))</f>
        <v/>
      </c>
      <c r="Q173" s="16">
        <f>H173+I173+J173</f>
        <v/>
      </c>
      <c r="R173" s="28">
        <f>Q173/G173</f>
        <v/>
      </c>
      <c r="S173" s="28">
        <f>IF(D173&gt;0,H173/D173,0.85)</f>
        <v/>
      </c>
      <c r="T173" s="28">
        <f>IF(E173&gt;0,I173/E173,0.4)</f>
        <v/>
      </c>
      <c r="U173" s="28">
        <f>IF(D173+F173&gt;0,(H173+J173)/(D173+F173),0)</f>
        <v/>
      </c>
      <c r="V173" s="16">
        <f>K173*1000</f>
        <v/>
      </c>
      <c r="W173" s="15">
        <f>IF(O173=3,in_pt3,IF(O173=2,in_pt2,IF(O173=1,in_pt1,IF(C173="High income",in_pt_hi,in_pt_oth))))</f>
        <v/>
      </c>
      <c r="X173" s="28">
        <f>IF(Q173&gt;0,in_kappa*(in_rise_lo+(in_rise_hi-in_rise_lo)*IF(P173="",in_rise_miss,P173)/100)*(D173+F173)*MAX(U173-in_gas_rep*T173,0)/Q173,0)</f>
        <v/>
      </c>
      <c r="Y173" s="16">
        <f>IF(IF(M173="",N173,M173)="",MAX(in_sw_floor,in_sw_miss),MAX(in_sw_floor,(IF(M173="",N173,M173)*in_hr_gas-L173*in_hr_coal)/MAX(S173-T173,0.1)))</f>
        <v/>
      </c>
      <c r="Z173" s="28">
        <f>IF(C173="Low income",in_b40_li,IF(C173="Lower middle income",in_b40_lmi,IF(C173="Upper middle income",in_b40_umi,IF(C173="High income",in_b40_hi,0.03))))</f>
        <v/>
      </c>
      <c r="AA173" s="15">
        <f>(D173+F173)/G173</f>
        <v/>
      </c>
      <c r="AB173" s="28">
        <f>100*W173*R173/V173/in_phase</f>
        <v/>
      </c>
      <c r="AC173" s="29">
        <f>100*Z173*W173*R173/V173*(1-IF(W173&gt;0,MIN(in_rebate/(W173*in_res_sh*in_q40),1),1))</f>
        <v/>
      </c>
      <c r="AD173" s="28">
        <f>IF(AA173&gt;0,100*U173*(1-W173)/(in_whole_sh*V173),0)</f>
        <v/>
      </c>
      <c r="AE173" s="28">
        <f>IF(AA173&gt;0,100*MAX(U173-R173,0)/(in_whole_sh*V173),0)</f>
        <v/>
      </c>
      <c r="AF173" s="16">
        <f>IF(AB173&gt;0,in_f1/AB173,in_cap)</f>
        <v/>
      </c>
      <c r="AG173" s="16">
        <f>IF(AC173&gt;0,in_f2/AC173,in_cap)</f>
        <v/>
      </c>
      <c r="AH173" s="16">
        <f>IF(AD173&gt;0,in_f3/AD173,in_cap)</f>
        <v/>
      </c>
      <c r="AI173" s="16">
        <f>MIN(in_cap,AF173,AG173,AH173)</f>
        <v/>
      </c>
      <c r="AJ173" s="30">
        <f>100*(1-(1-X173*(1-EXP(-((AI173)+(0))/Y173)))*(1-MIN(ABS(in_elas)*W173*R173*(AI173)/V173,1)))</f>
        <v/>
      </c>
      <c r="AK173" s="17">
        <f>IF(AI173&gt;=in_cap-1E-9,"rate cap",TRIM(IF(ABS(AI173-AF173)&lt;1E-9,"F1 ","")&amp;IF(ABS(AI173-AG173)&lt;1E-9,"F2 ","")&amp;IF(ABS(AI173-AH173)&lt;1E-9,"F3","")))</f>
        <v/>
      </c>
      <c r="AL173" s="15">
        <f>100*(1-(1-X173*(1-EXP(-((MIN(in_cap,IF(AB173&gt;0,(in_f1+1)/AB173,in_cap),AG173,AH173))+(0))/Y173)))*(1-MIN(ABS(in_elas)*W173*R173*(MIN(in_cap,IF(AB173&gt;0,(in_f1+1)/AB173,in_cap),AG173,AH173))/V173,1)))-AJ173</f>
        <v/>
      </c>
      <c r="AM173" s="16">
        <f>MIN(in_cap,IF(AE173&gt;0,in_f3/AE173,in_cap))</f>
        <v/>
      </c>
      <c r="AN173" s="30">
        <f>100*(1-(1-X173*(1-EXP(-((0)+(AM173))/Y173)))*(1-MIN(ABS(in_elas)*W173*R173*(0)/V173,1)))</f>
        <v/>
      </c>
      <c r="AO173" s="17">
        <f>IF(AM173&gt;=in_cap-1E-9,"rate cap","F3")</f>
        <v/>
      </c>
      <c r="AP173" s="15">
        <f>100*(1-(1-X173*(1-EXP(-((50)+(0))/Y173)))*(1-MIN(ABS(in_elas)*W173*R173*(50)/V173,1)))</f>
        <v/>
      </c>
      <c r="AQ173" s="15">
        <f>100*(1-(1-X173*(1-EXP(-((0)+(50))/Y173)))*(1-MIN(ABS(in_elas)*W173*R173*(0)/V173,1)))</f>
        <v/>
      </c>
      <c r="AR173" s="15">
        <f>IF(AP173&gt;0,AQ173/AP173,"")</f>
        <v/>
      </c>
      <c r="AS173" s="16">
        <f>50*AB173</f>
        <v/>
      </c>
      <c r="AT173" s="30">
        <f>MAX(BM173:BW173)</f>
        <v/>
      </c>
      <c r="AU173" s="31">
        <f>AI173*(MATCH(AT173,BM173:BW173,0)-1)/10</f>
        <v/>
      </c>
      <c r="AV173" s="31">
        <f>INDEX(BB173:BL173,1,(MATCH(AT173,BM173:BW173,0)-1)+1)</f>
        <v/>
      </c>
      <c r="AW173" s="31">
        <f>AB173*AU173</f>
        <v/>
      </c>
      <c r="AX173" s="30">
        <f>AC173*AU173</f>
        <v/>
      </c>
      <c r="AY173" s="31">
        <f>AD173*AU173+AE173*AV173</f>
        <v/>
      </c>
      <c r="AZ173" s="32">
        <f>TRIM(IF(AND(AU173&gt;0,ABS(AU173-AF173)&lt;1E-6),"F1 ","")&amp;IF(AND(AU173&gt;0,ABS(AU173-AG173)&lt;1E-6),"F2 ","")&amp;IF(AY173&gt;=in_f3-1E-6,"F3 ","")&amp;IF(AV173&gt;=in_cap-1E-9,"rate cap",""))</f>
        <v/>
      </c>
      <c r="BA173" s="31">
        <f>Q173*AT173/100</f>
        <v/>
      </c>
      <c r="BB173" s="16">
        <f>MAX(0,MIN(in_cap,IF(AE173&gt;0,(in_f3-AD173*AI173*0/10)/AE173,in_cap)))</f>
        <v/>
      </c>
      <c r="BC173" s="16">
        <f>MAX(0,MIN(in_cap,IF(AE173&gt;0,(in_f3-AD173*AI173*1/10)/AE173,in_cap)))</f>
        <v/>
      </c>
      <c r="BD173" s="16">
        <f>MAX(0,MIN(in_cap,IF(AE173&gt;0,(in_f3-AD173*AI173*2/10)/AE173,in_cap)))</f>
        <v/>
      </c>
      <c r="BE173" s="16">
        <f>MAX(0,MIN(in_cap,IF(AE173&gt;0,(in_f3-AD173*AI173*3/10)/AE173,in_cap)))</f>
        <v/>
      </c>
      <c r="BF173" s="16">
        <f>MAX(0,MIN(in_cap,IF(AE173&gt;0,(in_f3-AD173*AI173*4/10)/AE173,in_cap)))</f>
        <v/>
      </c>
      <c r="BG173" s="16">
        <f>MAX(0,MIN(in_cap,IF(AE173&gt;0,(in_f3-AD173*AI173*5/10)/AE173,in_cap)))</f>
        <v/>
      </c>
      <c r="BH173" s="16">
        <f>MAX(0,MIN(in_cap,IF(AE173&gt;0,(in_f3-AD173*AI173*6/10)/AE173,in_cap)))</f>
        <v/>
      </c>
      <c r="BI173" s="16">
        <f>MAX(0,MIN(in_cap,IF(AE173&gt;0,(in_f3-AD173*AI173*7/10)/AE173,in_cap)))</f>
        <v/>
      </c>
      <c r="BJ173" s="16">
        <f>MAX(0,MIN(in_cap,IF(AE173&gt;0,(in_f3-AD173*AI173*8/10)/AE173,in_cap)))</f>
        <v/>
      </c>
      <c r="BK173" s="16">
        <f>MAX(0,MIN(in_cap,IF(AE173&gt;0,(in_f3-AD173*AI173*9/10)/AE173,in_cap)))</f>
        <v/>
      </c>
      <c r="BL173" s="16">
        <f>MAX(0,MIN(in_cap,IF(AE173&gt;0,(in_f3-AD173*AI173*10/10)/AE173,in_cap)))</f>
        <v/>
      </c>
      <c r="BM173" s="15">
        <f>100*(1-(1-X173*(1-EXP(-((AI173*0/10)+(BB173))/Y173)))*(1-MIN(ABS(in_elas)*W173*R173*(AI173*0/10)/V173,1)))</f>
        <v/>
      </c>
      <c r="BN173" s="15">
        <f>100*(1-(1-X173*(1-EXP(-((AI173*1/10)+(BC173))/Y173)))*(1-MIN(ABS(in_elas)*W173*R173*(AI173*1/10)/V173,1)))</f>
        <v/>
      </c>
      <c r="BO173" s="15">
        <f>100*(1-(1-X173*(1-EXP(-((AI173*2/10)+(BD173))/Y173)))*(1-MIN(ABS(in_elas)*W173*R173*(AI173*2/10)/V173,1)))</f>
        <v/>
      </c>
      <c r="BP173" s="15">
        <f>100*(1-(1-X173*(1-EXP(-((AI173*3/10)+(BE173))/Y173)))*(1-MIN(ABS(in_elas)*W173*R173*(AI173*3/10)/V173,1)))</f>
        <v/>
      </c>
      <c r="BQ173" s="15">
        <f>100*(1-(1-X173*(1-EXP(-((AI173*4/10)+(BF173))/Y173)))*(1-MIN(ABS(in_elas)*W173*R173*(AI173*4/10)/V173,1)))</f>
        <v/>
      </c>
      <c r="BR173" s="15">
        <f>100*(1-(1-X173*(1-EXP(-((AI173*5/10)+(BG173))/Y173)))*(1-MIN(ABS(in_elas)*W173*R173*(AI173*5/10)/V173,1)))</f>
        <v/>
      </c>
      <c r="BS173" s="15">
        <f>100*(1-(1-X173*(1-EXP(-((AI173*6/10)+(BH173))/Y173)))*(1-MIN(ABS(in_elas)*W173*R173*(AI173*6/10)/V173,1)))</f>
        <v/>
      </c>
      <c r="BT173" s="15">
        <f>100*(1-(1-X173*(1-EXP(-((AI173*7/10)+(BI173))/Y173)))*(1-MIN(ABS(in_elas)*W173*R173*(AI173*7/10)/V173,1)))</f>
        <v/>
      </c>
      <c r="BU173" s="15">
        <f>100*(1-(1-X173*(1-EXP(-((AI173*8/10)+(BJ173))/Y173)))*(1-MIN(ABS(in_elas)*W173*R173*(AI173*8/10)/V173,1)))</f>
        <v/>
      </c>
      <c r="BV173" s="15">
        <f>100*(1-(1-X173*(1-EXP(-((AI173*9/10)+(BK173))/Y173)))*(1-MIN(ABS(in_elas)*W173*R173*(AI173*9/10)/V173,1)))</f>
        <v/>
      </c>
      <c r="BW173" s="15">
        <f>100*(1-(1-X173*(1-EXP(-((AI173*10/10)+(BL173))/Y173)))*(1-MIN(ABS(in_elas)*W173*R173*(AI173*10/10)/V173,1)))</f>
        <v/>
      </c>
    </row>
    <row r="174">
      <c r="A174" s="17" t="inlineStr">
        <is>
          <t>ZWE</t>
        </is>
      </c>
      <c r="B174" s="17">
        <f>INDEX(Data!$B:$B,MATCH($A174,Data!$A:$A,0))</f>
        <v/>
      </c>
      <c r="C174" s="17">
        <f>INDEX(Data!$D:$D,MATCH($A174,Data!$A:$A,0))</f>
        <v/>
      </c>
      <c r="D174" s="16">
        <f>SUMIFS(Data!$G:$G,Data!$A:$A,$A174,Data!$F:$F,"gen_coal_twh")</f>
        <v/>
      </c>
      <c r="E174" s="16">
        <f>SUMIFS(Data!$G:$G,Data!$A:$A,$A174,Data!$F:$F,"gen_gas_twh")</f>
        <v/>
      </c>
      <c r="F174" s="16">
        <f>SUMIFS(Data!$G:$G,Data!$A:$A,$A174,Data!$F:$F,"gen_oil_twh")</f>
        <v/>
      </c>
      <c r="G174" s="16">
        <f>SUMIFS(Data!$G:$G,Data!$A:$A,$A174,Data!$F:$F,"gen_total_twh")</f>
        <v/>
      </c>
      <c r="H174" s="16">
        <f>SUMIFS(Data!$G:$G,Data!$A:$A,$A174,Data!$F:$F,"em_coal_mt")</f>
        <v/>
      </c>
      <c r="I174" s="16">
        <f>SUMIFS(Data!$G:$G,Data!$A:$A,$A174,Data!$F:$F,"em_gas_mt")</f>
        <v/>
      </c>
      <c r="J174" s="16">
        <f>SUMIFS(Data!$G:$G,Data!$A:$A,$A174,Data!$F:$F,"em_oil_mt")</f>
        <v/>
      </c>
      <c r="K174" s="28">
        <f>IF(COUNTIFS(Data!$A:$A,$A174,Data!$F:$F,"price_electricity_residential_usd_kwh")=0,"",SUMIFS(Data!$G:$G,Data!$A:$A,$A174,Data!$F:$F,"price_electricity_residential_usd_kwh"))</f>
        <v/>
      </c>
      <c r="L174" s="28">
        <f>IF(COUNTIFS(Data!$A:$A,$A174,Data!$F:$F,"price_coal_power_usd_gj")=0,"",SUMIFS(Data!$G:$G,Data!$A:$A,$A174,Data!$F:$F,"price_coal_power_usd_gj"))</f>
        <v/>
      </c>
      <c r="M174" s="28">
        <f>IF(COUNTIFS(Data!$A:$A,$A174,Data!$F:$F,"price_gas_power_usd_gj")=0,"",SUMIFS(Data!$G:$G,Data!$A:$A,$A174,Data!$F:$F,"price_gas_power_usd_gj"))</f>
        <v/>
      </c>
      <c r="N174" s="28">
        <f>IF(COUNTIFS(Data!$A:$A,$A174,Data!$F:$F,"price_gas_industry_usd_gj")=0,"",SUMIFS(Data!$G:$G,Data!$A:$A,$A174,Data!$F:$F,"price_gas_industry_usd_gj"))</f>
        <v/>
      </c>
      <c r="O174" s="28">
        <f>IF(COUNTIFS(Data!$A:$A,$A174,Data!$F:$F,"power_market_structure")=0,"",SUMIFS(Data!$G:$G,Data!$A:$A,$A174,Data!$F:$F,"power_market_structure"))</f>
        <v/>
      </c>
      <c r="P174" s="28">
        <f>IF(COUNTIFS(Data!$A:$A,$A174,Data!$F:$F,"rise_renewable_energy_score")=0,"",SUMIFS(Data!$G:$G,Data!$A:$A,$A174,Data!$F:$F,"rise_renewable_energy_score"))</f>
        <v/>
      </c>
      <c r="Q174" s="16">
        <f>H174+I174+J174</f>
        <v/>
      </c>
      <c r="R174" s="28">
        <f>Q174/G174</f>
        <v/>
      </c>
      <c r="S174" s="28">
        <f>IF(D174&gt;0,H174/D174,0.85)</f>
        <v/>
      </c>
      <c r="T174" s="28">
        <f>IF(E174&gt;0,I174/E174,0.4)</f>
        <v/>
      </c>
      <c r="U174" s="28">
        <f>IF(D174+F174&gt;0,(H174+J174)/(D174+F174),0)</f>
        <v/>
      </c>
      <c r="V174" s="16">
        <f>K174*1000</f>
        <v/>
      </c>
      <c r="W174" s="15">
        <f>IF(O174=3,in_pt3,IF(O174=2,in_pt2,IF(O174=1,in_pt1,IF(C174="High income",in_pt_hi,in_pt_oth))))</f>
        <v/>
      </c>
      <c r="X174" s="28">
        <f>IF(Q174&gt;0,in_kappa*(in_rise_lo+(in_rise_hi-in_rise_lo)*IF(P174="",in_rise_miss,P174)/100)*(D174+F174)*MAX(U174-in_gas_rep*T174,0)/Q174,0)</f>
        <v/>
      </c>
      <c r="Y174" s="16">
        <f>IF(IF(M174="",N174,M174)="",MAX(in_sw_floor,in_sw_miss),MAX(in_sw_floor,(IF(M174="",N174,M174)*in_hr_gas-L174*in_hr_coal)/MAX(S174-T174,0.1)))</f>
        <v/>
      </c>
      <c r="Z174" s="28">
        <f>IF(C174="Low income",in_b40_li,IF(C174="Lower middle income",in_b40_lmi,IF(C174="Upper middle income",in_b40_umi,IF(C174="High income",in_b40_hi,0.03))))</f>
        <v/>
      </c>
      <c r="AA174" s="15">
        <f>(D174+F174)/G174</f>
        <v/>
      </c>
      <c r="AB174" s="28">
        <f>100*W174*R174/V174/in_phase</f>
        <v/>
      </c>
      <c r="AC174" s="29">
        <f>100*Z174*W174*R174/V174*(1-IF(W174&gt;0,MIN(in_rebate/(W174*in_res_sh*in_q40),1),1))</f>
        <v/>
      </c>
      <c r="AD174" s="28">
        <f>IF(AA174&gt;0,100*U174*(1-W174)/(in_whole_sh*V174),0)</f>
        <v/>
      </c>
      <c r="AE174" s="28">
        <f>IF(AA174&gt;0,100*MAX(U174-R174,0)/(in_whole_sh*V174),0)</f>
        <v/>
      </c>
      <c r="AF174" s="16">
        <f>IF(AB174&gt;0,in_f1/AB174,in_cap)</f>
        <v/>
      </c>
      <c r="AG174" s="16">
        <f>IF(AC174&gt;0,in_f2/AC174,in_cap)</f>
        <v/>
      </c>
      <c r="AH174" s="16">
        <f>IF(AD174&gt;0,in_f3/AD174,in_cap)</f>
        <v/>
      </c>
      <c r="AI174" s="16">
        <f>MIN(in_cap,AF174,AG174,AH174)</f>
        <v/>
      </c>
      <c r="AJ174" s="30">
        <f>100*(1-(1-X174*(1-EXP(-((AI174)+(0))/Y174)))*(1-MIN(ABS(in_elas)*W174*R174*(AI174)/V174,1)))</f>
        <v/>
      </c>
      <c r="AK174" s="17">
        <f>IF(AI174&gt;=in_cap-1E-9,"rate cap",TRIM(IF(ABS(AI174-AF174)&lt;1E-9,"F1 ","")&amp;IF(ABS(AI174-AG174)&lt;1E-9,"F2 ","")&amp;IF(ABS(AI174-AH174)&lt;1E-9,"F3","")))</f>
        <v/>
      </c>
      <c r="AL174" s="15">
        <f>100*(1-(1-X174*(1-EXP(-((MIN(in_cap,IF(AB174&gt;0,(in_f1+1)/AB174,in_cap),AG174,AH174))+(0))/Y174)))*(1-MIN(ABS(in_elas)*W174*R174*(MIN(in_cap,IF(AB174&gt;0,(in_f1+1)/AB174,in_cap),AG174,AH174))/V174,1)))-AJ174</f>
        <v/>
      </c>
      <c r="AM174" s="16">
        <f>MIN(in_cap,IF(AE174&gt;0,in_f3/AE174,in_cap))</f>
        <v/>
      </c>
      <c r="AN174" s="30">
        <f>100*(1-(1-X174*(1-EXP(-((0)+(AM174))/Y174)))*(1-MIN(ABS(in_elas)*W174*R174*(0)/V174,1)))</f>
        <v/>
      </c>
      <c r="AO174" s="17">
        <f>IF(AM174&gt;=in_cap-1E-9,"rate cap","F3")</f>
        <v/>
      </c>
      <c r="AP174" s="15">
        <f>100*(1-(1-X174*(1-EXP(-((50)+(0))/Y174)))*(1-MIN(ABS(in_elas)*W174*R174*(50)/V174,1)))</f>
        <v/>
      </c>
      <c r="AQ174" s="15">
        <f>100*(1-(1-X174*(1-EXP(-((0)+(50))/Y174)))*(1-MIN(ABS(in_elas)*W174*R174*(0)/V174,1)))</f>
        <v/>
      </c>
      <c r="AR174" s="15">
        <f>IF(AP174&gt;0,AQ174/AP174,"")</f>
        <v/>
      </c>
      <c r="AS174" s="16">
        <f>50*AB174</f>
        <v/>
      </c>
      <c r="AT174" s="30">
        <f>MAX(BM174:BW174)</f>
        <v/>
      </c>
      <c r="AU174" s="31">
        <f>AI174*(MATCH(AT174,BM174:BW174,0)-1)/10</f>
        <v/>
      </c>
      <c r="AV174" s="31">
        <f>INDEX(BB174:BL174,1,(MATCH(AT174,BM174:BW174,0)-1)+1)</f>
        <v/>
      </c>
      <c r="AW174" s="31">
        <f>AB174*AU174</f>
        <v/>
      </c>
      <c r="AX174" s="30">
        <f>AC174*AU174</f>
        <v/>
      </c>
      <c r="AY174" s="31">
        <f>AD174*AU174+AE174*AV174</f>
        <v/>
      </c>
      <c r="AZ174" s="32">
        <f>TRIM(IF(AND(AU174&gt;0,ABS(AU174-AF174)&lt;1E-6),"F1 ","")&amp;IF(AND(AU174&gt;0,ABS(AU174-AG174)&lt;1E-6),"F2 ","")&amp;IF(AY174&gt;=in_f3-1E-6,"F3 ","")&amp;IF(AV174&gt;=in_cap-1E-9,"rate cap",""))</f>
        <v/>
      </c>
      <c r="BA174" s="31">
        <f>Q174*AT174/100</f>
        <v/>
      </c>
      <c r="BB174" s="16">
        <f>MAX(0,MIN(in_cap,IF(AE174&gt;0,(in_f3-AD174*AI174*0/10)/AE174,in_cap)))</f>
        <v/>
      </c>
      <c r="BC174" s="16">
        <f>MAX(0,MIN(in_cap,IF(AE174&gt;0,(in_f3-AD174*AI174*1/10)/AE174,in_cap)))</f>
        <v/>
      </c>
      <c r="BD174" s="16">
        <f>MAX(0,MIN(in_cap,IF(AE174&gt;0,(in_f3-AD174*AI174*2/10)/AE174,in_cap)))</f>
        <v/>
      </c>
      <c r="BE174" s="16">
        <f>MAX(0,MIN(in_cap,IF(AE174&gt;0,(in_f3-AD174*AI174*3/10)/AE174,in_cap)))</f>
        <v/>
      </c>
      <c r="BF174" s="16">
        <f>MAX(0,MIN(in_cap,IF(AE174&gt;0,(in_f3-AD174*AI174*4/10)/AE174,in_cap)))</f>
        <v/>
      </c>
      <c r="BG174" s="16">
        <f>MAX(0,MIN(in_cap,IF(AE174&gt;0,(in_f3-AD174*AI174*5/10)/AE174,in_cap)))</f>
        <v/>
      </c>
      <c r="BH174" s="16">
        <f>MAX(0,MIN(in_cap,IF(AE174&gt;0,(in_f3-AD174*AI174*6/10)/AE174,in_cap)))</f>
        <v/>
      </c>
      <c r="BI174" s="16">
        <f>MAX(0,MIN(in_cap,IF(AE174&gt;0,(in_f3-AD174*AI174*7/10)/AE174,in_cap)))</f>
        <v/>
      </c>
      <c r="BJ174" s="16">
        <f>MAX(0,MIN(in_cap,IF(AE174&gt;0,(in_f3-AD174*AI174*8/10)/AE174,in_cap)))</f>
        <v/>
      </c>
      <c r="BK174" s="16">
        <f>MAX(0,MIN(in_cap,IF(AE174&gt;0,(in_f3-AD174*AI174*9/10)/AE174,in_cap)))</f>
        <v/>
      </c>
      <c r="BL174" s="16">
        <f>MAX(0,MIN(in_cap,IF(AE174&gt;0,(in_f3-AD174*AI174*10/10)/AE174,in_cap)))</f>
        <v/>
      </c>
      <c r="BM174" s="15">
        <f>100*(1-(1-X174*(1-EXP(-((AI174*0/10)+(BB174))/Y174)))*(1-MIN(ABS(in_elas)*W174*R174*(AI174*0/10)/V174,1)))</f>
        <v/>
      </c>
      <c r="BN174" s="15">
        <f>100*(1-(1-X174*(1-EXP(-((AI174*1/10)+(BC174))/Y174)))*(1-MIN(ABS(in_elas)*W174*R174*(AI174*1/10)/V174,1)))</f>
        <v/>
      </c>
      <c r="BO174" s="15">
        <f>100*(1-(1-X174*(1-EXP(-((AI174*2/10)+(BD174))/Y174)))*(1-MIN(ABS(in_elas)*W174*R174*(AI174*2/10)/V174,1)))</f>
        <v/>
      </c>
      <c r="BP174" s="15">
        <f>100*(1-(1-X174*(1-EXP(-((AI174*3/10)+(BE174))/Y174)))*(1-MIN(ABS(in_elas)*W174*R174*(AI174*3/10)/V174,1)))</f>
        <v/>
      </c>
      <c r="BQ174" s="15">
        <f>100*(1-(1-X174*(1-EXP(-((AI174*4/10)+(BF174))/Y174)))*(1-MIN(ABS(in_elas)*W174*R174*(AI174*4/10)/V174,1)))</f>
        <v/>
      </c>
      <c r="BR174" s="15">
        <f>100*(1-(1-X174*(1-EXP(-((AI174*5/10)+(BG174))/Y174)))*(1-MIN(ABS(in_elas)*W174*R174*(AI174*5/10)/V174,1)))</f>
        <v/>
      </c>
      <c r="BS174" s="15">
        <f>100*(1-(1-X174*(1-EXP(-((AI174*6/10)+(BH174))/Y174)))*(1-MIN(ABS(in_elas)*W174*R174*(AI174*6/10)/V174,1)))</f>
        <v/>
      </c>
      <c r="BT174" s="15">
        <f>100*(1-(1-X174*(1-EXP(-((AI174*7/10)+(BI174))/Y174)))*(1-MIN(ABS(in_elas)*W174*R174*(AI174*7/10)/V174,1)))</f>
        <v/>
      </c>
      <c r="BU174" s="15">
        <f>100*(1-(1-X174*(1-EXP(-((AI174*8/10)+(BJ174))/Y174)))*(1-MIN(ABS(in_elas)*W174*R174*(AI174*8/10)/V174,1)))</f>
        <v/>
      </c>
      <c r="BV174" s="15">
        <f>100*(1-(1-X174*(1-EXP(-((AI174*9/10)+(BK174))/Y174)))*(1-MIN(ABS(in_elas)*W174*R174*(AI174*9/10)/V174,1)))</f>
        <v/>
      </c>
      <c r="BW174" s="15">
        <f>100*(1-(1-X174*(1-EXP(-((AI174*10/10)+(BL174))/Y174)))*(1-MIN(ABS(in_elas)*W174*R174*(AI174*10/10)/V174,1)))</f>
        <v/>
      </c>
    </row>
  </sheetData>
  <autoFilter ref="A4:BW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18" customWidth="1" min="4" max="4"/>
    <col width="8" customWidth="1" min="5" max="5"/>
    <col width="34" customWidth="1" min="6" max="6"/>
    <col width="10" customWidth="1" min="7" max="7"/>
    <col width="7" customWidth="1" min="8" max="8"/>
    <col width="46" customWidth="1" min="9" max="9"/>
  </cols>
  <sheetData>
    <row r="1">
      <c r="A1" s="6" t="inlineStr">
        <is>
          <t>iso3</t>
        </is>
      </c>
      <c r="B1" s="6" t="inlineStr">
        <is>
          <t>country</t>
        </is>
      </c>
      <c r="C1" s="6" t="inlineStr">
        <is>
          <t>region</t>
        </is>
      </c>
      <c r="D1" s="6" t="inlineStr">
        <is>
          <t>income</t>
        </is>
      </c>
      <c r="E1" s="6" t="inlineStr">
        <is>
          <t>is_ccdr</t>
        </is>
      </c>
      <c r="F1" s="6" t="inlineStr">
        <is>
          <t>indicator</t>
        </is>
      </c>
      <c r="G1" s="6" t="inlineStr">
        <is>
          <t>value</t>
        </is>
      </c>
      <c r="H1" s="6" t="inlineStr">
        <is>
          <t>year</t>
        </is>
      </c>
      <c r="I1" s="6" t="inlineStr">
        <is>
          <t>source</t>
        </is>
      </c>
    </row>
    <row r="2">
      <c r="A2" s="7" t="inlineStr">
        <is>
          <t>ABW</t>
        </is>
      </c>
      <c r="B2" s="7" t="inlineStr">
        <is>
          <t>Aruba</t>
        </is>
      </c>
      <c r="C2" s="7" t="inlineStr">
        <is>
          <t>Latin America &amp; Caribbean</t>
        </is>
      </c>
      <c r="D2" s="7" t="inlineStr">
        <is>
          <t>High income</t>
        </is>
      </c>
      <c r="E2" s="7" t="b">
        <v>0</v>
      </c>
      <c r="F2" s="7" t="inlineStr">
        <is>
          <t>coal_rents_pct_gdp</t>
        </is>
      </c>
      <c r="G2" s="7" t="n">
        <v>0</v>
      </c>
      <c r="H2" s="7" t="inlineStr">
        <is>
          <t>2021</t>
        </is>
      </c>
      <c r="I2" s="7" t="inlineStr">
        <is>
          <t>API_NY_GDP_COAL_RT_ZS_DS2_en_csv_v2_35370.zip</t>
        </is>
      </c>
    </row>
    <row r="3">
      <c r="A3" s="7" t="inlineStr">
        <is>
          <t>ABW</t>
        </is>
      </c>
      <c r="B3" s="7" t="inlineStr">
        <is>
          <t>Aruba</t>
        </is>
      </c>
      <c r="C3" s="7" t="inlineStr">
        <is>
          <t>Latin America &amp; Caribbean</t>
        </is>
      </c>
      <c r="D3" s="7" t="inlineStr">
        <is>
          <t>High income</t>
        </is>
      </c>
      <c r="E3" s="7" t="b">
        <v>0</v>
      </c>
      <c r="F3" s="7" t="inlineStr">
        <is>
          <t>em_coal_mt</t>
        </is>
      </c>
      <c r="G3" s="7" t="n">
        <v>0</v>
      </c>
      <c r="H3" s="7" t="n">
        <v>2024</v>
      </c>
      <c r="I3" s="7" t="inlineStr">
        <is>
          <t>release_generation_yearly_global.csv (Ember)</t>
        </is>
      </c>
    </row>
    <row r="4">
      <c r="A4" s="7" t="inlineStr">
        <is>
          <t>ABW</t>
        </is>
      </c>
      <c r="B4" s="7" t="inlineStr">
        <is>
          <t>Aruba</t>
        </is>
      </c>
      <c r="C4" s="7" t="inlineStr">
        <is>
          <t>Latin America &amp; Caribbean</t>
        </is>
      </c>
      <c r="D4" s="7" t="inlineStr">
        <is>
          <t>High income</t>
        </is>
      </c>
      <c r="E4" s="7" t="b">
        <v>0</v>
      </c>
      <c r="F4" s="7" t="inlineStr">
        <is>
          <t>em_gas_mt</t>
        </is>
      </c>
      <c r="G4" s="7" t="n">
        <v>0</v>
      </c>
      <c r="H4" s="7" t="n">
        <v>2024</v>
      </c>
      <c r="I4" s="7" t="inlineStr">
        <is>
          <t>release_generation_yearly_global.csv (Ember)</t>
        </is>
      </c>
    </row>
    <row r="5">
      <c r="A5" s="7" t="inlineStr">
        <is>
          <t>ABW</t>
        </is>
      </c>
      <c r="B5" s="7" t="inlineStr">
        <is>
          <t>Aruba</t>
        </is>
      </c>
      <c r="C5" s="7" t="inlineStr">
        <is>
          <t>Latin America &amp; Caribbean</t>
        </is>
      </c>
      <c r="D5" s="7" t="inlineStr">
        <is>
          <t>High income</t>
        </is>
      </c>
      <c r="E5" s="7" t="b">
        <v>0</v>
      </c>
      <c r="F5" s="7" t="inlineStr">
        <is>
          <t>em_oil_mt</t>
        </is>
      </c>
      <c r="G5" s="7" t="n">
        <v>0.546</v>
      </c>
      <c r="H5" s="7" t="n">
        <v>2024</v>
      </c>
      <c r="I5" s="7" t="inlineStr">
        <is>
          <t>release_generation_yearly_global.csv (Ember)</t>
        </is>
      </c>
    </row>
    <row r="6">
      <c r="A6" s="7" t="inlineStr">
        <is>
          <t>ABW</t>
        </is>
      </c>
      <c r="B6" s="7" t="inlineStr">
        <is>
          <t>Aruba</t>
        </is>
      </c>
      <c r="C6" s="7" t="inlineStr">
        <is>
          <t>Latin America &amp; Caribbean</t>
        </is>
      </c>
      <c r="D6" s="7" t="inlineStr">
        <is>
          <t>High income</t>
        </is>
      </c>
      <c r="E6" s="7" t="b">
        <v>0</v>
      </c>
      <c r="F6" s="7" t="inlineStr">
        <is>
          <t>ff_subsidy_explicit_pct_gdp</t>
        </is>
      </c>
      <c r="G6" s="7" t="n">
        <v>0</v>
      </c>
      <c r="H6" s="7" t="inlineStr">
        <is>
          <t>2024</t>
        </is>
      </c>
      <c r="I6" s="7" t="inlineStr">
        <is>
          <t>imffossilfuelsubsidiesdata.xlsb</t>
        </is>
      </c>
    </row>
    <row r="7">
      <c r="A7" s="7" t="inlineStr">
        <is>
          <t>ABW</t>
        </is>
      </c>
      <c r="B7" s="7" t="inlineStr">
        <is>
          <t>Aruba</t>
        </is>
      </c>
      <c r="C7" s="7" t="inlineStr">
        <is>
          <t>Latin America &amp; Caribbean</t>
        </is>
      </c>
      <c r="D7" s="7" t="inlineStr">
        <is>
          <t>High income</t>
        </is>
      </c>
      <c r="E7" s="7" t="b">
        <v>0</v>
      </c>
      <c r="F7" s="7" t="inlineStr">
        <is>
          <t>fuel_exports_pct_merch</t>
        </is>
      </c>
      <c r="G7" s="7" t="n">
        <v>0.06</v>
      </c>
      <c r="H7" s="7" t="inlineStr">
        <is>
          <t>2023</t>
        </is>
      </c>
      <c r="I7" s="7" t="inlineStr">
        <is>
          <t>API_TX_VAL_FUEL_ZS_UN_DS2_en_csv_v2_33055.zip</t>
        </is>
      </c>
    </row>
    <row r="8">
      <c r="A8" s="7" t="inlineStr">
        <is>
          <t>ABW</t>
        </is>
      </c>
      <c r="B8" s="7" t="inlineStr">
        <is>
          <t>Aruba</t>
        </is>
      </c>
      <c r="C8" s="7" t="inlineStr">
        <is>
          <t>Latin America &amp; Caribbean</t>
        </is>
      </c>
      <c r="D8" s="7" t="inlineStr">
        <is>
          <t>High income</t>
        </is>
      </c>
      <c r="E8" s="7" t="b">
        <v>0</v>
      </c>
      <c r="F8" s="7" t="inlineStr">
        <is>
          <t>gen_coal_twh</t>
        </is>
      </c>
      <c r="G8" s="7" t="n">
        <v>0</v>
      </c>
      <c r="H8" s="7" t="n">
        <v>2024</v>
      </c>
      <c r="I8" s="7" t="inlineStr">
        <is>
          <t>release_generation_yearly_global.csv (Ember)</t>
        </is>
      </c>
    </row>
    <row r="9">
      <c r="A9" s="7" t="inlineStr">
        <is>
          <t>ABW</t>
        </is>
      </c>
      <c r="B9" s="7" t="inlineStr">
        <is>
          <t>Aruba</t>
        </is>
      </c>
      <c r="C9" s="7" t="inlineStr">
        <is>
          <t>Latin America &amp; Caribbean</t>
        </is>
      </c>
      <c r="D9" s="7" t="inlineStr">
        <is>
          <t>High income</t>
        </is>
      </c>
      <c r="E9" s="7" t="b">
        <v>0</v>
      </c>
      <c r="F9" s="7" t="inlineStr">
        <is>
          <t>gen_gas_twh</t>
        </is>
      </c>
      <c r="G9" s="7" t="n">
        <v>0</v>
      </c>
      <c r="H9" s="7" t="n">
        <v>2024</v>
      </c>
      <c r="I9" s="7" t="inlineStr">
        <is>
          <t>release_generation_yearly_global.csv (Ember)</t>
        </is>
      </c>
    </row>
    <row r="10">
      <c r="A10" s="7" t="inlineStr">
        <is>
          <t>ABW</t>
        </is>
      </c>
      <c r="B10" s="7" t="inlineStr">
        <is>
          <t>Aruba</t>
        </is>
      </c>
      <c r="C10" s="7" t="inlineStr">
        <is>
          <t>Latin America &amp; Caribbean</t>
        </is>
      </c>
      <c r="D10" s="7" t="inlineStr">
        <is>
          <t>High income</t>
        </is>
      </c>
      <c r="E10" s="7" t="b">
        <v>0</v>
      </c>
      <c r="F10" s="7" t="inlineStr">
        <is>
          <t>gen_oil_twh</t>
        </is>
      </c>
      <c r="G10" s="7" t="n">
        <v>0.83</v>
      </c>
      <c r="H10" s="7" t="n">
        <v>2024</v>
      </c>
      <c r="I10" s="7" t="inlineStr">
        <is>
          <t>release_generation_yearly_global.csv (Ember)</t>
        </is>
      </c>
    </row>
    <row r="11">
      <c r="A11" s="7" t="inlineStr">
        <is>
          <t>ABW</t>
        </is>
      </c>
      <c r="B11" s="7" t="inlineStr">
        <is>
          <t>Aruba</t>
        </is>
      </c>
      <c r="C11" s="7" t="inlineStr">
        <is>
          <t>Latin America &amp; Caribbean</t>
        </is>
      </c>
      <c r="D11" s="7" t="inlineStr">
        <is>
          <t>High income</t>
        </is>
      </c>
      <c r="E11" s="7" t="b">
        <v>0</v>
      </c>
      <c r="F11" s="7" t="inlineStr">
        <is>
          <t>gen_total_twh</t>
        </is>
      </c>
      <c r="G11" s="7" t="n">
        <v>1</v>
      </c>
      <c r="H11" s="7" t="n">
        <v>2024</v>
      </c>
      <c r="I11" s="7" t="inlineStr">
        <is>
          <t>release_generation_yearly_global.csv (Ember)</t>
        </is>
      </c>
    </row>
    <row r="12">
      <c r="A12" s="7" t="inlineStr">
        <is>
          <t>ABW</t>
        </is>
      </c>
      <c r="B12" s="7" t="inlineStr">
        <is>
          <t>Aruba</t>
        </is>
      </c>
      <c r="C12" s="7" t="inlineStr">
        <is>
          <t>Latin America &amp; Caribbean</t>
        </is>
      </c>
      <c r="D12" s="7" t="inlineStr">
        <is>
          <t>High income</t>
        </is>
      </c>
      <c r="E12" s="7" t="b">
        <v>0</v>
      </c>
      <c r="F12" s="7" t="inlineStr">
        <is>
          <t>power_market_structure</t>
        </is>
      </c>
      <c r="G12" s="7" t="n">
        <v>1</v>
      </c>
      <c r="H12" s="7" t="inlineStr">
        <is>
          <t>2013</t>
        </is>
      </c>
      <c r="I12" s="7" t="inlineStr">
        <is>
          <t>dataverse_files.zip</t>
        </is>
      </c>
    </row>
    <row r="13">
      <c r="A13" s="7" t="inlineStr">
        <is>
          <t>ABW</t>
        </is>
      </c>
      <c r="B13" s="7" t="inlineStr">
        <is>
          <t>Aruba</t>
        </is>
      </c>
      <c r="C13" s="7" t="inlineStr">
        <is>
          <t>Latin America &amp; Caribbean</t>
        </is>
      </c>
      <c r="D13" s="7" t="inlineStr">
        <is>
          <t>High income</t>
        </is>
      </c>
      <c r="E13" s="7" t="b">
        <v>0</v>
      </c>
      <c r="F13" s="7" t="inlineStr">
        <is>
          <t>price_coal_power_usd_gj</t>
        </is>
      </c>
      <c r="G13" s="7" t="n">
        <v>5.575</v>
      </c>
      <c r="H13" s="7" t="inlineStr">
        <is>
          <t>2024</t>
        </is>
      </c>
      <c r="I13" s="7" t="inlineStr">
        <is>
          <t>imffossilfuelsubsidiesdata.xlsb</t>
        </is>
      </c>
    </row>
    <row r="14">
      <c r="A14" s="7" t="inlineStr">
        <is>
          <t>ABW</t>
        </is>
      </c>
      <c r="B14" s="7" t="inlineStr">
        <is>
          <t>Aruba</t>
        </is>
      </c>
      <c r="C14" s="7" t="inlineStr">
        <is>
          <t>Latin America &amp; Caribbean</t>
        </is>
      </c>
      <c r="D14" s="7" t="inlineStr">
        <is>
          <t>High income</t>
        </is>
      </c>
      <c r="E14" s="7" t="b">
        <v>0</v>
      </c>
      <c r="F14" s="7" t="inlineStr">
        <is>
          <t>price_electricity_residential_usd_kwh</t>
        </is>
      </c>
      <c r="G14" s="7" t="n">
        <v>0.275</v>
      </c>
      <c r="H14" s="7" t="inlineStr">
        <is>
          <t>2024</t>
        </is>
      </c>
      <c r="I14" s="7" t="inlineStr">
        <is>
          <t>imffossilfuelsubsidiesdata.xlsb</t>
        </is>
      </c>
    </row>
    <row r="15">
      <c r="A15" s="7" t="inlineStr">
        <is>
          <t>ABW</t>
        </is>
      </c>
      <c r="B15" s="7" t="inlineStr">
        <is>
          <t>Aruba</t>
        </is>
      </c>
      <c r="C15" s="7" t="inlineStr">
        <is>
          <t>Latin America &amp; Caribbean</t>
        </is>
      </c>
      <c r="D15" s="7" t="inlineStr">
        <is>
          <t>High income</t>
        </is>
      </c>
      <c r="E15" s="7" t="b">
        <v>0</v>
      </c>
      <c r="F15" s="7" t="inlineStr">
        <is>
          <t>price_gas_industry_usd_gj</t>
        </is>
      </c>
      <c r="G15" s="7" t="n">
        <v>2.458</v>
      </c>
      <c r="H15" s="7" t="inlineStr">
        <is>
          <t>2024</t>
        </is>
      </c>
      <c r="I15" s="7" t="inlineStr">
        <is>
          <t>imffossilfuelsubsidiesdata.xlsb</t>
        </is>
      </c>
    </row>
    <row r="16">
      <c r="A16" s="7" t="inlineStr">
        <is>
          <t>ABW</t>
        </is>
      </c>
      <c r="B16" s="7" t="inlineStr">
        <is>
          <t>Aruba</t>
        </is>
      </c>
      <c r="C16" s="7" t="inlineStr">
        <is>
          <t>Latin America &amp; Caribbean</t>
        </is>
      </c>
      <c r="D16" s="7" t="inlineStr">
        <is>
          <t>High income</t>
        </is>
      </c>
      <c r="E16" s="7" t="b">
        <v>0</v>
      </c>
      <c r="F16" s="7" t="inlineStr">
        <is>
          <t>price_gas_power_usd_gj</t>
        </is>
      </c>
      <c r="G16" s="7" t="n">
        <v>2.458</v>
      </c>
      <c r="H16" s="7" t="inlineStr">
        <is>
          <t>2024</t>
        </is>
      </c>
      <c r="I16" s="7" t="inlineStr">
        <is>
          <t>imffossilfuelsubsidiesdata.xlsb</t>
        </is>
      </c>
    </row>
    <row r="17">
      <c r="A17" s="7" t="inlineStr">
        <is>
          <t>AFG</t>
        </is>
      </c>
      <c r="B17" s="7" t="inlineStr">
        <is>
          <t>Afghanistan</t>
        </is>
      </c>
      <c r="C17" s="7" t="inlineStr">
        <is>
          <t>Middle East &amp; North Africa</t>
        </is>
      </c>
      <c r="D17" s="7" t="inlineStr">
        <is>
          <t>Low income</t>
        </is>
      </c>
      <c r="E17" s="7" t="b">
        <v>0</v>
      </c>
      <c r="F17" s="7" t="inlineStr">
        <is>
          <t>coal_rents_pct_gdp</t>
        </is>
      </c>
      <c r="G17" s="7" t="n">
        <v>0.019</v>
      </c>
      <c r="H17" s="7" t="inlineStr">
        <is>
          <t>2021</t>
        </is>
      </c>
      <c r="I17" s="7" t="inlineStr">
        <is>
          <t>API_NY_GDP_COAL_RT_ZS_DS2_en_csv_v2_35370.zip</t>
        </is>
      </c>
    </row>
    <row r="18">
      <c r="A18" s="7" t="inlineStr">
        <is>
          <t>AFG</t>
        </is>
      </c>
      <c r="B18" s="7" t="inlineStr">
        <is>
          <t>Afghanistan</t>
        </is>
      </c>
      <c r="C18" s="7" t="inlineStr">
        <is>
          <t>Middle East &amp; North Africa</t>
        </is>
      </c>
      <c r="D18" s="7" t="inlineStr">
        <is>
          <t>Low income</t>
        </is>
      </c>
      <c r="E18" s="7" t="b">
        <v>0</v>
      </c>
      <c r="F18" s="7" t="inlineStr">
        <is>
          <t>em_coal_mt</t>
        </is>
      </c>
      <c r="G18" s="7" t="n">
        <v>0.027</v>
      </c>
      <c r="H18" s="7" t="n">
        <v>2024</v>
      </c>
      <c r="I18" s="7" t="inlineStr">
        <is>
          <t>release_generation_yearly_global.csv (Ember)</t>
        </is>
      </c>
    </row>
    <row r="19">
      <c r="A19" s="7" t="inlineStr">
        <is>
          <t>AFG</t>
        </is>
      </c>
      <c r="B19" s="7" t="inlineStr">
        <is>
          <t>Afghanistan</t>
        </is>
      </c>
      <c r="C19" s="7" t="inlineStr">
        <is>
          <t>Middle East &amp; North Africa</t>
        </is>
      </c>
      <c r="D19" s="7" t="inlineStr">
        <is>
          <t>Low income</t>
        </is>
      </c>
      <c r="E19" s="7" t="b">
        <v>0</v>
      </c>
      <c r="F19" s="7" t="inlineStr">
        <is>
          <t>em_gas_mt</t>
        </is>
      </c>
      <c r="G19" s="7" t="n">
        <v>0</v>
      </c>
      <c r="H19" s="7" t="n">
        <v>2024</v>
      </c>
      <c r="I19" s="7" t="inlineStr">
        <is>
          <t>release_generation_yearly_global.csv (Ember)</t>
        </is>
      </c>
    </row>
    <row r="20">
      <c r="A20" s="7" t="inlineStr">
        <is>
          <t>AFG</t>
        </is>
      </c>
      <c r="B20" s="7" t="inlineStr">
        <is>
          <t>Afghanistan</t>
        </is>
      </c>
      <c r="C20" s="7" t="inlineStr">
        <is>
          <t>Middle East &amp; North Africa</t>
        </is>
      </c>
      <c r="D20" s="7" t="inlineStr">
        <is>
          <t>Low income</t>
        </is>
      </c>
      <c r="E20" s="7" t="b">
        <v>0</v>
      </c>
      <c r="F20" s="7" t="inlineStr">
        <is>
          <t>em_oil_mt</t>
        </is>
      </c>
      <c r="G20" s="7" t="n">
        <v>0.066</v>
      </c>
      <c r="H20" s="7" t="n">
        <v>2024</v>
      </c>
      <c r="I20" s="7" t="inlineStr">
        <is>
          <t>release_generation_yearly_global.csv (Ember)</t>
        </is>
      </c>
    </row>
    <row r="21">
      <c r="A21" s="7" t="inlineStr">
        <is>
          <t>AFG</t>
        </is>
      </c>
      <c r="B21" s="7" t="inlineStr">
        <is>
          <t>Afghanistan</t>
        </is>
      </c>
      <c r="C21" s="7" t="inlineStr">
        <is>
          <t>Middle East &amp; North Africa</t>
        </is>
      </c>
      <c r="D21" s="7" t="inlineStr">
        <is>
          <t>Low income</t>
        </is>
      </c>
      <c r="E21" s="7" t="b">
        <v>0</v>
      </c>
      <c r="F21" s="7" t="inlineStr">
        <is>
          <t>ff_subsidy_explicit_pct_gdp</t>
        </is>
      </c>
      <c r="G21" s="7" t="n">
        <v>1.383</v>
      </c>
      <c r="H21" s="7" t="inlineStr">
        <is>
          <t>2024</t>
        </is>
      </c>
      <c r="I21" s="7" t="inlineStr">
        <is>
          <t>imffossilfuelsubsidiesdata.xlsb</t>
        </is>
      </c>
    </row>
    <row r="22">
      <c r="A22" s="7" t="inlineStr">
        <is>
          <t>AFG</t>
        </is>
      </c>
      <c r="B22" s="7" t="inlineStr">
        <is>
          <t>Afghanistan</t>
        </is>
      </c>
      <c r="C22" s="7" t="inlineStr">
        <is>
          <t>Middle East &amp; North Africa</t>
        </is>
      </c>
      <c r="D22" s="7" t="inlineStr">
        <is>
          <t>Low income</t>
        </is>
      </c>
      <c r="E22" s="7" t="b">
        <v>0</v>
      </c>
      <c r="F22" s="7" t="inlineStr">
        <is>
          <t>fuel_exports_pct_merch</t>
        </is>
      </c>
      <c r="G22" s="7" t="n">
        <v>8.051</v>
      </c>
      <c r="H22" s="7" t="inlineStr">
        <is>
          <t>2019</t>
        </is>
      </c>
      <c r="I22" s="7" t="inlineStr">
        <is>
          <t>API_TX_VAL_FUEL_ZS_UN_DS2_en_csv_v2_33055.zip</t>
        </is>
      </c>
    </row>
    <row r="23">
      <c r="A23" s="7" t="inlineStr">
        <is>
          <t>AFG</t>
        </is>
      </c>
      <c r="B23" s="7" t="inlineStr">
        <is>
          <t>Afghanistan</t>
        </is>
      </c>
      <c r="C23" s="7" t="inlineStr">
        <is>
          <t>Middle East &amp; North Africa</t>
        </is>
      </c>
      <c r="D23" s="7" t="inlineStr">
        <is>
          <t>Low income</t>
        </is>
      </c>
      <c r="E23" s="7" t="b">
        <v>0</v>
      </c>
      <c r="F23" s="7" t="inlineStr">
        <is>
          <t>gen_coal_twh</t>
        </is>
      </c>
      <c r="G23" s="7" t="n">
        <v>0.03</v>
      </c>
      <c r="H23" s="7" t="n">
        <v>2024</v>
      </c>
      <c r="I23" s="7" t="inlineStr">
        <is>
          <t>release_generation_yearly_global.csv (Ember)</t>
        </is>
      </c>
    </row>
    <row r="24">
      <c r="A24" s="7" t="inlineStr">
        <is>
          <t>AFG</t>
        </is>
      </c>
      <c r="B24" s="7" t="inlineStr">
        <is>
          <t>Afghanistan</t>
        </is>
      </c>
      <c r="C24" s="7" t="inlineStr">
        <is>
          <t>Middle East &amp; North Africa</t>
        </is>
      </c>
      <c r="D24" s="7" t="inlineStr">
        <is>
          <t>Low income</t>
        </is>
      </c>
      <c r="E24" s="7" t="b">
        <v>0</v>
      </c>
      <c r="F24" s="7" t="inlineStr">
        <is>
          <t>gen_gas_twh</t>
        </is>
      </c>
      <c r="G24" s="7" t="n">
        <v>0</v>
      </c>
      <c r="H24" s="7" t="n">
        <v>2024</v>
      </c>
      <c r="I24" s="7" t="inlineStr">
        <is>
          <t>release_generation_yearly_global.csv (Ember)</t>
        </is>
      </c>
    </row>
    <row r="25">
      <c r="A25" s="7" t="inlineStr">
        <is>
          <t>AFG</t>
        </is>
      </c>
      <c r="B25" s="7" t="inlineStr">
        <is>
          <t>Afghanistan</t>
        </is>
      </c>
      <c r="C25" s="7" t="inlineStr">
        <is>
          <t>Middle East &amp; North Africa</t>
        </is>
      </c>
      <c r="D25" s="7" t="inlineStr">
        <is>
          <t>Low income</t>
        </is>
      </c>
      <c r="E25" s="7" t="b">
        <v>0</v>
      </c>
      <c r="F25" s="7" t="inlineStr">
        <is>
          <t>gen_oil_twh</t>
        </is>
      </c>
      <c r="G25" s="7" t="n">
        <v>0.1</v>
      </c>
      <c r="H25" s="7" t="n">
        <v>2024</v>
      </c>
      <c r="I25" s="7" t="inlineStr">
        <is>
          <t>release_generation_yearly_global.csv (Ember)</t>
        </is>
      </c>
    </row>
    <row r="26">
      <c r="A26" s="7" t="inlineStr">
        <is>
          <t>AFG</t>
        </is>
      </c>
      <c r="B26" s="7" t="inlineStr">
        <is>
          <t>Afghanistan</t>
        </is>
      </c>
      <c r="C26" s="7" t="inlineStr">
        <is>
          <t>Middle East &amp; North Africa</t>
        </is>
      </c>
      <c r="D26" s="7" t="inlineStr">
        <is>
          <t>Low income</t>
        </is>
      </c>
      <c r="E26" s="7" t="b">
        <v>0</v>
      </c>
      <c r="F26" s="7" t="inlineStr">
        <is>
          <t>gen_total_twh</t>
        </is>
      </c>
      <c r="G26" s="7" t="n">
        <v>0.99</v>
      </c>
      <c r="H26" s="7" t="n">
        <v>2024</v>
      </c>
      <c r="I26" s="7" t="inlineStr">
        <is>
          <t>release_generation_yearly_global.csv (Ember)</t>
        </is>
      </c>
    </row>
    <row r="27">
      <c r="A27" s="7" t="inlineStr">
        <is>
          <t>AFG</t>
        </is>
      </c>
      <c r="B27" s="7" t="inlineStr">
        <is>
          <t>Afghanistan</t>
        </is>
      </c>
      <c r="C27" s="7" t="inlineStr">
        <is>
          <t>Middle East &amp; North Africa</t>
        </is>
      </c>
      <c r="D27" s="7" t="inlineStr">
        <is>
          <t>Low income</t>
        </is>
      </c>
      <c r="E27" s="7" t="b">
        <v>0</v>
      </c>
      <c r="F27" s="7" t="inlineStr">
        <is>
          <t>power_market_structure</t>
        </is>
      </c>
      <c r="G27" s="7" t="n">
        <v>3</v>
      </c>
      <c r="H27" s="7" t="inlineStr">
        <is>
          <t>2013</t>
        </is>
      </c>
      <c r="I27" s="7" t="inlineStr">
        <is>
          <t>dataverse_files.zip</t>
        </is>
      </c>
    </row>
    <row r="28">
      <c r="A28" s="7" t="inlineStr">
        <is>
          <t>AFG</t>
        </is>
      </c>
      <c r="B28" s="7" t="inlineStr">
        <is>
          <t>Afghanistan</t>
        </is>
      </c>
      <c r="C28" s="7" t="inlineStr">
        <is>
          <t>Middle East &amp; North Africa</t>
        </is>
      </c>
      <c r="D28" s="7" t="inlineStr">
        <is>
          <t>Low income</t>
        </is>
      </c>
      <c r="E28" s="7" t="b">
        <v>0</v>
      </c>
      <c r="F28" s="7" t="inlineStr">
        <is>
          <t>price_coal_power_usd_gj</t>
        </is>
      </c>
      <c r="G28" s="7" t="n">
        <v>4.833</v>
      </c>
      <c r="H28" s="7" t="inlineStr">
        <is>
          <t>2024</t>
        </is>
      </c>
      <c r="I28" s="7" t="inlineStr">
        <is>
          <t>imffossilfuelsubsidiesdata.xlsb</t>
        </is>
      </c>
    </row>
    <row r="29">
      <c r="A29" s="7" t="inlineStr">
        <is>
          <t>AFG</t>
        </is>
      </c>
      <c r="B29" s="7" t="inlineStr">
        <is>
          <t>Afghanistan</t>
        </is>
      </c>
      <c r="C29" s="7" t="inlineStr">
        <is>
          <t>Middle East &amp; North Africa</t>
        </is>
      </c>
      <c r="D29" s="7" t="inlineStr">
        <is>
          <t>Low income</t>
        </is>
      </c>
      <c r="E29" s="7" t="b">
        <v>0</v>
      </c>
      <c r="F29" s="7" t="inlineStr">
        <is>
          <t>price_electricity_residential_usd_kwh</t>
        </is>
      </c>
      <c r="G29" s="7" t="n">
        <v>0.059</v>
      </c>
      <c r="H29" s="7" t="inlineStr">
        <is>
          <t>2024</t>
        </is>
      </c>
      <c r="I29" s="7" t="inlineStr">
        <is>
          <t>imffossilfuelsubsidiesdata.xlsb</t>
        </is>
      </c>
    </row>
    <row r="30">
      <c r="A30" s="7" t="inlineStr">
        <is>
          <t>AFG</t>
        </is>
      </c>
      <c r="B30" s="7" t="inlineStr">
        <is>
          <t>Afghanistan</t>
        </is>
      </c>
      <c r="C30" s="7" t="inlineStr">
        <is>
          <t>Middle East &amp; North Africa</t>
        </is>
      </c>
      <c r="D30" s="7" t="inlineStr">
        <is>
          <t>Low income</t>
        </is>
      </c>
      <c r="E30" s="7" t="b">
        <v>0</v>
      </c>
      <c r="F30" s="7" t="inlineStr">
        <is>
          <t>price_gas_industry_usd_gj</t>
        </is>
      </c>
      <c r="G30" s="7" t="n">
        <v>6.449</v>
      </c>
      <c r="H30" s="7" t="inlineStr">
        <is>
          <t>2024</t>
        </is>
      </c>
      <c r="I30" s="7" t="inlineStr">
        <is>
          <t>imffossilfuelsubsidiesdata.xlsb</t>
        </is>
      </c>
    </row>
    <row r="31">
      <c r="A31" s="7" t="inlineStr">
        <is>
          <t>AFG</t>
        </is>
      </c>
      <c r="B31" s="7" t="inlineStr">
        <is>
          <t>Afghanistan</t>
        </is>
      </c>
      <c r="C31" s="7" t="inlineStr">
        <is>
          <t>Middle East &amp; North Africa</t>
        </is>
      </c>
      <c r="D31" s="7" t="inlineStr">
        <is>
          <t>Low income</t>
        </is>
      </c>
      <c r="E31" s="7" t="b">
        <v>0</v>
      </c>
      <c r="F31" s="7" t="inlineStr">
        <is>
          <t>price_gas_power_usd_gj</t>
        </is>
      </c>
      <c r="G31" s="7" t="n">
        <v>5.125</v>
      </c>
      <c r="H31" s="7" t="inlineStr">
        <is>
          <t>2024</t>
        </is>
      </c>
      <c r="I31" s="7" t="inlineStr">
        <is>
          <t>imffossilfuelsubsidiesdata.xlsb</t>
        </is>
      </c>
    </row>
    <row r="32">
      <c r="A32" s="7" t="inlineStr">
        <is>
          <t>AFG</t>
        </is>
      </c>
      <c r="B32" s="7" t="inlineStr">
        <is>
          <t>Afghanistan</t>
        </is>
      </c>
      <c r="C32" s="7" t="inlineStr">
        <is>
          <t>Middle East &amp; North Africa</t>
        </is>
      </c>
      <c r="D32" s="7" t="inlineStr">
        <is>
          <t>Low income</t>
        </is>
      </c>
      <c r="E32" s="7" t="b">
        <v>0</v>
      </c>
      <c r="F32" s="7" t="inlineStr">
        <is>
          <t>rise_renewable_energy_score</t>
        </is>
      </c>
      <c r="G32" s="7" t="n">
        <v>12.116</v>
      </c>
      <c r="H32" s="7" t="inlineStr">
        <is>
          <t>2023</t>
        </is>
      </c>
      <c r="I32" s="7" t="inlineStr">
        <is>
          <t>WB_RISE_WIDEF.csv</t>
        </is>
      </c>
    </row>
    <row r="33">
      <c r="A33" s="7" t="inlineStr">
        <is>
          <t>AGO</t>
        </is>
      </c>
      <c r="B33" s="7" t="inlineStr">
        <is>
          <t>Angola</t>
        </is>
      </c>
      <c r="C33" s="7" t="inlineStr">
        <is>
          <t>Sub-Saharan Africa</t>
        </is>
      </c>
      <c r="D33" s="7" t="inlineStr">
        <is>
          <t>Lower middle income</t>
        </is>
      </c>
      <c r="E33" s="7" t="b">
        <v>1</v>
      </c>
      <c r="F33" s="7" t="inlineStr">
        <is>
          <t>coal_rents_pct_gdp</t>
        </is>
      </c>
      <c r="G33" s="7" t="n">
        <v>0</v>
      </c>
      <c r="H33" s="7" t="inlineStr">
        <is>
          <t>2021</t>
        </is>
      </c>
      <c r="I33" s="7" t="inlineStr">
        <is>
          <t>API_NY_GDP_COAL_RT_ZS_DS2_en_csv_v2_35370.zip</t>
        </is>
      </c>
    </row>
    <row r="34">
      <c r="A34" s="7" t="inlineStr">
        <is>
          <t>AGO</t>
        </is>
      </c>
      <c r="B34" s="7" t="inlineStr">
        <is>
          <t>Angola</t>
        </is>
      </c>
      <c r="C34" s="7" t="inlineStr">
        <is>
          <t>Sub-Saharan Africa</t>
        </is>
      </c>
      <c r="D34" s="7" t="inlineStr">
        <is>
          <t>Lower middle income</t>
        </is>
      </c>
      <c r="E34" s="7" t="b">
        <v>1</v>
      </c>
      <c r="F34" s="7" t="inlineStr">
        <is>
          <t>em_coal_mt</t>
        </is>
      </c>
      <c r="G34" s="7" t="n">
        <v>0</v>
      </c>
      <c r="H34" s="7" t="n">
        <v>2024</v>
      </c>
      <c r="I34" s="7" t="inlineStr">
        <is>
          <t>release_generation_yearly_global.csv (Ember)</t>
        </is>
      </c>
    </row>
    <row r="35">
      <c r="A35" s="7" t="inlineStr">
        <is>
          <t>AGO</t>
        </is>
      </c>
      <c r="B35" s="7" t="inlineStr">
        <is>
          <t>Angola</t>
        </is>
      </c>
      <c r="C35" s="7" t="inlineStr">
        <is>
          <t>Sub-Saharan Africa</t>
        </is>
      </c>
      <c r="D35" s="7" t="inlineStr">
        <is>
          <t>Lower middle income</t>
        </is>
      </c>
      <c r="E35" s="7" t="b">
        <v>1</v>
      </c>
      <c r="F35" s="7" t="inlineStr">
        <is>
          <t>em_gas_mt</t>
        </is>
      </c>
      <c r="G35" s="7" t="n">
        <v>0.8149999999999999</v>
      </c>
      <c r="H35" s="7" t="n">
        <v>2024</v>
      </c>
      <c r="I35" s="7" t="inlineStr">
        <is>
          <t>release_generation_yearly_global.csv (Ember)</t>
        </is>
      </c>
    </row>
    <row r="36">
      <c r="A36" s="7" t="inlineStr">
        <is>
          <t>AGO</t>
        </is>
      </c>
      <c r="B36" s="7" t="inlineStr">
        <is>
          <t>Angola</t>
        </is>
      </c>
      <c r="C36" s="7" t="inlineStr">
        <is>
          <t>Sub-Saharan Africa</t>
        </is>
      </c>
      <c r="D36" s="7" t="inlineStr">
        <is>
          <t>Lower middle income</t>
        </is>
      </c>
      <c r="E36" s="7" t="b">
        <v>1</v>
      </c>
      <c r="F36" s="7" t="inlineStr">
        <is>
          <t>em_oil_mt</t>
        </is>
      </c>
      <c r="G36" s="7" t="n">
        <v>1.777</v>
      </c>
      <c r="H36" s="7" t="n">
        <v>2024</v>
      </c>
      <c r="I36" s="7" t="inlineStr">
        <is>
          <t>release_generation_yearly_global.csv (Ember)</t>
        </is>
      </c>
    </row>
    <row r="37">
      <c r="A37" s="7" t="inlineStr">
        <is>
          <t>AGO</t>
        </is>
      </c>
      <c r="B37" s="7" t="inlineStr">
        <is>
          <t>Angola</t>
        </is>
      </c>
      <c r="C37" s="7" t="inlineStr">
        <is>
          <t>Sub-Saharan Africa</t>
        </is>
      </c>
      <c r="D37" s="7" t="inlineStr">
        <is>
          <t>Lower middle income</t>
        </is>
      </c>
      <c r="E37" s="7" t="b">
        <v>1</v>
      </c>
      <c r="F37" s="7" t="inlineStr">
        <is>
          <t>ff_subsidy_explicit_pct_gdp</t>
        </is>
      </c>
      <c r="G37" s="7" t="n">
        <v>3.212</v>
      </c>
      <c r="H37" s="7" t="inlineStr">
        <is>
          <t>2024</t>
        </is>
      </c>
      <c r="I37" s="7" t="inlineStr">
        <is>
          <t>imffossilfuelsubsidiesdata.xlsb</t>
        </is>
      </c>
    </row>
    <row r="38">
      <c r="A38" s="7" t="inlineStr">
        <is>
          <t>AGO</t>
        </is>
      </c>
      <c r="B38" s="7" t="inlineStr">
        <is>
          <t>Angola</t>
        </is>
      </c>
      <c r="C38" s="7" t="inlineStr">
        <is>
          <t>Sub-Saharan Africa</t>
        </is>
      </c>
      <c r="D38" s="7" t="inlineStr">
        <is>
          <t>Lower middle income</t>
        </is>
      </c>
      <c r="E38" s="7" t="b">
        <v>1</v>
      </c>
      <c r="F38" s="7" t="inlineStr">
        <is>
          <t>fuel_exports_pct_merch</t>
        </is>
      </c>
      <c r="G38" s="7" t="n">
        <v>94.13500000000001</v>
      </c>
      <c r="H38" s="7" t="inlineStr">
        <is>
          <t>2024</t>
        </is>
      </c>
      <c r="I38" s="7" t="inlineStr">
        <is>
          <t>API_TX_VAL_FUEL_ZS_UN_DS2_en_csv_v2_33055.zip</t>
        </is>
      </c>
    </row>
    <row r="39">
      <c r="A39" s="7" t="inlineStr">
        <is>
          <t>AGO</t>
        </is>
      </c>
      <c r="B39" s="7" t="inlineStr">
        <is>
          <t>Angola</t>
        </is>
      </c>
      <c r="C39" s="7" t="inlineStr">
        <is>
          <t>Sub-Saharan Africa</t>
        </is>
      </c>
      <c r="D39" s="7" t="inlineStr">
        <is>
          <t>Lower middle income</t>
        </is>
      </c>
      <c r="E39" s="7" t="b">
        <v>1</v>
      </c>
      <c r="F39" s="7" t="inlineStr">
        <is>
          <t>gen_coal_twh</t>
        </is>
      </c>
      <c r="G39" s="7" t="n">
        <v>0</v>
      </c>
      <c r="H39" s="7" t="n">
        <v>2024</v>
      </c>
      <c r="I39" s="7" t="inlineStr">
        <is>
          <t>release_generation_yearly_global.csv (Ember)</t>
        </is>
      </c>
    </row>
    <row r="40">
      <c r="A40" s="7" t="inlineStr">
        <is>
          <t>AGO</t>
        </is>
      </c>
      <c r="B40" s="7" t="inlineStr">
        <is>
          <t>Angola</t>
        </is>
      </c>
      <c r="C40" s="7" t="inlineStr">
        <is>
          <t>Sub-Saharan Africa</t>
        </is>
      </c>
      <c r="D40" s="7" t="inlineStr">
        <is>
          <t>Lower middle income</t>
        </is>
      </c>
      <c r="E40" s="7" t="b">
        <v>1</v>
      </c>
      <c r="F40" s="7" t="inlineStr">
        <is>
          <t>gen_gas_twh</t>
        </is>
      </c>
      <c r="G40" s="7" t="n">
        <v>1.4</v>
      </c>
      <c r="H40" s="7" t="n">
        <v>2024</v>
      </c>
      <c r="I40" s="7" t="inlineStr">
        <is>
          <t>release_generation_yearly_global.csv (Ember)</t>
        </is>
      </c>
    </row>
    <row r="41">
      <c r="A41" s="7" t="inlineStr">
        <is>
          <t>AGO</t>
        </is>
      </c>
      <c r="B41" s="7" t="inlineStr">
        <is>
          <t>Angola</t>
        </is>
      </c>
      <c r="C41" s="7" t="inlineStr">
        <is>
          <t>Sub-Saharan Africa</t>
        </is>
      </c>
      <c r="D41" s="7" t="inlineStr">
        <is>
          <t>Lower middle income</t>
        </is>
      </c>
      <c r="E41" s="7" t="b">
        <v>1</v>
      </c>
      <c r="F41" s="7" t="inlineStr">
        <is>
          <t>gen_oil_twh</t>
        </is>
      </c>
      <c r="G41" s="7" t="n">
        <v>2.7</v>
      </c>
      <c r="H41" s="7" t="n">
        <v>2024</v>
      </c>
      <c r="I41" s="7" t="inlineStr">
        <is>
          <t>release_generation_yearly_global.csv (Ember)</t>
        </is>
      </c>
    </row>
    <row r="42">
      <c r="A42" s="7" t="inlineStr">
        <is>
          <t>AGO</t>
        </is>
      </c>
      <c r="B42" s="7" t="inlineStr">
        <is>
          <t>Angola</t>
        </is>
      </c>
      <c r="C42" s="7" t="inlineStr">
        <is>
          <t>Sub-Saharan Africa</t>
        </is>
      </c>
      <c r="D42" s="7" t="inlineStr">
        <is>
          <t>Lower middle income</t>
        </is>
      </c>
      <c r="E42" s="7" t="b">
        <v>1</v>
      </c>
      <c r="F42" s="7" t="inlineStr">
        <is>
          <t>gen_total_twh</t>
        </is>
      </c>
      <c r="G42" s="7" t="n">
        <v>15.59</v>
      </c>
      <c r="H42" s="7" t="n">
        <v>2024</v>
      </c>
      <c r="I42" s="7" t="inlineStr">
        <is>
          <t>release_generation_yearly_global.csv (Ember)</t>
        </is>
      </c>
    </row>
    <row r="43">
      <c r="A43" s="7" t="inlineStr">
        <is>
          <t>AGO</t>
        </is>
      </c>
      <c r="B43" s="7" t="inlineStr">
        <is>
          <t>Angola</t>
        </is>
      </c>
      <c r="C43" s="7" t="inlineStr">
        <is>
          <t>Sub-Saharan Africa</t>
        </is>
      </c>
      <c r="D43" s="7" t="inlineStr">
        <is>
          <t>Lower middle income</t>
        </is>
      </c>
      <c r="E43" s="7" t="b">
        <v>1</v>
      </c>
      <c r="F43" s="7" t="inlineStr">
        <is>
          <t>power_market_structure</t>
        </is>
      </c>
      <c r="G43" s="7" t="n">
        <v>1</v>
      </c>
      <c r="H43" s="7" t="inlineStr">
        <is>
          <t>2013</t>
        </is>
      </c>
      <c r="I43" s="7" t="inlineStr">
        <is>
          <t>dataverse_files.zip</t>
        </is>
      </c>
    </row>
    <row r="44">
      <c r="A44" s="7" t="inlineStr">
        <is>
          <t>AGO</t>
        </is>
      </c>
      <c r="B44" s="7" t="inlineStr">
        <is>
          <t>Angola</t>
        </is>
      </c>
      <c r="C44" s="7" t="inlineStr">
        <is>
          <t>Sub-Saharan Africa</t>
        </is>
      </c>
      <c r="D44" s="7" t="inlineStr">
        <is>
          <t>Lower middle income</t>
        </is>
      </c>
      <c r="E44" s="7" t="b">
        <v>1</v>
      </c>
      <c r="F44" s="7" t="inlineStr">
        <is>
          <t>price_coal_power_usd_gj</t>
        </is>
      </c>
      <c r="G44" s="7" t="n">
        <v>5.66</v>
      </c>
      <c r="H44" s="7" t="inlineStr">
        <is>
          <t>2024</t>
        </is>
      </c>
      <c r="I44" s="7" t="inlineStr">
        <is>
          <t>imffossilfuelsubsidiesdata.xlsb</t>
        </is>
      </c>
    </row>
    <row r="45">
      <c r="A45" s="7" t="inlineStr">
        <is>
          <t>AGO</t>
        </is>
      </c>
      <c r="B45" s="7" t="inlineStr">
        <is>
          <t>Angola</t>
        </is>
      </c>
      <c r="C45" s="7" t="inlineStr">
        <is>
          <t>Sub-Saharan Africa</t>
        </is>
      </c>
      <c r="D45" s="7" t="inlineStr">
        <is>
          <t>Lower middle income</t>
        </is>
      </c>
      <c r="E45" s="7" t="b">
        <v>1</v>
      </c>
      <c r="F45" s="7" t="inlineStr">
        <is>
          <t>price_electricity_residential_usd_kwh</t>
        </is>
      </c>
      <c r="G45" s="7" t="n">
        <v>0.012</v>
      </c>
      <c r="H45" s="7" t="inlineStr">
        <is>
          <t>2024</t>
        </is>
      </c>
      <c r="I45" s="7" t="inlineStr">
        <is>
          <t>imffossilfuelsubsidiesdata.xlsb</t>
        </is>
      </c>
    </row>
    <row r="46">
      <c r="A46" s="7" t="inlineStr">
        <is>
          <t>AGO</t>
        </is>
      </c>
      <c r="B46" s="7" t="inlineStr">
        <is>
          <t>Angola</t>
        </is>
      </c>
      <c r="C46" s="7" t="inlineStr">
        <is>
          <t>Sub-Saharan Africa</t>
        </is>
      </c>
      <c r="D46" s="7" t="inlineStr">
        <is>
          <t>Lower middle income</t>
        </is>
      </c>
      <c r="E46" s="7" t="b">
        <v>1</v>
      </c>
      <c r="F46" s="7" t="inlineStr">
        <is>
          <t>price_gas_industry_usd_gj</t>
        </is>
      </c>
      <c r="G46" s="7" t="n">
        <v>6.696</v>
      </c>
      <c r="H46" s="7" t="inlineStr">
        <is>
          <t>2024</t>
        </is>
      </c>
      <c r="I46" s="7" t="inlineStr">
        <is>
          <t>imffossilfuelsubsidiesdata.xlsb</t>
        </is>
      </c>
    </row>
    <row r="47">
      <c r="A47" s="7" t="inlineStr">
        <is>
          <t>AGO</t>
        </is>
      </c>
      <c r="B47" s="7" t="inlineStr">
        <is>
          <t>Angola</t>
        </is>
      </c>
      <c r="C47" s="7" t="inlineStr">
        <is>
          <t>Sub-Saharan Africa</t>
        </is>
      </c>
      <c r="D47" s="7" t="inlineStr">
        <is>
          <t>Lower middle income</t>
        </is>
      </c>
      <c r="E47" s="7" t="b">
        <v>1</v>
      </c>
      <c r="F47" s="7" t="inlineStr">
        <is>
          <t>price_gas_power_usd_gj</t>
        </is>
      </c>
      <c r="G47" s="7" t="n">
        <v>6.034</v>
      </c>
      <c r="H47" s="7" t="inlineStr">
        <is>
          <t>2024</t>
        </is>
      </c>
      <c r="I47" s="7" t="inlineStr">
        <is>
          <t>imffossilfuelsubsidiesdata.xlsb</t>
        </is>
      </c>
    </row>
    <row r="48">
      <c r="A48" s="7" t="inlineStr">
        <is>
          <t>AGO</t>
        </is>
      </c>
      <c r="B48" s="7" t="inlineStr">
        <is>
          <t>Angola</t>
        </is>
      </c>
      <c r="C48" s="7" t="inlineStr">
        <is>
          <t>Sub-Saharan Africa</t>
        </is>
      </c>
      <c r="D48" s="7" t="inlineStr">
        <is>
          <t>Lower middle income</t>
        </is>
      </c>
      <c r="E48" s="7" t="b">
        <v>1</v>
      </c>
      <c r="F48" s="7" t="inlineStr">
        <is>
          <t>rise_renewable_energy_score</t>
        </is>
      </c>
      <c r="G48" s="7" t="n">
        <v>28.259</v>
      </c>
      <c r="H48" s="7" t="inlineStr">
        <is>
          <t>2023</t>
        </is>
      </c>
      <c r="I48" s="7" t="inlineStr">
        <is>
          <t>WB_RISE_WIDEF.csv</t>
        </is>
      </c>
    </row>
    <row r="49">
      <c r="A49" s="7" t="inlineStr">
        <is>
          <t>ALB</t>
        </is>
      </c>
      <c r="B49" s="7" t="inlineStr">
        <is>
          <t>Albania</t>
        </is>
      </c>
      <c r="C49" s="7" t="inlineStr">
        <is>
          <t>Europe &amp; Central Asia</t>
        </is>
      </c>
      <c r="D49" s="7" t="inlineStr">
        <is>
          <t>Upper middle income</t>
        </is>
      </c>
      <c r="E49" s="7" t="b">
        <v>1</v>
      </c>
      <c r="F49" s="7" t="inlineStr">
        <is>
          <t>coal_rents_pct_gdp</t>
        </is>
      </c>
      <c r="G49" s="7" t="n">
        <v>0.032</v>
      </c>
      <c r="H49" s="7" t="inlineStr">
        <is>
          <t>2021</t>
        </is>
      </c>
      <c r="I49" s="7" t="inlineStr">
        <is>
          <t>API_NY_GDP_COAL_RT_ZS_DS2_en_csv_v2_35370.zip</t>
        </is>
      </c>
    </row>
    <row r="50">
      <c r="A50" s="7" t="inlineStr">
        <is>
          <t>ALB</t>
        </is>
      </c>
      <c r="B50" s="7" t="inlineStr">
        <is>
          <t>Albania</t>
        </is>
      </c>
      <c r="C50" s="7" t="inlineStr">
        <is>
          <t>Europe &amp; Central Asia</t>
        </is>
      </c>
      <c r="D50" s="7" t="inlineStr">
        <is>
          <t>Upper middle income</t>
        </is>
      </c>
      <c r="E50" s="7" t="b">
        <v>1</v>
      </c>
      <c r="F50" s="7" t="inlineStr">
        <is>
          <t>em_coal_mt</t>
        </is>
      </c>
      <c r="G50" s="7" t="n">
        <v>0</v>
      </c>
      <c r="H50" s="7" t="n">
        <v>2024</v>
      </c>
      <c r="I50" s="7" t="inlineStr">
        <is>
          <t>release_generation_yearly_global.csv (Ember)</t>
        </is>
      </c>
    </row>
    <row r="51">
      <c r="A51" s="7" t="inlineStr">
        <is>
          <t>ALB</t>
        </is>
      </c>
      <c r="B51" s="7" t="inlineStr">
        <is>
          <t>Albania</t>
        </is>
      </c>
      <c r="C51" s="7" t="inlineStr">
        <is>
          <t>Europe &amp; Central Asia</t>
        </is>
      </c>
      <c r="D51" s="7" t="inlineStr">
        <is>
          <t>Upper middle income</t>
        </is>
      </c>
      <c r="E51" s="7" t="b">
        <v>1</v>
      </c>
      <c r="F51" s="7" t="inlineStr">
        <is>
          <t>em_gas_mt</t>
        </is>
      </c>
      <c r="G51" s="7" t="n">
        <v>0</v>
      </c>
      <c r="H51" s="7" t="n">
        <v>2024</v>
      </c>
      <c r="I51" s="7" t="inlineStr">
        <is>
          <t>release_generation_yearly_global.csv (Ember)</t>
        </is>
      </c>
    </row>
    <row r="52">
      <c r="A52" s="7" t="inlineStr">
        <is>
          <t>ALB</t>
        </is>
      </c>
      <c r="B52" s="7" t="inlineStr">
        <is>
          <t>Albania</t>
        </is>
      </c>
      <c r="C52" s="7" t="inlineStr">
        <is>
          <t>Europe &amp; Central Asia</t>
        </is>
      </c>
      <c r="D52" s="7" t="inlineStr">
        <is>
          <t>Upper middle income</t>
        </is>
      </c>
      <c r="E52" s="7" t="b">
        <v>1</v>
      </c>
      <c r="F52" s="7" t="inlineStr">
        <is>
          <t>em_oil_mt</t>
        </is>
      </c>
      <c r="G52" s="7" t="n">
        <v>0</v>
      </c>
      <c r="H52" s="7" t="n">
        <v>2024</v>
      </c>
      <c r="I52" s="7" t="inlineStr">
        <is>
          <t>release_generation_yearly_global.csv (Ember)</t>
        </is>
      </c>
    </row>
    <row r="53">
      <c r="A53" s="7" t="inlineStr">
        <is>
          <t>ALB</t>
        </is>
      </c>
      <c r="B53" s="7" t="inlineStr">
        <is>
          <t>Albania</t>
        </is>
      </c>
      <c r="C53" s="7" t="inlineStr">
        <is>
          <t>Europe &amp; Central Asia</t>
        </is>
      </c>
      <c r="D53" s="7" t="inlineStr">
        <is>
          <t>Upper middle income</t>
        </is>
      </c>
      <c r="E53" s="7" t="b">
        <v>1</v>
      </c>
      <c r="F53" s="7" t="inlineStr">
        <is>
          <t>ff_subsidy_explicit_pct_gdp</t>
        </is>
      </c>
      <c r="G53" s="7" t="n">
        <v>0</v>
      </c>
      <c r="H53" s="7" t="inlineStr">
        <is>
          <t>2024</t>
        </is>
      </c>
      <c r="I53" s="7" t="inlineStr">
        <is>
          <t>imffossilfuelsubsidiesdata.xlsb</t>
        </is>
      </c>
    </row>
    <row r="54">
      <c r="A54" s="7" t="inlineStr">
        <is>
          <t>ALB</t>
        </is>
      </c>
      <c r="B54" s="7" t="inlineStr">
        <is>
          <t>Albania</t>
        </is>
      </c>
      <c r="C54" s="7" t="inlineStr">
        <is>
          <t>Europe &amp; Central Asia</t>
        </is>
      </c>
      <c r="D54" s="7" t="inlineStr">
        <is>
          <t>Upper middle income</t>
        </is>
      </c>
      <c r="E54" s="7" t="b">
        <v>1</v>
      </c>
      <c r="F54" s="7" t="inlineStr">
        <is>
          <t>fuel_exports_pct_merch</t>
        </is>
      </c>
      <c r="G54" s="7" t="n">
        <v>3.258</v>
      </c>
      <c r="H54" s="7" t="inlineStr">
        <is>
          <t>2024</t>
        </is>
      </c>
      <c r="I54" s="7" t="inlineStr">
        <is>
          <t>API_TX_VAL_FUEL_ZS_UN_DS2_en_csv_v2_33055.zip</t>
        </is>
      </c>
    </row>
    <row r="55">
      <c r="A55" s="7" t="inlineStr">
        <is>
          <t>ALB</t>
        </is>
      </c>
      <c r="B55" s="7" t="inlineStr">
        <is>
          <t>Albania</t>
        </is>
      </c>
      <c r="C55" s="7" t="inlineStr">
        <is>
          <t>Europe &amp; Central Asia</t>
        </is>
      </c>
      <c r="D55" s="7" t="inlineStr">
        <is>
          <t>Upper middle income</t>
        </is>
      </c>
      <c r="E55" s="7" t="b">
        <v>1</v>
      </c>
      <c r="F55" s="7" t="inlineStr">
        <is>
          <t>gen_coal_twh</t>
        </is>
      </c>
      <c r="G55" s="7" t="n">
        <v>0</v>
      </c>
      <c r="H55" s="7" t="n">
        <v>2024</v>
      </c>
      <c r="I55" s="7" t="inlineStr">
        <is>
          <t>release_generation_yearly_global.csv (Ember)</t>
        </is>
      </c>
    </row>
    <row r="56">
      <c r="A56" s="7" t="inlineStr">
        <is>
          <t>ALB</t>
        </is>
      </c>
      <c r="B56" s="7" t="inlineStr">
        <is>
          <t>Albania</t>
        </is>
      </c>
      <c r="C56" s="7" t="inlineStr">
        <is>
          <t>Europe &amp; Central Asia</t>
        </is>
      </c>
      <c r="D56" s="7" t="inlineStr">
        <is>
          <t>Upper middle income</t>
        </is>
      </c>
      <c r="E56" s="7" t="b">
        <v>1</v>
      </c>
      <c r="F56" s="7" t="inlineStr">
        <is>
          <t>gen_gas_twh</t>
        </is>
      </c>
      <c r="G56" s="7" t="n">
        <v>0</v>
      </c>
      <c r="H56" s="7" t="n">
        <v>2024</v>
      </c>
      <c r="I56" s="7" t="inlineStr">
        <is>
          <t>release_generation_yearly_global.csv (Ember)</t>
        </is>
      </c>
    </row>
    <row r="57">
      <c r="A57" s="7" t="inlineStr">
        <is>
          <t>ALB</t>
        </is>
      </c>
      <c r="B57" s="7" t="inlineStr">
        <is>
          <t>Albania</t>
        </is>
      </c>
      <c r="C57" s="7" t="inlineStr">
        <is>
          <t>Europe &amp; Central Asia</t>
        </is>
      </c>
      <c r="D57" s="7" t="inlineStr">
        <is>
          <t>Upper middle income</t>
        </is>
      </c>
      <c r="E57" s="7" t="b">
        <v>1</v>
      </c>
      <c r="F57" s="7" t="inlineStr">
        <is>
          <t>gen_oil_twh</t>
        </is>
      </c>
      <c r="G57" s="7" t="n">
        <v>0</v>
      </c>
      <c r="H57" s="7" t="n">
        <v>2024</v>
      </c>
      <c r="I57" s="7" t="inlineStr">
        <is>
          <t>release_generation_yearly_global.csv (Ember)</t>
        </is>
      </c>
    </row>
    <row r="58">
      <c r="A58" s="7" t="inlineStr">
        <is>
          <t>ALB</t>
        </is>
      </c>
      <c r="B58" s="7" t="inlineStr">
        <is>
          <t>Albania</t>
        </is>
      </c>
      <c r="C58" s="7" t="inlineStr">
        <is>
          <t>Europe &amp; Central Asia</t>
        </is>
      </c>
      <c r="D58" s="7" t="inlineStr">
        <is>
          <t>Upper middle income</t>
        </is>
      </c>
      <c r="E58" s="7" t="b">
        <v>1</v>
      </c>
      <c r="F58" s="7" t="inlineStr">
        <is>
          <t>gen_total_twh</t>
        </is>
      </c>
      <c r="G58" s="7" t="n">
        <v>8.34</v>
      </c>
      <c r="H58" s="7" t="n">
        <v>2024</v>
      </c>
      <c r="I58" s="7" t="inlineStr">
        <is>
          <t>release_generation_yearly_global.csv (Ember)</t>
        </is>
      </c>
    </row>
    <row r="59">
      <c r="A59" s="7" t="inlineStr">
        <is>
          <t>ALB</t>
        </is>
      </c>
      <c r="B59" s="7" t="inlineStr">
        <is>
          <t>Albania</t>
        </is>
      </c>
      <c r="C59" s="7" t="inlineStr">
        <is>
          <t>Europe &amp; Central Asia</t>
        </is>
      </c>
      <c r="D59" s="7" t="inlineStr">
        <is>
          <t>Upper middle income</t>
        </is>
      </c>
      <c r="E59" s="7" t="b">
        <v>1</v>
      </c>
      <c r="F59" s="7" t="inlineStr">
        <is>
          <t>power_market_structure</t>
        </is>
      </c>
      <c r="G59" s="7" t="n">
        <v>3</v>
      </c>
      <c r="H59" s="7" t="inlineStr">
        <is>
          <t>2013</t>
        </is>
      </c>
      <c r="I59" s="7" t="inlineStr">
        <is>
          <t>dataverse_files.zip</t>
        </is>
      </c>
    </row>
    <row r="60">
      <c r="A60" s="7" t="inlineStr">
        <is>
          <t>ALB</t>
        </is>
      </c>
      <c r="B60" s="7" t="inlineStr">
        <is>
          <t>Albania</t>
        </is>
      </c>
      <c r="C60" s="7" t="inlineStr">
        <is>
          <t>Europe &amp; Central Asia</t>
        </is>
      </c>
      <c r="D60" s="7" t="inlineStr">
        <is>
          <t>Upper middle income</t>
        </is>
      </c>
      <c r="E60" s="7" t="b">
        <v>1</v>
      </c>
      <c r="F60" s="7" t="inlineStr">
        <is>
          <t>price_coal_power_usd_gj</t>
        </is>
      </c>
      <c r="G60" s="7" t="n">
        <v>4.713</v>
      </c>
      <c r="H60" s="7" t="inlineStr">
        <is>
          <t>2024</t>
        </is>
      </c>
      <c r="I60" s="7" t="inlineStr">
        <is>
          <t>imffossilfuelsubsidiesdata.xlsb</t>
        </is>
      </c>
    </row>
    <row r="61">
      <c r="A61" s="7" t="inlineStr">
        <is>
          <t>ALB</t>
        </is>
      </c>
      <c r="B61" s="7" t="inlineStr">
        <is>
          <t>Albania</t>
        </is>
      </c>
      <c r="C61" s="7" t="inlineStr">
        <is>
          <t>Europe &amp; Central Asia</t>
        </is>
      </c>
      <c r="D61" s="7" t="inlineStr">
        <is>
          <t>Upper middle income</t>
        </is>
      </c>
      <c r="E61" s="7" t="b">
        <v>1</v>
      </c>
      <c r="F61" s="7" t="inlineStr">
        <is>
          <t>price_electricity_residential_usd_kwh</t>
        </is>
      </c>
      <c r="G61" s="7" t="n">
        <v>0.123</v>
      </c>
      <c r="H61" s="7" t="inlineStr">
        <is>
          <t>2024</t>
        </is>
      </c>
      <c r="I61" s="7" t="inlineStr">
        <is>
          <t>imffossilfuelsubsidiesdata.xlsb</t>
        </is>
      </c>
    </row>
    <row r="62">
      <c r="A62" s="7" t="inlineStr">
        <is>
          <t>ALB</t>
        </is>
      </c>
      <c r="B62" s="7" t="inlineStr">
        <is>
          <t>Albania</t>
        </is>
      </c>
      <c r="C62" s="7" t="inlineStr">
        <is>
          <t>Europe &amp; Central Asia</t>
        </is>
      </c>
      <c r="D62" s="7" t="inlineStr">
        <is>
          <t>Upper middle income</t>
        </is>
      </c>
      <c r="E62" s="7" t="b">
        <v>1</v>
      </c>
      <c r="F62" s="7" t="inlineStr">
        <is>
          <t>price_gas_industry_usd_gj</t>
        </is>
      </c>
      <c r="G62" s="7" t="n">
        <v>6.853</v>
      </c>
      <c r="H62" s="7" t="inlineStr">
        <is>
          <t>2024</t>
        </is>
      </c>
      <c r="I62" s="7" t="inlineStr">
        <is>
          <t>imffossilfuelsubsidiesdata.xlsb</t>
        </is>
      </c>
    </row>
    <row r="63">
      <c r="A63" s="7" t="inlineStr">
        <is>
          <t>ALB</t>
        </is>
      </c>
      <c r="B63" s="7" t="inlineStr">
        <is>
          <t>Albania</t>
        </is>
      </c>
      <c r="C63" s="7" t="inlineStr">
        <is>
          <t>Europe &amp; Central Asia</t>
        </is>
      </c>
      <c r="D63" s="7" t="inlineStr">
        <is>
          <t>Upper middle income</t>
        </is>
      </c>
      <c r="E63" s="7" t="b">
        <v>1</v>
      </c>
      <c r="F63" s="7" t="inlineStr">
        <is>
          <t>price_gas_power_usd_gj</t>
        </is>
      </c>
      <c r="G63" s="7" t="n">
        <v>6.975</v>
      </c>
      <c r="H63" s="7" t="inlineStr">
        <is>
          <t>2024</t>
        </is>
      </c>
      <c r="I63" s="7" t="inlineStr">
        <is>
          <t>imffossilfuelsubsidiesdata.xlsb</t>
        </is>
      </c>
    </row>
    <row r="64">
      <c r="A64" s="7" t="inlineStr">
        <is>
          <t>ALB</t>
        </is>
      </c>
      <c r="B64" s="7" t="inlineStr">
        <is>
          <t>Albania</t>
        </is>
      </c>
      <c r="C64" s="7" t="inlineStr">
        <is>
          <t>Europe &amp; Central Asia</t>
        </is>
      </c>
      <c r="D64" s="7" t="inlineStr">
        <is>
          <t>Upper middle income</t>
        </is>
      </c>
      <c r="E64" s="7" t="b">
        <v>1</v>
      </c>
      <c r="F64" s="7" t="inlineStr">
        <is>
          <t>rise_renewable_energy_score</t>
        </is>
      </c>
      <c r="G64" s="7" t="n">
        <v>51.011</v>
      </c>
      <c r="H64" s="7" t="inlineStr">
        <is>
          <t>2023</t>
        </is>
      </c>
      <c r="I64" s="7" t="inlineStr">
        <is>
          <t>WB_RISE_WIDEF.csv</t>
        </is>
      </c>
    </row>
    <row r="65">
      <c r="A65" s="7" t="inlineStr">
        <is>
          <t>AND</t>
        </is>
      </c>
      <c r="B65" s="7" t="inlineStr">
        <is>
          <t>Andorra</t>
        </is>
      </c>
      <c r="C65" s="7" t="inlineStr">
        <is>
          <t>Europe &amp; Central Asia</t>
        </is>
      </c>
      <c r="D65" s="7" t="inlineStr">
        <is>
          <t>High income</t>
        </is>
      </c>
      <c r="E65" s="7" t="b">
        <v>0</v>
      </c>
      <c r="F65" s="7" t="inlineStr">
        <is>
          <t>fuel_exports_pct_merch</t>
        </is>
      </c>
      <c r="G65" s="7" t="n">
        <v>0.01</v>
      </c>
      <c r="H65" s="7" t="inlineStr">
        <is>
          <t>2023</t>
        </is>
      </c>
      <c r="I65" s="7" t="inlineStr">
        <is>
          <t>API_TX_VAL_FUEL_ZS_UN_DS2_en_csv_v2_33055.zip</t>
        </is>
      </c>
    </row>
    <row r="66">
      <c r="A66" s="7" t="inlineStr">
        <is>
          <t>AND</t>
        </is>
      </c>
      <c r="B66" s="7" t="inlineStr">
        <is>
          <t>Andorra</t>
        </is>
      </c>
      <c r="C66" s="7" t="inlineStr">
        <is>
          <t>Europe &amp; Central Asia</t>
        </is>
      </c>
      <c r="D66" s="7" t="inlineStr">
        <is>
          <t>High income</t>
        </is>
      </c>
      <c r="E66" s="7" t="b">
        <v>0</v>
      </c>
      <c r="F66" s="7" t="inlineStr">
        <is>
          <t>power_market_structure</t>
        </is>
      </c>
      <c r="G66" s="7" t="n">
        <v>1</v>
      </c>
      <c r="H66" s="7" t="inlineStr">
        <is>
          <t>2013</t>
        </is>
      </c>
      <c r="I66" s="7" t="inlineStr">
        <is>
          <t>dataverse_files.zip</t>
        </is>
      </c>
    </row>
    <row r="67">
      <c r="A67" s="7" t="inlineStr">
        <is>
          <t>ARE</t>
        </is>
      </c>
      <c r="B67" s="7" t="inlineStr">
        <is>
          <t>United Arab Emirates</t>
        </is>
      </c>
      <c r="C67" s="7" t="inlineStr">
        <is>
          <t>Middle East &amp; North Africa</t>
        </is>
      </c>
      <c r="D67" s="7" t="inlineStr">
        <is>
          <t>High income</t>
        </is>
      </c>
      <c r="E67" s="7" t="b">
        <v>0</v>
      </c>
      <c r="F67" s="7" t="inlineStr">
        <is>
          <t>coal_rents_pct_gdp</t>
        </is>
      </c>
      <c r="G67" s="7" t="n">
        <v>0</v>
      </c>
      <c r="H67" s="7" t="inlineStr">
        <is>
          <t>2021</t>
        </is>
      </c>
      <c r="I67" s="7" t="inlineStr">
        <is>
          <t>API_NY_GDP_COAL_RT_ZS_DS2_en_csv_v2_35370.zip</t>
        </is>
      </c>
    </row>
    <row r="68">
      <c r="A68" s="7" t="inlineStr">
        <is>
          <t>ARE</t>
        </is>
      </c>
      <c r="B68" s="7" t="inlineStr">
        <is>
          <t>United Arab Emirates</t>
        </is>
      </c>
      <c r="C68" s="7" t="inlineStr">
        <is>
          <t>Middle East &amp; North Africa</t>
        </is>
      </c>
      <c r="D68" s="7" t="inlineStr">
        <is>
          <t>High income</t>
        </is>
      </c>
      <c r="E68" s="7" t="b">
        <v>0</v>
      </c>
      <c r="F68" s="7" t="inlineStr">
        <is>
          <t>em_coal_mt</t>
        </is>
      </c>
      <c r="G68" s="7" t="n">
        <v>0</v>
      </c>
      <c r="H68" s="7" t="n">
        <v>2024</v>
      </c>
      <c r="I68" s="7" t="inlineStr">
        <is>
          <t>release_generation_yearly_global.csv (Ember)</t>
        </is>
      </c>
    </row>
    <row r="69">
      <c r="A69" s="7" t="inlineStr">
        <is>
          <t>ARE</t>
        </is>
      </c>
      <c r="B69" s="7" t="inlineStr">
        <is>
          <t>United Arab Emirates</t>
        </is>
      </c>
      <c r="C69" s="7" t="inlineStr">
        <is>
          <t>Middle East &amp; North Africa</t>
        </is>
      </c>
      <c r="D69" s="7" t="inlineStr">
        <is>
          <t>High income</t>
        </is>
      </c>
      <c r="E69" s="7" t="b">
        <v>0</v>
      </c>
      <c r="F69" s="7" t="inlineStr">
        <is>
          <t>em_gas_mt</t>
        </is>
      </c>
      <c r="G69" s="7" t="n">
        <v>81.892</v>
      </c>
      <c r="H69" s="7" t="n">
        <v>2024</v>
      </c>
      <c r="I69" s="7" t="inlineStr">
        <is>
          <t>release_generation_yearly_global.csv (Ember)</t>
        </is>
      </c>
    </row>
    <row r="70">
      <c r="A70" s="7" t="inlineStr">
        <is>
          <t>ARE</t>
        </is>
      </c>
      <c r="B70" s="7" t="inlineStr">
        <is>
          <t>United Arab Emirates</t>
        </is>
      </c>
      <c r="C70" s="7" t="inlineStr">
        <is>
          <t>Middle East &amp; North Africa</t>
        </is>
      </c>
      <c r="D70" s="7" t="inlineStr">
        <is>
          <t>High income</t>
        </is>
      </c>
      <c r="E70" s="7" t="b">
        <v>0</v>
      </c>
      <c r="F70" s="7" t="inlineStr">
        <is>
          <t>em_oil_mt</t>
        </is>
      </c>
      <c r="G70" s="7" t="n">
        <v>0</v>
      </c>
      <c r="H70" s="7" t="n">
        <v>2024</v>
      </c>
      <c r="I70" s="7" t="inlineStr">
        <is>
          <t>release_generation_yearly_global.csv (Ember)</t>
        </is>
      </c>
    </row>
    <row r="71">
      <c r="A71" s="7" t="inlineStr">
        <is>
          <t>ARE</t>
        </is>
      </c>
      <c r="B71" s="7" t="inlineStr">
        <is>
          <t>United Arab Emirates</t>
        </is>
      </c>
      <c r="C71" s="7" t="inlineStr">
        <is>
          <t>Middle East &amp; North Africa</t>
        </is>
      </c>
      <c r="D71" s="7" t="inlineStr">
        <is>
          <t>High income</t>
        </is>
      </c>
      <c r="E71" s="7" t="b">
        <v>0</v>
      </c>
      <c r="F71" s="7" t="inlineStr">
        <is>
          <t>ff_subsidy_explicit_pct_gdp</t>
        </is>
      </c>
      <c r="G71" s="7" t="n">
        <v>2.028</v>
      </c>
      <c r="H71" s="7" t="inlineStr">
        <is>
          <t>2024</t>
        </is>
      </c>
      <c r="I71" s="7" t="inlineStr">
        <is>
          <t>imffossilfuelsubsidiesdata.xlsb</t>
        </is>
      </c>
    </row>
    <row r="72">
      <c r="A72" s="7" t="inlineStr">
        <is>
          <t>ARE</t>
        </is>
      </c>
      <c r="B72" s="7" t="inlineStr">
        <is>
          <t>United Arab Emirates</t>
        </is>
      </c>
      <c r="C72" s="7" t="inlineStr">
        <is>
          <t>Middle East &amp; North Africa</t>
        </is>
      </c>
      <c r="D72" s="7" t="inlineStr">
        <is>
          <t>High income</t>
        </is>
      </c>
      <c r="E72" s="7" t="b">
        <v>0</v>
      </c>
      <c r="F72" s="7" t="inlineStr">
        <is>
          <t>fuel_exports_pct_merch</t>
        </is>
      </c>
      <c r="G72" s="7" t="n">
        <v>68.203</v>
      </c>
      <c r="H72" s="7" t="inlineStr">
        <is>
          <t>2023</t>
        </is>
      </c>
      <c r="I72" s="7" t="inlineStr">
        <is>
          <t>API_TX_VAL_FUEL_ZS_UN_DS2_en_csv_v2_33055.zip</t>
        </is>
      </c>
    </row>
    <row r="73">
      <c r="A73" s="7" t="inlineStr">
        <is>
          <t>ARE</t>
        </is>
      </c>
      <c r="B73" s="7" t="inlineStr">
        <is>
          <t>United Arab Emirates</t>
        </is>
      </c>
      <c r="C73" s="7" t="inlineStr">
        <is>
          <t>Middle East &amp; North Africa</t>
        </is>
      </c>
      <c r="D73" s="7" t="inlineStr">
        <is>
          <t>High income</t>
        </is>
      </c>
      <c r="E73" s="7" t="b">
        <v>0</v>
      </c>
      <c r="F73" s="7" t="inlineStr">
        <is>
          <t>gen_coal_twh</t>
        </is>
      </c>
      <c r="G73" s="7" t="n">
        <v>0</v>
      </c>
      <c r="H73" s="7" t="n">
        <v>2024</v>
      </c>
      <c r="I73" s="7" t="inlineStr">
        <is>
          <t>release_generation_yearly_global.csv (Ember)</t>
        </is>
      </c>
    </row>
    <row r="74">
      <c r="A74" s="7" t="inlineStr">
        <is>
          <t>ARE</t>
        </is>
      </c>
      <c r="B74" s="7" t="inlineStr">
        <is>
          <t>United Arab Emirates</t>
        </is>
      </c>
      <c r="C74" s="7" t="inlineStr">
        <is>
          <t>Middle East &amp; North Africa</t>
        </is>
      </c>
      <c r="D74" s="7" t="inlineStr">
        <is>
          <t>High income</t>
        </is>
      </c>
      <c r="E74" s="7" t="b">
        <v>0</v>
      </c>
      <c r="F74" s="7" t="inlineStr">
        <is>
          <t>gen_gas_twh</t>
        </is>
      </c>
      <c r="G74" s="7" t="n">
        <v>121.01</v>
      </c>
      <c r="H74" s="7" t="n">
        <v>2024</v>
      </c>
      <c r="I74" s="7" t="inlineStr">
        <is>
          <t>release_generation_yearly_global.csv (Ember)</t>
        </is>
      </c>
    </row>
    <row r="75">
      <c r="A75" s="7" t="inlineStr">
        <is>
          <t>ARE</t>
        </is>
      </c>
      <c r="B75" s="7" t="inlineStr">
        <is>
          <t>United Arab Emirates</t>
        </is>
      </c>
      <c r="C75" s="7" t="inlineStr">
        <is>
          <t>Middle East &amp; North Africa</t>
        </is>
      </c>
      <c r="D75" s="7" t="inlineStr">
        <is>
          <t>High income</t>
        </is>
      </c>
      <c r="E75" s="7" t="b">
        <v>0</v>
      </c>
      <c r="F75" s="7" t="inlineStr">
        <is>
          <t>gen_oil_twh</t>
        </is>
      </c>
      <c r="G75" s="7" t="n">
        <v>0</v>
      </c>
      <c r="H75" s="7" t="n">
        <v>2024</v>
      </c>
      <c r="I75" s="7" t="inlineStr">
        <is>
          <t>release_generation_yearly_global.csv (Ember)</t>
        </is>
      </c>
    </row>
    <row r="76">
      <c r="A76" s="7" t="inlineStr">
        <is>
          <t>ARE</t>
        </is>
      </c>
      <c r="B76" s="7" t="inlineStr">
        <is>
          <t>United Arab Emirates</t>
        </is>
      </c>
      <c r="C76" s="7" t="inlineStr">
        <is>
          <t>Middle East &amp; North Africa</t>
        </is>
      </c>
      <c r="D76" s="7" t="inlineStr">
        <is>
          <t>High income</t>
        </is>
      </c>
      <c r="E76" s="7" t="b">
        <v>0</v>
      </c>
      <c r="F76" s="7" t="inlineStr">
        <is>
          <t>gen_total_twh</t>
        </is>
      </c>
      <c r="G76" s="7" t="n">
        <v>177.26</v>
      </c>
      <c r="H76" s="7" t="n">
        <v>2024</v>
      </c>
      <c r="I76" s="7" t="inlineStr">
        <is>
          <t>release_generation_yearly_global.csv (Ember)</t>
        </is>
      </c>
    </row>
    <row r="77">
      <c r="A77" s="7" t="inlineStr">
        <is>
          <t>ARE</t>
        </is>
      </c>
      <c r="B77" s="7" t="inlineStr">
        <is>
          <t>United Arab Emirates</t>
        </is>
      </c>
      <c r="C77" s="7" t="inlineStr">
        <is>
          <t>Middle East &amp; North Africa</t>
        </is>
      </c>
      <c r="D77" s="7" t="inlineStr">
        <is>
          <t>High income</t>
        </is>
      </c>
      <c r="E77" s="7" t="b">
        <v>0</v>
      </c>
      <c r="F77" s="7" t="inlineStr">
        <is>
          <t>power_market_structure</t>
        </is>
      </c>
      <c r="G77" s="7" t="n">
        <v>3</v>
      </c>
      <c r="H77" s="7" t="inlineStr">
        <is>
          <t>2013</t>
        </is>
      </c>
      <c r="I77" s="7" t="inlineStr">
        <is>
          <t>dataverse_files.zip</t>
        </is>
      </c>
    </row>
    <row r="78">
      <c r="A78" s="7" t="inlineStr">
        <is>
          <t>ARE</t>
        </is>
      </c>
      <c r="B78" s="7" t="inlineStr">
        <is>
          <t>United Arab Emirates</t>
        </is>
      </c>
      <c r="C78" s="7" t="inlineStr">
        <is>
          <t>Middle East &amp; North Africa</t>
        </is>
      </c>
      <c r="D78" s="7" t="inlineStr">
        <is>
          <t>High income</t>
        </is>
      </c>
      <c r="E78" s="7" t="b">
        <v>0</v>
      </c>
      <c r="F78" s="7" t="inlineStr">
        <is>
          <t>price_coal_power_usd_gj</t>
        </is>
      </c>
      <c r="G78" s="7" t="n">
        <v>5.787</v>
      </c>
      <c r="H78" s="7" t="inlineStr">
        <is>
          <t>2024</t>
        </is>
      </c>
      <c r="I78" s="7" t="inlineStr">
        <is>
          <t>imffossilfuelsubsidiesdata.xlsb</t>
        </is>
      </c>
    </row>
    <row r="79">
      <c r="A79" s="7" t="inlineStr">
        <is>
          <t>ARE</t>
        </is>
      </c>
      <c r="B79" s="7" t="inlineStr">
        <is>
          <t>United Arab Emirates</t>
        </is>
      </c>
      <c r="C79" s="7" t="inlineStr">
        <is>
          <t>Middle East &amp; North Africa</t>
        </is>
      </c>
      <c r="D79" s="7" t="inlineStr">
        <is>
          <t>High income</t>
        </is>
      </c>
      <c r="E79" s="7" t="b">
        <v>0</v>
      </c>
      <c r="F79" s="7" t="inlineStr">
        <is>
          <t>price_electricity_residential_usd_kwh</t>
        </is>
      </c>
      <c r="G79" s="7" t="n">
        <v>0.062</v>
      </c>
      <c r="H79" s="7" t="inlineStr">
        <is>
          <t>2024</t>
        </is>
      </c>
      <c r="I79" s="7" t="inlineStr">
        <is>
          <t>imffossilfuelsubsidiesdata.xlsb</t>
        </is>
      </c>
    </row>
    <row r="80">
      <c r="A80" s="7" t="inlineStr">
        <is>
          <t>ARE</t>
        </is>
      </c>
      <c r="B80" s="7" t="inlineStr">
        <is>
          <t>United Arab Emirates</t>
        </is>
      </c>
      <c r="C80" s="7" t="inlineStr">
        <is>
          <t>Middle East &amp; North Africa</t>
        </is>
      </c>
      <c r="D80" s="7" t="inlineStr">
        <is>
          <t>High income</t>
        </is>
      </c>
      <c r="E80" s="7" t="b">
        <v>0</v>
      </c>
      <c r="F80" s="7" t="inlineStr">
        <is>
          <t>price_gas_industry_usd_gj</t>
        </is>
      </c>
      <c r="G80" s="7" t="n">
        <v>2.54</v>
      </c>
      <c r="H80" s="7" t="inlineStr">
        <is>
          <t>2024</t>
        </is>
      </c>
      <c r="I80" s="7" t="inlineStr">
        <is>
          <t>imffossilfuelsubsidiesdata.xlsb</t>
        </is>
      </c>
    </row>
    <row r="81">
      <c r="A81" s="7" t="inlineStr">
        <is>
          <t>ARE</t>
        </is>
      </c>
      <c r="B81" s="7" t="inlineStr">
        <is>
          <t>United Arab Emirates</t>
        </is>
      </c>
      <c r="C81" s="7" t="inlineStr">
        <is>
          <t>Middle East &amp; North Africa</t>
        </is>
      </c>
      <c r="D81" s="7" t="inlineStr">
        <is>
          <t>High income</t>
        </is>
      </c>
      <c r="E81" s="7" t="b">
        <v>0</v>
      </c>
      <c r="F81" s="7" t="inlineStr">
        <is>
          <t>price_gas_power_usd_gj</t>
        </is>
      </c>
      <c r="G81" s="7" t="n">
        <v>3.108</v>
      </c>
      <c r="H81" s="7" t="inlineStr">
        <is>
          <t>2024</t>
        </is>
      </c>
      <c r="I81" s="7" t="inlineStr">
        <is>
          <t>imffossilfuelsubsidiesdata.xlsb</t>
        </is>
      </c>
    </row>
    <row r="82">
      <c r="A82" s="7" t="inlineStr">
        <is>
          <t>ARE</t>
        </is>
      </c>
      <c r="B82" s="7" t="inlineStr">
        <is>
          <t>United Arab Emirates</t>
        </is>
      </c>
      <c r="C82" s="7" t="inlineStr">
        <is>
          <t>Middle East &amp; North Africa</t>
        </is>
      </c>
      <c r="D82" s="7" t="inlineStr">
        <is>
          <t>High income</t>
        </is>
      </c>
      <c r="E82" s="7" t="b">
        <v>0</v>
      </c>
      <c r="F82" s="7" t="inlineStr">
        <is>
          <t>rise_renewable_energy_score</t>
        </is>
      </c>
      <c r="G82" s="7" t="n">
        <v>53.889</v>
      </c>
      <c r="H82" s="7" t="inlineStr">
        <is>
          <t>2023</t>
        </is>
      </c>
      <c r="I82" s="7" t="inlineStr">
        <is>
          <t>WB_RISE_WIDEF.csv</t>
        </is>
      </c>
    </row>
    <row r="83">
      <c r="A83" s="7" t="inlineStr">
        <is>
          <t>ARG</t>
        </is>
      </c>
      <c r="B83" s="7" t="inlineStr">
        <is>
          <t>Argentina</t>
        </is>
      </c>
      <c r="C83" s="7" t="inlineStr">
        <is>
          <t>Latin America &amp; Caribbean</t>
        </is>
      </c>
      <c r="D83" s="7" t="inlineStr">
        <is>
          <t>Upper middle income</t>
        </is>
      </c>
      <c r="E83" s="7" t="b">
        <v>1</v>
      </c>
      <c r="F83" s="7" t="inlineStr">
        <is>
          <t>coal_rents_pct_gdp</t>
        </is>
      </c>
      <c r="G83" s="7" t="n">
        <v>0</v>
      </c>
      <c r="H83" s="7" t="inlineStr">
        <is>
          <t>2021</t>
        </is>
      </c>
      <c r="I83" s="7" t="inlineStr">
        <is>
          <t>API_NY_GDP_COAL_RT_ZS_DS2_en_csv_v2_35370.zip</t>
        </is>
      </c>
    </row>
    <row r="84">
      <c r="A84" s="7" t="inlineStr">
        <is>
          <t>ARG</t>
        </is>
      </c>
      <c r="B84" s="7" t="inlineStr">
        <is>
          <t>Argentina</t>
        </is>
      </c>
      <c r="C84" s="7" t="inlineStr">
        <is>
          <t>Latin America &amp; Caribbean</t>
        </is>
      </c>
      <c r="D84" s="7" t="inlineStr">
        <is>
          <t>Upper middle income</t>
        </is>
      </c>
      <c r="E84" s="7" t="b">
        <v>1</v>
      </c>
      <c r="F84" s="7" t="inlineStr">
        <is>
          <t>em_coal_mt</t>
        </is>
      </c>
      <c r="G84" s="7" t="n">
        <v>1.142</v>
      </c>
      <c r="H84" s="7" t="n">
        <v>2024</v>
      </c>
      <c r="I84" s="7" t="inlineStr">
        <is>
          <t>release_generation_yearly_global.csv (Ember)</t>
        </is>
      </c>
    </row>
    <row r="85">
      <c r="A85" s="7" t="inlineStr">
        <is>
          <t>ARG</t>
        </is>
      </c>
      <c r="B85" s="7" t="inlineStr">
        <is>
          <t>Argentina</t>
        </is>
      </c>
      <c r="C85" s="7" t="inlineStr">
        <is>
          <t>Latin America &amp; Caribbean</t>
        </is>
      </c>
      <c r="D85" s="7" t="inlineStr">
        <is>
          <t>Upper middle income</t>
        </is>
      </c>
      <c r="E85" s="7" t="b">
        <v>1</v>
      </c>
      <c r="F85" s="7" t="inlineStr">
        <is>
          <t>em_gas_mt</t>
        </is>
      </c>
      <c r="G85" s="7" t="n">
        <v>45.637</v>
      </c>
      <c r="H85" s="7" t="n">
        <v>2024</v>
      </c>
      <c r="I85" s="7" t="inlineStr">
        <is>
          <t>release_generation_yearly_global.csv (Ember)</t>
        </is>
      </c>
    </row>
    <row r="86">
      <c r="A86" s="7" t="inlineStr">
        <is>
          <t>ARG</t>
        </is>
      </c>
      <c r="B86" s="7" t="inlineStr">
        <is>
          <t>Argentina</t>
        </is>
      </c>
      <c r="C86" s="7" t="inlineStr">
        <is>
          <t>Latin America &amp; Caribbean</t>
        </is>
      </c>
      <c r="D86" s="7" t="inlineStr">
        <is>
          <t>Upper middle income</t>
        </is>
      </c>
      <c r="E86" s="7" t="b">
        <v>1</v>
      </c>
      <c r="F86" s="7" t="inlineStr">
        <is>
          <t>em_oil_mt</t>
        </is>
      </c>
      <c r="G86" s="7" t="n">
        <v>4.185</v>
      </c>
      <c r="H86" s="7" t="n">
        <v>2024</v>
      </c>
      <c r="I86" s="7" t="inlineStr">
        <is>
          <t>release_generation_yearly_global.csv (Ember)</t>
        </is>
      </c>
    </row>
    <row r="87">
      <c r="A87" s="7" t="inlineStr">
        <is>
          <t>ARG</t>
        </is>
      </c>
      <c r="B87" s="7" t="inlineStr">
        <is>
          <t>Argentina</t>
        </is>
      </c>
      <c r="C87" s="7" t="inlineStr">
        <is>
          <t>Latin America &amp; Caribbean</t>
        </is>
      </c>
      <c r="D87" s="7" t="inlineStr">
        <is>
          <t>Upper middle income</t>
        </is>
      </c>
      <c r="E87" s="7" t="b">
        <v>1</v>
      </c>
      <c r="F87" s="7" t="inlineStr">
        <is>
          <t>ff_subsidy_explicit_pct_gdp</t>
        </is>
      </c>
      <c r="G87" s="7" t="n">
        <v>2.164</v>
      </c>
      <c r="H87" s="7" t="inlineStr">
        <is>
          <t>2024</t>
        </is>
      </c>
      <c r="I87" s="7" t="inlineStr">
        <is>
          <t>imffossilfuelsubsidiesdata.xlsb</t>
        </is>
      </c>
    </row>
    <row r="88">
      <c r="A88" s="7" t="inlineStr">
        <is>
          <t>ARG</t>
        </is>
      </c>
      <c r="B88" s="7" t="inlineStr">
        <is>
          <t>Argentina</t>
        </is>
      </c>
      <c r="C88" s="7" t="inlineStr">
        <is>
          <t>Latin America &amp; Caribbean</t>
        </is>
      </c>
      <c r="D88" s="7" t="inlineStr">
        <is>
          <t>Upper middle income</t>
        </is>
      </c>
      <c r="E88" s="7" t="b">
        <v>1</v>
      </c>
      <c r="F88" s="7" t="inlineStr">
        <is>
          <t>fuel_exports_pct_merch</t>
        </is>
      </c>
      <c r="G88" s="7" t="n">
        <v>8.77</v>
      </c>
      <c r="H88" s="7" t="inlineStr">
        <is>
          <t>2024</t>
        </is>
      </c>
      <c r="I88" s="7" t="inlineStr">
        <is>
          <t>API_TX_VAL_FUEL_ZS_UN_DS2_en_csv_v2_33055.zip</t>
        </is>
      </c>
    </row>
    <row r="89">
      <c r="A89" s="7" t="inlineStr">
        <is>
          <t>ARG</t>
        </is>
      </c>
      <c r="B89" s="7" t="inlineStr">
        <is>
          <t>Argentina</t>
        </is>
      </c>
      <c r="C89" s="7" t="inlineStr">
        <is>
          <t>Latin America &amp; Caribbean</t>
        </is>
      </c>
      <c r="D89" s="7" t="inlineStr">
        <is>
          <t>Upper middle income</t>
        </is>
      </c>
      <c r="E89" s="7" t="b">
        <v>1</v>
      </c>
      <c r="F89" s="7" t="inlineStr">
        <is>
          <t>gen_coal_twh</t>
        </is>
      </c>
      <c r="G89" s="7" t="n">
        <v>1.31</v>
      </c>
      <c r="H89" s="7" t="n">
        <v>2024</v>
      </c>
      <c r="I89" s="7" t="inlineStr">
        <is>
          <t>release_generation_yearly_global.csv (Ember)</t>
        </is>
      </c>
    </row>
    <row r="90">
      <c r="A90" s="7" t="inlineStr">
        <is>
          <t>ARG</t>
        </is>
      </c>
      <c r="B90" s="7" t="inlineStr">
        <is>
          <t>Argentina</t>
        </is>
      </c>
      <c r="C90" s="7" t="inlineStr">
        <is>
          <t>Latin America &amp; Caribbean</t>
        </is>
      </c>
      <c r="D90" s="7" t="inlineStr">
        <is>
          <t>Upper middle income</t>
        </is>
      </c>
      <c r="E90" s="7" t="b">
        <v>1</v>
      </c>
      <c r="F90" s="7" t="inlineStr">
        <is>
          <t>gen_gas_twh</t>
        </is>
      </c>
      <c r="G90" s="7" t="n">
        <v>81.95</v>
      </c>
      <c r="H90" s="7" t="n">
        <v>2024</v>
      </c>
      <c r="I90" s="7" t="inlineStr">
        <is>
          <t>release_generation_yearly_global.csv (Ember)</t>
        </is>
      </c>
    </row>
    <row r="91">
      <c r="A91" s="7" t="inlineStr">
        <is>
          <t>ARG</t>
        </is>
      </c>
      <c r="B91" s="7" t="inlineStr">
        <is>
          <t>Argentina</t>
        </is>
      </c>
      <c r="C91" s="7" t="inlineStr">
        <is>
          <t>Latin America &amp; Caribbean</t>
        </is>
      </c>
      <c r="D91" s="7" t="inlineStr">
        <is>
          <t>Upper middle income</t>
        </is>
      </c>
      <c r="E91" s="7" t="b">
        <v>1</v>
      </c>
      <c r="F91" s="7" t="inlineStr">
        <is>
          <t>gen_oil_twh</t>
        </is>
      </c>
      <c r="G91" s="7" t="n">
        <v>6.36</v>
      </c>
      <c r="H91" s="7" t="n">
        <v>2024</v>
      </c>
      <c r="I91" s="7" t="inlineStr">
        <is>
          <t>release_generation_yearly_global.csv (Ember)</t>
        </is>
      </c>
    </row>
    <row r="92">
      <c r="A92" s="7" t="inlineStr">
        <is>
          <t>ARG</t>
        </is>
      </c>
      <c r="B92" s="7" t="inlineStr">
        <is>
          <t>Argentina</t>
        </is>
      </c>
      <c r="C92" s="7" t="inlineStr">
        <is>
          <t>Latin America &amp; Caribbean</t>
        </is>
      </c>
      <c r="D92" s="7" t="inlineStr">
        <is>
          <t>Upper middle income</t>
        </is>
      </c>
      <c r="E92" s="7" t="b">
        <v>1</v>
      </c>
      <c r="F92" s="7" t="inlineStr">
        <is>
          <t>gen_total_twh</t>
        </is>
      </c>
      <c r="G92" s="7" t="n">
        <v>152.51</v>
      </c>
      <c r="H92" s="7" t="n">
        <v>2024</v>
      </c>
      <c r="I92" s="7" t="inlineStr">
        <is>
          <t>release_generation_yearly_global.csv (Ember)</t>
        </is>
      </c>
    </row>
    <row r="93">
      <c r="A93" s="7" t="inlineStr">
        <is>
          <t>ARG</t>
        </is>
      </c>
      <c r="B93" s="7" t="inlineStr">
        <is>
          <t>Argentina</t>
        </is>
      </c>
      <c r="C93" s="7" t="inlineStr">
        <is>
          <t>Latin America &amp; Caribbean</t>
        </is>
      </c>
      <c r="D93" s="7" t="inlineStr">
        <is>
          <t>Upper middle income</t>
        </is>
      </c>
      <c r="E93" s="7" t="b">
        <v>1</v>
      </c>
      <c r="F93" s="7" t="inlineStr">
        <is>
          <t>power_market_structure</t>
        </is>
      </c>
      <c r="G93" s="7" t="n">
        <v>3</v>
      </c>
      <c r="H93" s="7" t="inlineStr">
        <is>
          <t>2013</t>
        </is>
      </c>
      <c r="I93" s="7" t="inlineStr">
        <is>
          <t>dataverse_files.zip</t>
        </is>
      </c>
    </row>
    <row r="94">
      <c r="A94" s="7" t="inlineStr">
        <is>
          <t>ARG</t>
        </is>
      </c>
      <c r="B94" s="7" t="inlineStr">
        <is>
          <t>Argentina</t>
        </is>
      </c>
      <c r="C94" s="7" t="inlineStr">
        <is>
          <t>Latin America &amp; Caribbean</t>
        </is>
      </c>
      <c r="D94" s="7" t="inlineStr">
        <is>
          <t>Upper middle income</t>
        </is>
      </c>
      <c r="E94" s="7" t="b">
        <v>1</v>
      </c>
      <c r="F94" s="7" t="inlineStr">
        <is>
          <t>price_coal_power_usd_gj</t>
        </is>
      </c>
      <c r="G94" s="7" t="n">
        <v>5.767</v>
      </c>
      <c r="H94" s="7" t="inlineStr">
        <is>
          <t>2024</t>
        </is>
      </c>
      <c r="I94" s="7" t="inlineStr">
        <is>
          <t>imffossilfuelsubsidiesdata.xlsb</t>
        </is>
      </c>
    </row>
    <row r="95">
      <c r="A95" s="7" t="inlineStr">
        <is>
          <t>ARG</t>
        </is>
      </c>
      <c r="B95" s="7" t="inlineStr">
        <is>
          <t>Argentina</t>
        </is>
      </c>
      <c r="C95" s="7" t="inlineStr">
        <is>
          <t>Latin America &amp; Caribbean</t>
        </is>
      </c>
      <c r="D95" s="7" t="inlineStr">
        <is>
          <t>Upper middle income</t>
        </is>
      </c>
      <c r="E95" s="7" t="b">
        <v>1</v>
      </c>
      <c r="F95" s="7" t="inlineStr">
        <is>
          <t>price_electricity_residential_usd_kwh</t>
        </is>
      </c>
      <c r="G95" s="7" t="n">
        <v>0.081</v>
      </c>
      <c r="H95" s="7" t="inlineStr">
        <is>
          <t>2024</t>
        </is>
      </c>
      <c r="I95" s="7" t="inlineStr">
        <is>
          <t>imffossilfuelsubsidiesdata.xlsb</t>
        </is>
      </c>
    </row>
    <row r="96">
      <c r="A96" s="7" t="inlineStr">
        <is>
          <t>ARG</t>
        </is>
      </c>
      <c r="B96" s="7" t="inlineStr">
        <is>
          <t>Argentina</t>
        </is>
      </c>
      <c r="C96" s="7" t="inlineStr">
        <is>
          <t>Latin America &amp; Caribbean</t>
        </is>
      </c>
      <c r="D96" s="7" t="inlineStr">
        <is>
          <t>Upper middle income</t>
        </is>
      </c>
      <c r="E96" s="7" t="b">
        <v>1</v>
      </c>
      <c r="F96" s="7" t="inlineStr">
        <is>
          <t>price_gas_industry_usd_gj</t>
        </is>
      </c>
      <c r="G96" s="7" t="n">
        <v>7.576</v>
      </c>
      <c r="H96" s="7" t="inlineStr">
        <is>
          <t>2024</t>
        </is>
      </c>
      <c r="I96" s="7" t="inlineStr">
        <is>
          <t>imffossilfuelsubsidiesdata.xlsb</t>
        </is>
      </c>
    </row>
    <row r="97">
      <c r="A97" s="7" t="inlineStr">
        <is>
          <t>ARG</t>
        </is>
      </c>
      <c r="B97" s="7" t="inlineStr">
        <is>
          <t>Argentina</t>
        </is>
      </c>
      <c r="C97" s="7" t="inlineStr">
        <is>
          <t>Latin America &amp; Caribbean</t>
        </is>
      </c>
      <c r="D97" s="7" t="inlineStr">
        <is>
          <t>Upper middle income</t>
        </is>
      </c>
      <c r="E97" s="7" t="b">
        <v>1</v>
      </c>
      <c r="F97" s="7" t="inlineStr">
        <is>
          <t>rise_renewable_energy_score</t>
        </is>
      </c>
      <c r="G97" s="7" t="n">
        <v>49.622</v>
      </c>
      <c r="H97" s="7" t="inlineStr">
        <is>
          <t>2023</t>
        </is>
      </c>
      <c r="I97" s="7" t="inlineStr">
        <is>
          <t>WB_RISE_WIDEF.csv</t>
        </is>
      </c>
    </row>
    <row r="98">
      <c r="A98" s="7" t="inlineStr">
        <is>
          <t>ARM</t>
        </is>
      </c>
      <c r="B98" s="7" t="inlineStr">
        <is>
          <t>Armenia</t>
        </is>
      </c>
      <c r="C98" s="7" t="inlineStr">
        <is>
          <t>Europe &amp; Central Asia</t>
        </is>
      </c>
      <c r="D98" s="7" t="inlineStr">
        <is>
          <t>Upper middle income</t>
        </is>
      </c>
      <c r="E98" s="7" t="b">
        <v>1</v>
      </c>
      <c r="F98" s="7" t="inlineStr">
        <is>
          <t>coal_rents_pct_gdp</t>
        </is>
      </c>
      <c r="G98" s="7" t="n">
        <v>0</v>
      </c>
      <c r="H98" s="7" t="inlineStr">
        <is>
          <t>2021</t>
        </is>
      </c>
      <c r="I98" s="7" t="inlineStr">
        <is>
          <t>API_NY_GDP_COAL_RT_ZS_DS2_en_csv_v2_35370.zip</t>
        </is>
      </c>
    </row>
    <row r="99">
      <c r="A99" s="7" t="inlineStr">
        <is>
          <t>ARM</t>
        </is>
      </c>
      <c r="B99" s="7" t="inlineStr">
        <is>
          <t>Armenia</t>
        </is>
      </c>
      <c r="C99" s="7" t="inlineStr">
        <is>
          <t>Europe &amp; Central Asia</t>
        </is>
      </c>
      <c r="D99" s="7" t="inlineStr">
        <is>
          <t>Upper middle income</t>
        </is>
      </c>
      <c r="E99" s="7" t="b">
        <v>1</v>
      </c>
      <c r="F99" s="7" t="inlineStr">
        <is>
          <t>em_coal_mt</t>
        </is>
      </c>
      <c r="G99" s="7" t="n">
        <v>0</v>
      </c>
      <c r="H99" s="7" t="n">
        <v>2024</v>
      </c>
      <c r="I99" s="7" t="inlineStr">
        <is>
          <t>release_generation_yearly_global.csv (Ember)</t>
        </is>
      </c>
    </row>
    <row r="100">
      <c r="A100" s="7" t="inlineStr">
        <is>
          <t>ARM</t>
        </is>
      </c>
      <c r="B100" s="7" t="inlineStr">
        <is>
          <t>Armenia</t>
        </is>
      </c>
      <c r="C100" s="7" t="inlineStr">
        <is>
          <t>Europe &amp; Central Asia</t>
        </is>
      </c>
      <c r="D100" s="7" t="inlineStr">
        <is>
          <t>Upper middle income</t>
        </is>
      </c>
      <c r="E100" s="7" t="b">
        <v>1</v>
      </c>
      <c r="F100" s="7" t="inlineStr">
        <is>
          <t>em_gas_mt</t>
        </is>
      </c>
      <c r="G100" s="7" t="n">
        <v>2.066</v>
      </c>
      <c r="H100" s="7" t="n">
        <v>2024</v>
      </c>
      <c r="I100" s="7" t="inlineStr">
        <is>
          <t>release_generation_yearly_global.csv (Ember)</t>
        </is>
      </c>
    </row>
    <row r="101">
      <c r="A101" s="7" t="inlineStr">
        <is>
          <t>ARM</t>
        </is>
      </c>
      <c r="B101" s="7" t="inlineStr">
        <is>
          <t>Armenia</t>
        </is>
      </c>
      <c r="C101" s="7" t="inlineStr">
        <is>
          <t>Europe &amp; Central Asia</t>
        </is>
      </c>
      <c r="D101" s="7" t="inlineStr">
        <is>
          <t>Upper middle income</t>
        </is>
      </c>
      <c r="E101" s="7" t="b">
        <v>1</v>
      </c>
      <c r="F101" s="7" t="inlineStr">
        <is>
          <t>em_oil_mt</t>
        </is>
      </c>
      <c r="G101" s="7" t="n">
        <v>0</v>
      </c>
      <c r="H101" s="7" t="n">
        <v>2024</v>
      </c>
      <c r="I101" s="7" t="inlineStr">
        <is>
          <t>release_generation_yearly_global.csv (Ember)</t>
        </is>
      </c>
    </row>
    <row r="102">
      <c r="A102" s="7" t="inlineStr">
        <is>
          <t>ARM</t>
        </is>
      </c>
      <c r="B102" s="7" t="inlineStr">
        <is>
          <t>Armenia</t>
        </is>
      </c>
      <c r="C102" s="7" t="inlineStr">
        <is>
          <t>Europe &amp; Central Asia</t>
        </is>
      </c>
      <c r="D102" s="7" t="inlineStr">
        <is>
          <t>Upper middle income</t>
        </is>
      </c>
      <c r="E102" s="7" t="b">
        <v>1</v>
      </c>
      <c r="F102" s="7" t="inlineStr">
        <is>
          <t>ff_subsidy_explicit_pct_gdp</t>
        </is>
      </c>
      <c r="G102" s="7" t="n">
        <v>0</v>
      </c>
      <c r="H102" s="7" t="inlineStr">
        <is>
          <t>2024</t>
        </is>
      </c>
      <c r="I102" s="7" t="inlineStr">
        <is>
          <t>imffossilfuelsubsidiesdata.xlsb</t>
        </is>
      </c>
    </row>
    <row r="103">
      <c r="A103" s="7" t="inlineStr">
        <is>
          <t>ARM</t>
        </is>
      </c>
      <c r="B103" s="7" t="inlineStr">
        <is>
          <t>Armenia</t>
        </is>
      </c>
      <c r="C103" s="7" t="inlineStr">
        <is>
          <t>Europe &amp; Central Asia</t>
        </is>
      </c>
      <c r="D103" s="7" t="inlineStr">
        <is>
          <t>Upper middle income</t>
        </is>
      </c>
      <c r="E103" s="7" t="b">
        <v>1</v>
      </c>
      <c r="F103" s="7" t="inlineStr">
        <is>
          <t>fuel_exports_pct_merch</t>
        </is>
      </c>
      <c r="G103" s="7" t="n">
        <v>0.679</v>
      </c>
      <c r="H103" s="7" t="inlineStr">
        <is>
          <t>2024</t>
        </is>
      </c>
      <c r="I103" s="7" t="inlineStr">
        <is>
          <t>API_TX_VAL_FUEL_ZS_UN_DS2_en_csv_v2_33055.zip</t>
        </is>
      </c>
    </row>
    <row r="104">
      <c r="A104" s="7" t="inlineStr">
        <is>
          <t>ARM</t>
        </is>
      </c>
      <c r="B104" s="7" t="inlineStr">
        <is>
          <t>Armenia</t>
        </is>
      </c>
      <c r="C104" s="7" t="inlineStr">
        <is>
          <t>Europe &amp; Central Asia</t>
        </is>
      </c>
      <c r="D104" s="7" t="inlineStr">
        <is>
          <t>Upper middle income</t>
        </is>
      </c>
      <c r="E104" s="7" t="b">
        <v>1</v>
      </c>
      <c r="F104" s="7" t="inlineStr">
        <is>
          <t>gen_coal_twh</t>
        </is>
      </c>
      <c r="G104" s="7" t="n">
        <v>0</v>
      </c>
      <c r="H104" s="7" t="n">
        <v>2024</v>
      </c>
      <c r="I104" s="7" t="inlineStr">
        <is>
          <t>release_generation_yearly_global.csv (Ember)</t>
        </is>
      </c>
    </row>
    <row r="105">
      <c r="A105" s="7" t="inlineStr">
        <is>
          <t>ARM</t>
        </is>
      </c>
      <c r="B105" s="7" t="inlineStr">
        <is>
          <t>Armenia</t>
        </is>
      </c>
      <c r="C105" s="7" t="inlineStr">
        <is>
          <t>Europe &amp; Central Asia</t>
        </is>
      </c>
      <c r="D105" s="7" t="inlineStr">
        <is>
          <t>Upper middle income</t>
        </is>
      </c>
      <c r="E105" s="7" t="b">
        <v>1</v>
      </c>
      <c r="F105" s="7" t="inlineStr">
        <is>
          <t>gen_gas_twh</t>
        </is>
      </c>
      <c r="G105" s="7" t="n">
        <v>3.52</v>
      </c>
      <c r="H105" s="7" t="n">
        <v>2024</v>
      </c>
      <c r="I105" s="7" t="inlineStr">
        <is>
          <t>release_generation_yearly_global.csv (Ember)</t>
        </is>
      </c>
    </row>
    <row r="106">
      <c r="A106" s="7" t="inlineStr">
        <is>
          <t>ARM</t>
        </is>
      </c>
      <c r="B106" s="7" t="inlineStr">
        <is>
          <t>Armenia</t>
        </is>
      </c>
      <c r="C106" s="7" t="inlineStr">
        <is>
          <t>Europe &amp; Central Asia</t>
        </is>
      </c>
      <c r="D106" s="7" t="inlineStr">
        <is>
          <t>Upper middle income</t>
        </is>
      </c>
      <c r="E106" s="7" t="b">
        <v>1</v>
      </c>
      <c r="F106" s="7" t="inlineStr">
        <is>
          <t>gen_oil_twh</t>
        </is>
      </c>
      <c r="G106" s="7" t="n">
        <v>0</v>
      </c>
      <c r="H106" s="7" t="n">
        <v>2024</v>
      </c>
      <c r="I106" s="7" t="inlineStr">
        <is>
          <t>release_generation_yearly_global.csv (Ember)</t>
        </is>
      </c>
    </row>
    <row r="107">
      <c r="A107" s="7" t="inlineStr">
        <is>
          <t>ARM</t>
        </is>
      </c>
      <c r="B107" s="7" t="inlineStr">
        <is>
          <t>Armenia</t>
        </is>
      </c>
      <c r="C107" s="7" t="inlineStr">
        <is>
          <t>Europe &amp; Central Asia</t>
        </is>
      </c>
      <c r="D107" s="7" t="inlineStr">
        <is>
          <t>Upper middle income</t>
        </is>
      </c>
      <c r="E107" s="7" t="b">
        <v>1</v>
      </c>
      <c r="F107" s="7" t="inlineStr">
        <is>
          <t>gen_total_twh</t>
        </is>
      </c>
      <c r="G107" s="7" t="n">
        <v>9.029999999999999</v>
      </c>
      <c r="H107" s="7" t="n">
        <v>2024</v>
      </c>
      <c r="I107" s="7" t="inlineStr">
        <is>
          <t>release_generation_yearly_global.csv (Ember)</t>
        </is>
      </c>
    </row>
    <row r="108">
      <c r="A108" s="7" t="inlineStr">
        <is>
          <t>ARM</t>
        </is>
      </c>
      <c r="B108" s="7" t="inlineStr">
        <is>
          <t>Armenia</t>
        </is>
      </c>
      <c r="C108" s="7" t="inlineStr">
        <is>
          <t>Europe &amp; Central Asia</t>
        </is>
      </c>
      <c r="D108" s="7" t="inlineStr">
        <is>
          <t>Upper middle income</t>
        </is>
      </c>
      <c r="E108" s="7" t="b">
        <v>1</v>
      </c>
      <c r="F108" s="7" t="inlineStr">
        <is>
          <t>power_market_structure</t>
        </is>
      </c>
      <c r="G108" s="7" t="n">
        <v>3</v>
      </c>
      <c r="H108" s="7" t="inlineStr">
        <is>
          <t>2013</t>
        </is>
      </c>
      <c r="I108" s="7" t="inlineStr">
        <is>
          <t>dataverse_files.zip</t>
        </is>
      </c>
    </row>
    <row r="109">
      <c r="A109" s="7" t="inlineStr">
        <is>
          <t>ARM</t>
        </is>
      </c>
      <c r="B109" s="7" t="inlineStr">
        <is>
          <t>Armenia</t>
        </is>
      </c>
      <c r="C109" s="7" t="inlineStr">
        <is>
          <t>Europe &amp; Central Asia</t>
        </is>
      </c>
      <c r="D109" s="7" t="inlineStr">
        <is>
          <t>Upper middle income</t>
        </is>
      </c>
      <c r="E109" s="7" t="b">
        <v>1</v>
      </c>
      <c r="F109" s="7" t="inlineStr">
        <is>
          <t>price_coal_power_usd_gj</t>
        </is>
      </c>
      <c r="G109" s="7" t="n">
        <v>4.35</v>
      </c>
      <c r="H109" s="7" t="inlineStr">
        <is>
          <t>2024</t>
        </is>
      </c>
      <c r="I109" s="7" t="inlineStr">
        <is>
          <t>imffossilfuelsubsidiesdata.xlsb</t>
        </is>
      </c>
    </row>
    <row r="110">
      <c r="A110" s="7" t="inlineStr">
        <is>
          <t>ARM</t>
        </is>
      </c>
      <c r="B110" s="7" t="inlineStr">
        <is>
          <t>Armenia</t>
        </is>
      </c>
      <c r="C110" s="7" t="inlineStr">
        <is>
          <t>Europe &amp; Central Asia</t>
        </is>
      </c>
      <c r="D110" s="7" t="inlineStr">
        <is>
          <t>Upper middle income</t>
        </is>
      </c>
      <c r="E110" s="7" t="b">
        <v>1</v>
      </c>
      <c r="F110" s="7" t="inlineStr">
        <is>
          <t>price_electricity_residential_usd_kwh</t>
        </is>
      </c>
      <c r="G110" s="7" t="n">
        <v>0.111</v>
      </c>
      <c r="H110" s="7" t="inlineStr">
        <is>
          <t>2024</t>
        </is>
      </c>
      <c r="I110" s="7" t="inlineStr">
        <is>
          <t>imffossilfuelsubsidiesdata.xlsb</t>
        </is>
      </c>
    </row>
    <row r="111">
      <c r="A111" s="7" t="inlineStr">
        <is>
          <t>ARM</t>
        </is>
      </c>
      <c r="B111" s="7" t="inlineStr">
        <is>
          <t>Armenia</t>
        </is>
      </c>
      <c r="C111" s="7" t="inlineStr">
        <is>
          <t>Europe &amp; Central Asia</t>
        </is>
      </c>
      <c r="D111" s="7" t="inlineStr">
        <is>
          <t>Upper middle income</t>
        </is>
      </c>
      <c r="E111" s="7" t="b">
        <v>1</v>
      </c>
      <c r="F111" s="7" t="inlineStr">
        <is>
          <t>rise_renewable_energy_score</t>
        </is>
      </c>
      <c r="G111" s="7" t="n">
        <v>36.267</v>
      </c>
      <c r="H111" s="7" t="inlineStr">
        <is>
          <t>2023</t>
        </is>
      </c>
      <c r="I111" s="7" t="inlineStr">
        <is>
          <t>WB_RISE_WIDEF.csv</t>
        </is>
      </c>
    </row>
    <row r="112">
      <c r="A112" s="7" t="inlineStr">
        <is>
          <t>ASM</t>
        </is>
      </c>
      <c r="B112" s="7" t="inlineStr">
        <is>
          <t>American Samoa</t>
        </is>
      </c>
      <c r="C112" s="7" t="inlineStr">
        <is>
          <t>East Asia &amp; Pacific</t>
        </is>
      </c>
      <c r="D112" s="7" t="inlineStr">
        <is>
          <t>High income</t>
        </is>
      </c>
      <c r="E112" s="7" t="b">
        <v>0</v>
      </c>
      <c r="F112" s="7" t="inlineStr">
        <is>
          <t>coal_rents_pct_gdp</t>
        </is>
      </c>
      <c r="G112" s="7" t="n">
        <v>0</v>
      </c>
      <c r="H112" s="7" t="inlineStr">
        <is>
          <t>2021</t>
        </is>
      </c>
      <c r="I112" s="7" t="inlineStr">
        <is>
          <t>API_NY_GDP_COAL_RT_ZS_DS2_en_csv_v2_35370.zip</t>
        </is>
      </c>
    </row>
    <row r="113">
      <c r="A113" s="7" t="inlineStr">
        <is>
          <t>ASM</t>
        </is>
      </c>
      <c r="B113" s="7" t="inlineStr">
        <is>
          <t>American Samoa</t>
        </is>
      </c>
      <c r="C113" s="7" t="inlineStr">
        <is>
          <t>East Asia &amp; Pacific</t>
        </is>
      </c>
      <c r="D113" s="7" t="inlineStr">
        <is>
          <t>High income</t>
        </is>
      </c>
      <c r="E113" s="7" t="b">
        <v>0</v>
      </c>
      <c r="F113" s="7" t="inlineStr">
        <is>
          <t>em_coal_mt</t>
        </is>
      </c>
      <c r="G113" s="7" t="n">
        <v>0</v>
      </c>
      <c r="H113" s="7" t="n">
        <v>2024</v>
      </c>
      <c r="I113" s="7" t="inlineStr">
        <is>
          <t>release_generation_yearly_global.csv (Ember)</t>
        </is>
      </c>
    </row>
    <row r="114">
      <c r="A114" s="7" t="inlineStr">
        <is>
          <t>ASM</t>
        </is>
      </c>
      <c r="B114" s="7" t="inlineStr">
        <is>
          <t>American Samoa</t>
        </is>
      </c>
      <c r="C114" s="7" t="inlineStr">
        <is>
          <t>East Asia &amp; Pacific</t>
        </is>
      </c>
      <c r="D114" s="7" t="inlineStr">
        <is>
          <t>High income</t>
        </is>
      </c>
      <c r="E114" s="7" t="b">
        <v>0</v>
      </c>
      <c r="F114" s="7" t="inlineStr">
        <is>
          <t>em_gas_mt</t>
        </is>
      </c>
      <c r="G114" s="7" t="n">
        <v>0</v>
      </c>
      <c r="H114" s="7" t="n">
        <v>2024</v>
      </c>
      <c r="I114" s="7" t="inlineStr">
        <is>
          <t>release_generation_yearly_global.csv (Ember)</t>
        </is>
      </c>
    </row>
    <row r="115">
      <c r="A115" s="7" t="inlineStr">
        <is>
          <t>ASM</t>
        </is>
      </c>
      <c r="B115" s="7" t="inlineStr">
        <is>
          <t>American Samoa</t>
        </is>
      </c>
      <c r="C115" s="7" t="inlineStr">
        <is>
          <t>East Asia &amp; Pacific</t>
        </is>
      </c>
      <c r="D115" s="7" t="inlineStr">
        <is>
          <t>High income</t>
        </is>
      </c>
      <c r="E115" s="7" t="b">
        <v>0</v>
      </c>
      <c r="F115" s="7" t="inlineStr">
        <is>
          <t>em_oil_mt</t>
        </is>
      </c>
      <c r="G115" s="7" t="n">
        <v>0.112</v>
      </c>
      <c r="H115" s="7" t="n">
        <v>2024</v>
      </c>
      <c r="I115" s="7" t="inlineStr">
        <is>
          <t>release_generation_yearly_global.csv (Ember)</t>
        </is>
      </c>
    </row>
    <row r="116">
      <c r="A116" s="7" t="inlineStr">
        <is>
          <t>ASM</t>
        </is>
      </c>
      <c r="B116" s="7" t="inlineStr">
        <is>
          <t>American Samoa</t>
        </is>
      </c>
      <c r="C116" s="7" t="inlineStr">
        <is>
          <t>East Asia &amp; Pacific</t>
        </is>
      </c>
      <c r="D116" s="7" t="inlineStr">
        <is>
          <t>High income</t>
        </is>
      </c>
      <c r="E116" s="7" t="b">
        <v>0</v>
      </c>
      <c r="F116" s="7" t="inlineStr">
        <is>
          <t>gen_coal_twh</t>
        </is>
      </c>
      <c r="G116" s="7" t="n">
        <v>0</v>
      </c>
      <c r="H116" s="7" t="n">
        <v>2024</v>
      </c>
      <c r="I116" s="7" t="inlineStr">
        <is>
          <t>release_generation_yearly_global.csv (Ember)</t>
        </is>
      </c>
    </row>
    <row r="117">
      <c r="A117" s="7" t="inlineStr">
        <is>
          <t>ASM</t>
        </is>
      </c>
      <c r="B117" s="7" t="inlineStr">
        <is>
          <t>American Samoa</t>
        </is>
      </c>
      <c r="C117" s="7" t="inlineStr">
        <is>
          <t>East Asia &amp; Pacific</t>
        </is>
      </c>
      <c r="D117" s="7" t="inlineStr">
        <is>
          <t>High income</t>
        </is>
      </c>
      <c r="E117" s="7" t="b">
        <v>0</v>
      </c>
      <c r="F117" s="7" t="inlineStr">
        <is>
          <t>gen_gas_twh</t>
        </is>
      </c>
      <c r="G117" s="7" t="n">
        <v>0</v>
      </c>
      <c r="H117" s="7" t="n">
        <v>2024</v>
      </c>
      <c r="I117" s="7" t="inlineStr">
        <is>
          <t>release_generation_yearly_global.csv (Ember)</t>
        </is>
      </c>
    </row>
    <row r="118">
      <c r="A118" s="7" t="inlineStr">
        <is>
          <t>ASM</t>
        </is>
      </c>
      <c r="B118" s="7" t="inlineStr">
        <is>
          <t>American Samoa</t>
        </is>
      </c>
      <c r="C118" s="7" t="inlineStr">
        <is>
          <t>East Asia &amp; Pacific</t>
        </is>
      </c>
      <c r="D118" s="7" t="inlineStr">
        <is>
          <t>High income</t>
        </is>
      </c>
      <c r="E118" s="7" t="b">
        <v>0</v>
      </c>
      <c r="F118" s="7" t="inlineStr">
        <is>
          <t>gen_oil_twh</t>
        </is>
      </c>
      <c r="G118" s="7" t="n">
        <v>0.17</v>
      </c>
      <c r="H118" s="7" t="n">
        <v>2024</v>
      </c>
      <c r="I118" s="7" t="inlineStr">
        <is>
          <t>release_generation_yearly_global.csv (Ember)</t>
        </is>
      </c>
    </row>
    <row r="119">
      <c r="A119" s="7" t="inlineStr">
        <is>
          <t>ASM</t>
        </is>
      </c>
      <c r="B119" s="7" t="inlineStr">
        <is>
          <t>American Samoa</t>
        </is>
      </c>
      <c r="C119" s="7" t="inlineStr">
        <is>
          <t>East Asia &amp; Pacific</t>
        </is>
      </c>
      <c r="D119" s="7" t="inlineStr">
        <is>
          <t>High income</t>
        </is>
      </c>
      <c r="E119" s="7" t="b">
        <v>0</v>
      </c>
      <c r="F119" s="7" t="inlineStr">
        <is>
          <t>gen_total_twh</t>
        </is>
      </c>
      <c r="G119" s="7" t="n">
        <v>0.18</v>
      </c>
      <c r="H119" s="7" t="n">
        <v>2024</v>
      </c>
      <c r="I119" s="7" t="inlineStr">
        <is>
          <t>release_generation_yearly_global.csv (Ember)</t>
        </is>
      </c>
    </row>
    <row r="120">
      <c r="A120" s="7" t="inlineStr">
        <is>
          <t>ATG</t>
        </is>
      </c>
      <c r="B120" s="7" t="inlineStr">
        <is>
          <t>Antigua and Barbuda</t>
        </is>
      </c>
      <c r="C120" s="7" t="inlineStr">
        <is>
          <t>Latin America &amp; Caribbean</t>
        </is>
      </c>
      <c r="D120" s="7" t="inlineStr">
        <is>
          <t>High income</t>
        </is>
      </c>
      <c r="E120" s="7" t="b">
        <v>0</v>
      </c>
      <c r="F120" s="7" t="inlineStr">
        <is>
          <t>coal_rents_pct_gdp</t>
        </is>
      </c>
      <c r="G120" s="7" t="n">
        <v>0</v>
      </c>
      <c r="H120" s="7" t="inlineStr">
        <is>
          <t>2021</t>
        </is>
      </c>
      <c r="I120" s="7" t="inlineStr">
        <is>
          <t>API_NY_GDP_COAL_RT_ZS_DS2_en_csv_v2_35370.zip</t>
        </is>
      </c>
    </row>
    <row r="121">
      <c r="A121" s="7" t="inlineStr">
        <is>
          <t>ATG</t>
        </is>
      </c>
      <c r="B121" s="7" t="inlineStr">
        <is>
          <t>Antigua and Barbuda</t>
        </is>
      </c>
      <c r="C121" s="7" t="inlineStr">
        <is>
          <t>Latin America &amp; Caribbean</t>
        </is>
      </c>
      <c r="D121" s="7" t="inlineStr">
        <is>
          <t>High income</t>
        </is>
      </c>
      <c r="E121" s="7" t="b">
        <v>0</v>
      </c>
      <c r="F121" s="7" t="inlineStr">
        <is>
          <t>em_coal_mt</t>
        </is>
      </c>
      <c r="G121" s="7" t="n">
        <v>0</v>
      </c>
      <c r="H121" s="7" t="n">
        <v>2024</v>
      </c>
      <c r="I121" s="7" t="inlineStr">
        <is>
          <t>release_generation_yearly_global.csv (Ember)</t>
        </is>
      </c>
    </row>
    <row r="122">
      <c r="A122" s="7" t="inlineStr">
        <is>
          <t>ATG</t>
        </is>
      </c>
      <c r="B122" s="7" t="inlineStr">
        <is>
          <t>Antigua and Barbuda</t>
        </is>
      </c>
      <c r="C122" s="7" t="inlineStr">
        <is>
          <t>Latin America &amp; Caribbean</t>
        </is>
      </c>
      <c r="D122" s="7" t="inlineStr">
        <is>
          <t>High income</t>
        </is>
      </c>
      <c r="E122" s="7" t="b">
        <v>0</v>
      </c>
      <c r="F122" s="7" t="inlineStr">
        <is>
          <t>em_gas_mt</t>
        </is>
      </c>
      <c r="G122" s="7" t="n">
        <v>0</v>
      </c>
      <c r="H122" s="7" t="n">
        <v>2024</v>
      </c>
      <c r="I122" s="7" t="inlineStr">
        <is>
          <t>release_generation_yearly_global.csv (Ember)</t>
        </is>
      </c>
    </row>
    <row r="123">
      <c r="A123" s="7" t="inlineStr">
        <is>
          <t>ATG</t>
        </is>
      </c>
      <c r="B123" s="7" t="inlineStr">
        <is>
          <t>Antigua and Barbuda</t>
        </is>
      </c>
      <c r="C123" s="7" t="inlineStr">
        <is>
          <t>Latin America &amp; Caribbean</t>
        </is>
      </c>
      <c r="D123" s="7" t="inlineStr">
        <is>
          <t>High income</t>
        </is>
      </c>
      <c r="E123" s="7" t="b">
        <v>0</v>
      </c>
      <c r="F123" s="7" t="inlineStr">
        <is>
          <t>em_oil_mt</t>
        </is>
      </c>
      <c r="G123" s="7" t="n">
        <v>0.224</v>
      </c>
      <c r="H123" s="7" t="n">
        <v>2024</v>
      </c>
      <c r="I123" s="7" t="inlineStr">
        <is>
          <t>release_generation_yearly_global.csv (Ember)</t>
        </is>
      </c>
    </row>
    <row r="124">
      <c r="A124" s="7" t="inlineStr">
        <is>
          <t>ATG</t>
        </is>
      </c>
      <c r="B124" s="7" t="inlineStr">
        <is>
          <t>Antigua and Barbuda</t>
        </is>
      </c>
      <c r="C124" s="7" t="inlineStr">
        <is>
          <t>Latin America &amp; Caribbean</t>
        </is>
      </c>
      <c r="D124" s="7" t="inlineStr">
        <is>
          <t>High income</t>
        </is>
      </c>
      <c r="E124" s="7" t="b">
        <v>0</v>
      </c>
      <c r="F124" s="7" t="inlineStr">
        <is>
          <t>ff_subsidy_explicit_pct_gdp</t>
        </is>
      </c>
      <c r="G124" s="7" t="n">
        <v>0.35</v>
      </c>
      <c r="H124" s="7" t="inlineStr">
        <is>
          <t>2024</t>
        </is>
      </c>
      <c r="I124" s="7" t="inlineStr">
        <is>
          <t>imffossilfuelsubsidiesdata.xlsb</t>
        </is>
      </c>
    </row>
    <row r="125">
      <c r="A125" s="7" t="inlineStr">
        <is>
          <t>ATG</t>
        </is>
      </c>
      <c r="B125" s="7" t="inlineStr">
        <is>
          <t>Antigua and Barbuda</t>
        </is>
      </c>
      <c r="C125" s="7" t="inlineStr">
        <is>
          <t>Latin America &amp; Caribbean</t>
        </is>
      </c>
      <c r="D125" s="7" t="inlineStr">
        <is>
          <t>High income</t>
        </is>
      </c>
      <c r="E125" s="7" t="b">
        <v>0</v>
      </c>
      <c r="F125" s="7" t="inlineStr">
        <is>
          <t>fuel_exports_pct_merch</t>
        </is>
      </c>
      <c r="G125" s="7" t="n">
        <v>0</v>
      </c>
      <c r="H125" s="7" t="inlineStr">
        <is>
          <t>2024</t>
        </is>
      </c>
      <c r="I125" s="7" t="inlineStr">
        <is>
          <t>API_TX_VAL_FUEL_ZS_UN_DS2_en_csv_v2_33055.zip</t>
        </is>
      </c>
    </row>
    <row r="126">
      <c r="A126" s="7" t="inlineStr">
        <is>
          <t>ATG</t>
        </is>
      </c>
      <c r="B126" s="7" t="inlineStr">
        <is>
          <t>Antigua and Barbuda</t>
        </is>
      </c>
      <c r="C126" s="7" t="inlineStr">
        <is>
          <t>Latin America &amp; Caribbean</t>
        </is>
      </c>
      <c r="D126" s="7" t="inlineStr">
        <is>
          <t>High income</t>
        </is>
      </c>
      <c r="E126" s="7" t="b">
        <v>0</v>
      </c>
      <c r="F126" s="7" t="inlineStr">
        <is>
          <t>gen_coal_twh</t>
        </is>
      </c>
      <c r="G126" s="7" t="n">
        <v>0</v>
      </c>
      <c r="H126" s="7" t="n">
        <v>2024</v>
      </c>
      <c r="I126" s="7" t="inlineStr">
        <is>
          <t>release_generation_yearly_global.csv (Ember)</t>
        </is>
      </c>
    </row>
    <row r="127">
      <c r="A127" s="7" t="inlineStr">
        <is>
          <t>ATG</t>
        </is>
      </c>
      <c r="B127" s="7" t="inlineStr">
        <is>
          <t>Antigua and Barbuda</t>
        </is>
      </c>
      <c r="C127" s="7" t="inlineStr">
        <is>
          <t>Latin America &amp; Caribbean</t>
        </is>
      </c>
      <c r="D127" s="7" t="inlineStr">
        <is>
          <t>High income</t>
        </is>
      </c>
      <c r="E127" s="7" t="b">
        <v>0</v>
      </c>
      <c r="F127" s="7" t="inlineStr">
        <is>
          <t>gen_gas_twh</t>
        </is>
      </c>
      <c r="G127" s="7" t="n">
        <v>0</v>
      </c>
      <c r="H127" s="7" t="n">
        <v>2024</v>
      </c>
      <c r="I127" s="7" t="inlineStr">
        <is>
          <t>release_generation_yearly_global.csv (Ember)</t>
        </is>
      </c>
    </row>
    <row r="128">
      <c r="A128" s="7" t="inlineStr">
        <is>
          <t>ATG</t>
        </is>
      </c>
      <c r="B128" s="7" t="inlineStr">
        <is>
          <t>Antigua and Barbuda</t>
        </is>
      </c>
      <c r="C128" s="7" t="inlineStr">
        <is>
          <t>Latin America &amp; Caribbean</t>
        </is>
      </c>
      <c r="D128" s="7" t="inlineStr">
        <is>
          <t>High income</t>
        </is>
      </c>
      <c r="E128" s="7" t="b">
        <v>0</v>
      </c>
      <c r="F128" s="7" t="inlineStr">
        <is>
          <t>gen_oil_twh</t>
        </is>
      </c>
      <c r="G128" s="7" t="n">
        <v>0.34</v>
      </c>
      <c r="H128" s="7" t="n">
        <v>2024</v>
      </c>
      <c r="I128" s="7" t="inlineStr">
        <is>
          <t>release_generation_yearly_global.csv (Ember)</t>
        </is>
      </c>
    </row>
    <row r="129">
      <c r="A129" s="7" t="inlineStr">
        <is>
          <t>ATG</t>
        </is>
      </c>
      <c r="B129" s="7" t="inlineStr">
        <is>
          <t>Antigua and Barbuda</t>
        </is>
      </c>
      <c r="C129" s="7" t="inlineStr">
        <is>
          <t>Latin America &amp; Caribbean</t>
        </is>
      </c>
      <c r="D129" s="7" t="inlineStr">
        <is>
          <t>High income</t>
        </is>
      </c>
      <c r="E129" s="7" t="b">
        <v>0</v>
      </c>
      <c r="F129" s="7" t="inlineStr">
        <is>
          <t>gen_total_twh</t>
        </is>
      </c>
      <c r="G129" s="7" t="n">
        <v>0.37</v>
      </c>
      <c r="H129" s="7" t="n">
        <v>2024</v>
      </c>
      <c r="I129" s="7" t="inlineStr">
        <is>
          <t>release_generation_yearly_global.csv (Ember)</t>
        </is>
      </c>
    </row>
    <row r="130">
      <c r="A130" s="7" t="inlineStr">
        <is>
          <t>ATG</t>
        </is>
      </c>
      <c r="B130" s="7" t="inlineStr">
        <is>
          <t>Antigua and Barbuda</t>
        </is>
      </c>
      <c r="C130" s="7" t="inlineStr">
        <is>
          <t>Latin America &amp; Caribbean</t>
        </is>
      </c>
      <c r="D130" s="7" t="inlineStr">
        <is>
          <t>High income</t>
        </is>
      </c>
      <c r="E130" s="7" t="b">
        <v>0</v>
      </c>
      <c r="F130" s="7" t="inlineStr">
        <is>
          <t>power_market_structure</t>
        </is>
      </c>
      <c r="G130" s="7" t="n">
        <v>2</v>
      </c>
      <c r="H130" s="7" t="inlineStr">
        <is>
          <t>2013</t>
        </is>
      </c>
      <c r="I130" s="7" t="inlineStr">
        <is>
          <t>dataverse_files.zip</t>
        </is>
      </c>
    </row>
    <row r="131">
      <c r="A131" s="7" t="inlineStr">
        <is>
          <t>ATG</t>
        </is>
      </c>
      <c r="B131" s="7" t="inlineStr">
        <is>
          <t>Antigua and Barbuda</t>
        </is>
      </c>
      <c r="C131" s="7" t="inlineStr">
        <is>
          <t>Latin America &amp; Caribbean</t>
        </is>
      </c>
      <c r="D131" s="7" t="inlineStr">
        <is>
          <t>High income</t>
        </is>
      </c>
      <c r="E131" s="7" t="b">
        <v>0</v>
      </c>
      <c r="F131" s="7" t="inlineStr">
        <is>
          <t>price_coal_power_usd_gj</t>
        </is>
      </c>
      <c r="G131" s="7" t="n">
        <v>5.575</v>
      </c>
      <c r="H131" s="7" t="inlineStr">
        <is>
          <t>2024</t>
        </is>
      </c>
      <c r="I131" s="7" t="inlineStr">
        <is>
          <t>imffossilfuelsubsidiesdata.xlsb</t>
        </is>
      </c>
    </row>
    <row r="132">
      <c r="A132" s="7" t="inlineStr">
        <is>
          <t>ATG</t>
        </is>
      </c>
      <c r="B132" s="7" t="inlineStr">
        <is>
          <t>Antigua and Barbuda</t>
        </is>
      </c>
      <c r="C132" s="7" t="inlineStr">
        <is>
          <t>Latin America &amp; Caribbean</t>
        </is>
      </c>
      <c r="D132" s="7" t="inlineStr">
        <is>
          <t>High income</t>
        </is>
      </c>
      <c r="E132" s="7" t="b">
        <v>0</v>
      </c>
      <c r="F132" s="7" t="inlineStr">
        <is>
          <t>price_electricity_residential_usd_kwh</t>
        </is>
      </c>
      <c r="G132" s="7" t="n">
        <v>0.449</v>
      </c>
      <c r="H132" s="7" t="inlineStr">
        <is>
          <t>2024</t>
        </is>
      </c>
      <c r="I132" s="7" t="inlineStr">
        <is>
          <t>imffossilfuelsubsidiesdata.xlsb</t>
        </is>
      </c>
    </row>
    <row r="133">
      <c r="A133" s="7" t="inlineStr">
        <is>
          <t>ATG</t>
        </is>
      </c>
      <c r="B133" s="7" t="inlineStr">
        <is>
          <t>Antigua and Barbuda</t>
        </is>
      </c>
      <c r="C133" s="7" t="inlineStr">
        <is>
          <t>Latin America &amp; Caribbean</t>
        </is>
      </c>
      <c r="D133" s="7" t="inlineStr">
        <is>
          <t>High income</t>
        </is>
      </c>
      <c r="E133" s="7" t="b">
        <v>0</v>
      </c>
      <c r="F133" s="7" t="inlineStr">
        <is>
          <t>price_gas_industry_usd_gj</t>
        </is>
      </c>
      <c r="G133" s="7" t="n">
        <v>12.771</v>
      </c>
      <c r="H133" s="7" t="inlineStr">
        <is>
          <t>2024</t>
        </is>
      </c>
      <c r="I133" s="7" t="inlineStr">
        <is>
          <t>imffossilfuelsubsidiesdata.xlsb</t>
        </is>
      </c>
    </row>
    <row r="134">
      <c r="A134" s="7" t="inlineStr">
        <is>
          <t>ATG</t>
        </is>
      </c>
      <c r="B134" s="7" t="inlineStr">
        <is>
          <t>Antigua and Barbuda</t>
        </is>
      </c>
      <c r="C134" s="7" t="inlineStr">
        <is>
          <t>Latin America &amp; Caribbean</t>
        </is>
      </c>
      <c r="D134" s="7" t="inlineStr">
        <is>
          <t>High income</t>
        </is>
      </c>
      <c r="E134" s="7" t="b">
        <v>0</v>
      </c>
      <c r="F134" s="7" t="inlineStr">
        <is>
          <t>price_gas_power_usd_gj</t>
        </is>
      </c>
      <c r="G134" s="7" t="n">
        <v>11.447</v>
      </c>
      <c r="H134" s="7" t="inlineStr">
        <is>
          <t>2024</t>
        </is>
      </c>
      <c r="I134" s="7" t="inlineStr">
        <is>
          <t>imffossilfuelsubsidiesdata.xlsb</t>
        </is>
      </c>
    </row>
    <row r="135">
      <c r="A135" s="7" t="inlineStr">
        <is>
          <t>AUS</t>
        </is>
      </c>
      <c r="B135" s="7" t="inlineStr">
        <is>
          <t>Australia</t>
        </is>
      </c>
      <c r="C135" s="7" t="inlineStr">
        <is>
          <t>East Asia &amp; Pacific</t>
        </is>
      </c>
      <c r="D135" s="7" t="inlineStr">
        <is>
          <t>High income</t>
        </is>
      </c>
      <c r="E135" s="7" t="b">
        <v>0</v>
      </c>
      <c r="F135" s="7" t="inlineStr">
        <is>
          <t>coal_rents_pct_gdp</t>
        </is>
      </c>
      <c r="G135" s="7" t="n">
        <v>0.786</v>
      </c>
      <c r="H135" s="7" t="inlineStr">
        <is>
          <t>2021</t>
        </is>
      </c>
      <c r="I135" s="7" t="inlineStr">
        <is>
          <t>API_NY_GDP_COAL_RT_ZS_DS2_en_csv_v2_35370.zip</t>
        </is>
      </c>
    </row>
    <row r="136">
      <c r="A136" s="7" t="inlineStr">
        <is>
          <t>AUS</t>
        </is>
      </c>
      <c r="B136" s="7" t="inlineStr">
        <is>
          <t>Australia</t>
        </is>
      </c>
      <c r="C136" s="7" t="inlineStr">
        <is>
          <t>East Asia &amp; Pacific</t>
        </is>
      </c>
      <c r="D136" s="7" t="inlineStr">
        <is>
          <t>High income</t>
        </is>
      </c>
      <c r="E136" s="7" t="b">
        <v>0</v>
      </c>
      <c r="F136" s="7" t="inlineStr">
        <is>
          <t>em_coal_mt</t>
        </is>
      </c>
      <c r="G136" s="7" t="n">
        <v>112.158</v>
      </c>
      <c r="H136" s="7" t="n">
        <v>2024</v>
      </c>
      <c r="I136" s="7" t="inlineStr">
        <is>
          <t>release_generation_yearly_global.csv (Ember)</t>
        </is>
      </c>
    </row>
    <row r="137">
      <c r="A137" s="7" t="inlineStr">
        <is>
          <t>AUS</t>
        </is>
      </c>
      <c r="B137" s="7" t="inlineStr">
        <is>
          <t>Australia</t>
        </is>
      </c>
      <c r="C137" s="7" t="inlineStr">
        <is>
          <t>East Asia &amp; Pacific</t>
        </is>
      </c>
      <c r="D137" s="7" t="inlineStr">
        <is>
          <t>High income</t>
        </is>
      </c>
      <c r="E137" s="7" t="b">
        <v>0</v>
      </c>
      <c r="F137" s="7" t="inlineStr">
        <is>
          <t>em_gas_mt</t>
        </is>
      </c>
      <c r="G137" s="7" t="n">
        <v>35.986</v>
      </c>
      <c r="H137" s="7" t="n">
        <v>2024</v>
      </c>
      <c r="I137" s="7" t="inlineStr">
        <is>
          <t>release_generation_yearly_global.csv (Ember)</t>
        </is>
      </c>
    </row>
    <row r="138">
      <c r="A138" s="7" t="inlineStr">
        <is>
          <t>AUS</t>
        </is>
      </c>
      <c r="B138" s="7" t="inlineStr">
        <is>
          <t>Australia</t>
        </is>
      </c>
      <c r="C138" s="7" t="inlineStr">
        <is>
          <t>East Asia &amp; Pacific</t>
        </is>
      </c>
      <c r="D138" s="7" t="inlineStr">
        <is>
          <t>High income</t>
        </is>
      </c>
      <c r="E138" s="7" t="b">
        <v>0</v>
      </c>
      <c r="F138" s="7" t="inlineStr">
        <is>
          <t>em_oil_mt</t>
        </is>
      </c>
      <c r="G138" s="7" t="n">
        <v>4.224</v>
      </c>
      <c r="H138" s="7" t="n">
        <v>2024</v>
      </c>
      <c r="I138" s="7" t="inlineStr">
        <is>
          <t>release_generation_yearly_global.csv (Ember)</t>
        </is>
      </c>
    </row>
    <row r="139">
      <c r="A139" s="7" t="inlineStr">
        <is>
          <t>AUS</t>
        </is>
      </c>
      <c r="B139" s="7" t="inlineStr">
        <is>
          <t>Australia</t>
        </is>
      </c>
      <c r="C139" s="7" t="inlineStr">
        <is>
          <t>East Asia &amp; Pacific</t>
        </is>
      </c>
      <c r="D139" s="7" t="inlineStr">
        <is>
          <t>High income</t>
        </is>
      </c>
      <c r="E139" s="7" t="b">
        <v>0</v>
      </c>
      <c r="F139" s="7" t="inlineStr">
        <is>
          <t>ff_subsidy_explicit_pct_gdp</t>
        </is>
      </c>
      <c r="G139" s="7" t="n">
        <v>0.115</v>
      </c>
      <c r="H139" s="7" t="inlineStr">
        <is>
          <t>2024</t>
        </is>
      </c>
      <c r="I139" s="7" t="inlineStr">
        <is>
          <t>imffossilfuelsubsidiesdata.xlsb</t>
        </is>
      </c>
    </row>
    <row r="140">
      <c r="A140" s="7" t="inlineStr">
        <is>
          <t>AUS</t>
        </is>
      </c>
      <c r="B140" s="7" t="inlineStr">
        <is>
          <t>Australia</t>
        </is>
      </c>
      <c r="C140" s="7" t="inlineStr">
        <is>
          <t>East Asia &amp; Pacific</t>
        </is>
      </c>
      <c r="D140" s="7" t="inlineStr">
        <is>
          <t>High income</t>
        </is>
      </c>
      <c r="E140" s="7" t="b">
        <v>0</v>
      </c>
      <c r="F140" s="7" t="inlineStr">
        <is>
          <t>fuel_exports_pct_merch</t>
        </is>
      </c>
      <c r="G140" s="7" t="n">
        <v>26.894</v>
      </c>
      <c r="H140" s="7" t="inlineStr">
        <is>
          <t>2025</t>
        </is>
      </c>
      <c r="I140" s="7" t="inlineStr">
        <is>
          <t>API_TX_VAL_FUEL_ZS_UN_DS2_en_csv_v2_33055.zip</t>
        </is>
      </c>
    </row>
    <row r="141">
      <c r="A141" s="7" t="inlineStr">
        <is>
          <t>AUS</t>
        </is>
      </c>
      <c r="B141" s="7" t="inlineStr">
        <is>
          <t>Australia</t>
        </is>
      </c>
      <c r="C141" s="7" t="inlineStr">
        <is>
          <t>East Asia &amp; Pacific</t>
        </is>
      </c>
      <c r="D141" s="7" t="inlineStr">
        <is>
          <t>High income</t>
        </is>
      </c>
      <c r="E141" s="7" t="b">
        <v>0</v>
      </c>
      <c r="F141" s="7" t="inlineStr">
        <is>
          <t>gen_coal_twh</t>
        </is>
      </c>
      <c r="G141" s="7" t="n">
        <v>127.33</v>
      </c>
      <c r="H141" s="7" t="n">
        <v>2024</v>
      </c>
      <c r="I141" s="7" t="inlineStr">
        <is>
          <t>release_generation_yearly_global.csv (Ember)</t>
        </is>
      </c>
    </row>
    <row r="142">
      <c r="A142" s="7" t="inlineStr">
        <is>
          <t>AUS</t>
        </is>
      </c>
      <c r="B142" s="7" t="inlineStr">
        <is>
          <t>Australia</t>
        </is>
      </c>
      <c r="C142" s="7" t="inlineStr">
        <is>
          <t>East Asia &amp; Pacific</t>
        </is>
      </c>
      <c r="D142" s="7" t="inlineStr">
        <is>
          <t>High income</t>
        </is>
      </c>
      <c r="E142" s="7" t="b">
        <v>0</v>
      </c>
      <c r="F142" s="7" t="inlineStr">
        <is>
          <t>gen_gas_twh</t>
        </is>
      </c>
      <c r="G142" s="7" t="n">
        <v>49.1</v>
      </c>
      <c r="H142" s="7" t="n">
        <v>2024</v>
      </c>
      <c r="I142" s="7" t="inlineStr">
        <is>
          <t>release_generation_yearly_global.csv (Ember)</t>
        </is>
      </c>
    </row>
    <row r="143">
      <c r="A143" s="7" t="inlineStr">
        <is>
          <t>AUS</t>
        </is>
      </c>
      <c r="B143" s="7" t="inlineStr">
        <is>
          <t>Australia</t>
        </is>
      </c>
      <c r="C143" s="7" t="inlineStr">
        <is>
          <t>East Asia &amp; Pacific</t>
        </is>
      </c>
      <c r="D143" s="7" t="inlineStr">
        <is>
          <t>High income</t>
        </is>
      </c>
      <c r="E143" s="7" t="b">
        <v>0</v>
      </c>
      <c r="F143" s="7" t="inlineStr">
        <is>
          <t>gen_oil_twh</t>
        </is>
      </c>
      <c r="G143" s="7" t="n">
        <v>6.42</v>
      </c>
      <c r="H143" s="7" t="n">
        <v>2024</v>
      </c>
      <c r="I143" s="7" t="inlineStr">
        <is>
          <t>release_generation_yearly_global.csv (Ember)</t>
        </is>
      </c>
    </row>
    <row r="144">
      <c r="A144" s="7" t="inlineStr">
        <is>
          <t>AUS</t>
        </is>
      </c>
      <c r="B144" s="7" t="inlineStr">
        <is>
          <t>Australia</t>
        </is>
      </c>
      <c r="C144" s="7" t="inlineStr">
        <is>
          <t>East Asia &amp; Pacific</t>
        </is>
      </c>
      <c r="D144" s="7" t="inlineStr">
        <is>
          <t>High income</t>
        </is>
      </c>
      <c r="E144" s="7" t="b">
        <v>0</v>
      </c>
      <c r="F144" s="7" t="inlineStr">
        <is>
          <t>gen_total_twh</t>
        </is>
      </c>
      <c r="G144" s="7" t="n">
        <v>281.64</v>
      </c>
      <c r="H144" s="7" t="n">
        <v>2024</v>
      </c>
      <c r="I144" s="7" t="inlineStr">
        <is>
          <t>release_generation_yearly_global.csv (Ember)</t>
        </is>
      </c>
    </row>
    <row r="145">
      <c r="A145" s="7" t="inlineStr">
        <is>
          <t>AUS</t>
        </is>
      </c>
      <c r="B145" s="7" t="inlineStr">
        <is>
          <t>Australia</t>
        </is>
      </c>
      <c r="C145" s="7" t="inlineStr">
        <is>
          <t>East Asia &amp; Pacific</t>
        </is>
      </c>
      <c r="D145" s="7" t="inlineStr">
        <is>
          <t>High income</t>
        </is>
      </c>
      <c r="E145" s="7" t="b">
        <v>0</v>
      </c>
      <c r="F145" s="7" t="inlineStr">
        <is>
          <t>price_coal_power_usd_gj</t>
        </is>
      </c>
      <c r="G145" s="7" t="n">
        <v>4.461</v>
      </c>
      <c r="H145" s="7" t="inlineStr">
        <is>
          <t>2024</t>
        </is>
      </c>
      <c r="I145" s="7" t="inlineStr">
        <is>
          <t>imffossilfuelsubsidiesdata.xlsb</t>
        </is>
      </c>
    </row>
    <row r="146">
      <c r="A146" s="7" t="inlineStr">
        <is>
          <t>AUS</t>
        </is>
      </c>
      <c r="B146" s="7" t="inlineStr">
        <is>
          <t>Australia</t>
        </is>
      </c>
      <c r="C146" s="7" t="inlineStr">
        <is>
          <t>East Asia &amp; Pacific</t>
        </is>
      </c>
      <c r="D146" s="7" t="inlineStr">
        <is>
          <t>High income</t>
        </is>
      </c>
      <c r="E146" s="7" t="b">
        <v>0</v>
      </c>
      <c r="F146" s="7" t="inlineStr">
        <is>
          <t>price_electricity_residential_usd_kwh</t>
        </is>
      </c>
      <c r="G146" s="7" t="n">
        <v>0.257</v>
      </c>
      <c r="H146" s="7" t="inlineStr">
        <is>
          <t>2024</t>
        </is>
      </c>
      <c r="I146" s="7" t="inlineStr">
        <is>
          <t>imffossilfuelsubsidiesdata.xlsb</t>
        </is>
      </c>
    </row>
    <row r="147">
      <c r="A147" s="7" t="inlineStr">
        <is>
          <t>AUS</t>
        </is>
      </c>
      <c r="B147" s="7" t="inlineStr">
        <is>
          <t>Australia</t>
        </is>
      </c>
      <c r="C147" s="7" t="inlineStr">
        <is>
          <t>East Asia &amp; Pacific</t>
        </is>
      </c>
      <c r="D147" s="7" t="inlineStr">
        <is>
          <t>High income</t>
        </is>
      </c>
      <c r="E147" s="7" t="b">
        <v>0</v>
      </c>
      <c r="F147" s="7" t="inlineStr">
        <is>
          <t>price_gas_industry_usd_gj</t>
        </is>
      </c>
      <c r="G147" s="7" t="n">
        <v>11.238</v>
      </c>
      <c r="H147" s="7" t="inlineStr">
        <is>
          <t>2024</t>
        </is>
      </c>
      <c r="I147" s="7" t="inlineStr">
        <is>
          <t>imffossilfuelsubsidiesdata.xlsb</t>
        </is>
      </c>
    </row>
    <row r="148">
      <c r="A148" s="7" t="inlineStr">
        <is>
          <t>AUS</t>
        </is>
      </c>
      <c r="B148" s="7" t="inlineStr">
        <is>
          <t>Australia</t>
        </is>
      </c>
      <c r="C148" s="7" t="inlineStr">
        <is>
          <t>East Asia &amp; Pacific</t>
        </is>
      </c>
      <c r="D148" s="7" t="inlineStr">
        <is>
          <t>High income</t>
        </is>
      </c>
      <c r="E148" s="7" t="b">
        <v>0</v>
      </c>
      <c r="F148" s="7" t="inlineStr">
        <is>
          <t>price_gas_power_usd_gj</t>
        </is>
      </c>
      <c r="G148" s="7" t="n">
        <v>9.914</v>
      </c>
      <c r="H148" s="7" t="inlineStr">
        <is>
          <t>2024</t>
        </is>
      </c>
      <c r="I148" s="7" t="inlineStr">
        <is>
          <t>imffossilfuelsubsidiesdata.xlsb</t>
        </is>
      </c>
    </row>
    <row r="149">
      <c r="A149" s="7" t="inlineStr">
        <is>
          <t>AUS</t>
        </is>
      </c>
      <c r="B149" s="7" t="inlineStr">
        <is>
          <t>Australia</t>
        </is>
      </c>
      <c r="C149" s="7" t="inlineStr">
        <is>
          <t>East Asia &amp; Pacific</t>
        </is>
      </c>
      <c r="D149" s="7" t="inlineStr">
        <is>
          <t>High income</t>
        </is>
      </c>
      <c r="E149" s="7" t="b">
        <v>0</v>
      </c>
      <c r="F149" s="7" t="inlineStr">
        <is>
          <t>rise_renewable_energy_score</t>
        </is>
      </c>
      <c r="G149" s="7" t="n">
        <v>67.98099999999999</v>
      </c>
      <c r="H149" s="7" t="inlineStr">
        <is>
          <t>2023</t>
        </is>
      </c>
      <c r="I149" s="7" t="inlineStr">
        <is>
          <t>WB_RISE_WIDEF.csv</t>
        </is>
      </c>
    </row>
    <row r="150">
      <c r="A150" s="7" t="inlineStr">
        <is>
          <t>AUT</t>
        </is>
      </c>
      <c r="B150" s="7" t="inlineStr">
        <is>
          <t>Austria</t>
        </is>
      </c>
      <c r="C150" s="7" t="inlineStr">
        <is>
          <t>Europe &amp; Central Asia</t>
        </is>
      </c>
      <c r="D150" s="7" t="inlineStr">
        <is>
          <t>High income</t>
        </is>
      </c>
      <c r="E150" s="7" t="b">
        <v>0</v>
      </c>
      <c r="F150" s="7" t="inlineStr">
        <is>
          <t>coal_rents_pct_gdp</t>
        </is>
      </c>
      <c r="G150" s="7" t="n">
        <v>0</v>
      </c>
      <c r="H150" s="7" t="inlineStr">
        <is>
          <t>2021</t>
        </is>
      </c>
      <c r="I150" s="7" t="inlineStr">
        <is>
          <t>API_NY_GDP_COAL_RT_ZS_DS2_en_csv_v2_35370.zip</t>
        </is>
      </c>
    </row>
    <row r="151">
      <c r="A151" s="7" t="inlineStr">
        <is>
          <t>AUT</t>
        </is>
      </c>
      <c r="B151" s="7" t="inlineStr">
        <is>
          <t>Austria</t>
        </is>
      </c>
      <c r="C151" s="7" t="inlineStr">
        <is>
          <t>Europe &amp; Central Asia</t>
        </is>
      </c>
      <c r="D151" s="7" t="inlineStr">
        <is>
          <t>High income</t>
        </is>
      </c>
      <c r="E151" s="7" t="b">
        <v>0</v>
      </c>
      <c r="F151" s="7" t="inlineStr">
        <is>
          <t>em_coal_mt</t>
        </is>
      </c>
      <c r="G151" s="7" t="n">
        <v>0</v>
      </c>
      <c r="H151" s="7" t="n">
        <v>2024</v>
      </c>
      <c r="I151" s="7" t="inlineStr">
        <is>
          <t>release_generation_yearly_global.csv (Ember)</t>
        </is>
      </c>
    </row>
    <row r="152">
      <c r="A152" s="7" t="inlineStr">
        <is>
          <t>AUT</t>
        </is>
      </c>
      <c r="B152" s="7" t="inlineStr">
        <is>
          <t>Austria</t>
        </is>
      </c>
      <c r="C152" s="7" t="inlineStr">
        <is>
          <t>Europe &amp; Central Asia</t>
        </is>
      </c>
      <c r="D152" s="7" t="inlineStr">
        <is>
          <t>High income</t>
        </is>
      </c>
      <c r="E152" s="7" t="b">
        <v>0</v>
      </c>
      <c r="F152" s="7" t="inlineStr">
        <is>
          <t>em_gas_mt</t>
        </is>
      </c>
      <c r="G152" s="7" t="n">
        <v>3.373</v>
      </c>
      <c r="H152" s="7" t="n">
        <v>2024</v>
      </c>
      <c r="I152" s="7" t="inlineStr">
        <is>
          <t>release_generation_yearly_global.csv (Ember)</t>
        </is>
      </c>
    </row>
    <row r="153">
      <c r="A153" s="7" t="inlineStr">
        <is>
          <t>AUT</t>
        </is>
      </c>
      <c r="B153" s="7" t="inlineStr">
        <is>
          <t>Austria</t>
        </is>
      </c>
      <c r="C153" s="7" t="inlineStr">
        <is>
          <t>Europe &amp; Central Asia</t>
        </is>
      </c>
      <c r="D153" s="7" t="inlineStr">
        <is>
          <t>High income</t>
        </is>
      </c>
      <c r="E153" s="7" t="b">
        <v>0</v>
      </c>
      <c r="F153" s="7" t="inlineStr">
        <is>
          <t>em_oil_mt</t>
        </is>
      </c>
      <c r="G153" s="7" t="n">
        <v>2.152</v>
      </c>
      <c r="H153" s="7" t="n">
        <v>2024</v>
      </c>
      <c r="I153" s="7" t="inlineStr">
        <is>
          <t>release_generation_yearly_global.csv (Ember)</t>
        </is>
      </c>
    </row>
    <row r="154">
      <c r="A154" s="7" t="inlineStr">
        <is>
          <t>AUT</t>
        </is>
      </c>
      <c r="B154" s="7" t="inlineStr">
        <is>
          <t>Austria</t>
        </is>
      </c>
      <c r="C154" s="7" t="inlineStr">
        <is>
          <t>Europe &amp; Central Asia</t>
        </is>
      </c>
      <c r="D154" s="7" t="inlineStr">
        <is>
          <t>High income</t>
        </is>
      </c>
      <c r="E154" s="7" t="b">
        <v>0</v>
      </c>
      <c r="F154" s="7" t="inlineStr">
        <is>
          <t>ff_subsidy_explicit_pct_gdp</t>
        </is>
      </c>
      <c r="G154" s="7" t="n">
        <v>0.041</v>
      </c>
      <c r="H154" s="7" t="inlineStr">
        <is>
          <t>2024</t>
        </is>
      </c>
      <c r="I154" s="7" t="inlineStr">
        <is>
          <t>imffossilfuelsubsidiesdata.xlsb</t>
        </is>
      </c>
    </row>
    <row r="155">
      <c r="A155" s="7" t="inlineStr">
        <is>
          <t>AUT</t>
        </is>
      </c>
      <c r="B155" s="7" t="inlineStr">
        <is>
          <t>Austria</t>
        </is>
      </c>
      <c r="C155" s="7" t="inlineStr">
        <is>
          <t>Europe &amp; Central Asia</t>
        </is>
      </c>
      <c r="D155" s="7" t="inlineStr">
        <is>
          <t>High income</t>
        </is>
      </c>
      <c r="E155" s="7" t="b">
        <v>0</v>
      </c>
      <c r="F155" s="7" t="inlineStr">
        <is>
          <t>fuel_exports_pct_merch</t>
        </is>
      </c>
      <c r="G155" s="7" t="n">
        <v>2.771</v>
      </c>
      <c r="H155" s="7" t="inlineStr">
        <is>
          <t>2024</t>
        </is>
      </c>
      <c r="I155" s="7" t="inlineStr">
        <is>
          <t>API_TX_VAL_FUEL_ZS_UN_DS2_en_csv_v2_33055.zip</t>
        </is>
      </c>
    </row>
    <row r="156">
      <c r="A156" s="7" t="inlineStr">
        <is>
          <t>AUT</t>
        </is>
      </c>
      <c r="B156" s="7" t="inlineStr">
        <is>
          <t>Austria</t>
        </is>
      </c>
      <c r="C156" s="7" t="inlineStr">
        <is>
          <t>Europe &amp; Central Asia</t>
        </is>
      </c>
      <c r="D156" s="7" t="inlineStr">
        <is>
          <t>High income</t>
        </is>
      </c>
      <c r="E156" s="7" t="b">
        <v>0</v>
      </c>
      <c r="F156" s="7" t="inlineStr">
        <is>
          <t>gen_coal_twh</t>
        </is>
      </c>
      <c r="G156" s="7" t="n">
        <v>0</v>
      </c>
      <c r="H156" s="7" t="n">
        <v>2024</v>
      </c>
      <c r="I156" s="7" t="inlineStr">
        <is>
          <t>release_generation_yearly_global.csv (Ember)</t>
        </is>
      </c>
    </row>
    <row r="157">
      <c r="A157" s="7" t="inlineStr">
        <is>
          <t>AUT</t>
        </is>
      </c>
      <c r="B157" s="7" t="inlineStr">
        <is>
          <t>Austria</t>
        </is>
      </c>
      <c r="C157" s="7" t="inlineStr">
        <is>
          <t>Europe &amp; Central Asia</t>
        </is>
      </c>
      <c r="D157" s="7" t="inlineStr">
        <is>
          <t>High income</t>
        </is>
      </c>
      <c r="E157" s="7" t="b">
        <v>0</v>
      </c>
      <c r="F157" s="7" t="inlineStr">
        <is>
          <t>gen_gas_twh</t>
        </is>
      </c>
      <c r="G157" s="7" t="n">
        <v>7.54</v>
      </c>
      <c r="H157" s="7" t="n">
        <v>2024</v>
      </c>
      <c r="I157" s="7" t="inlineStr">
        <is>
          <t>release_generation_yearly_global.csv (Ember)</t>
        </is>
      </c>
    </row>
    <row r="158">
      <c r="A158" s="7" t="inlineStr">
        <is>
          <t>AUT</t>
        </is>
      </c>
      <c r="B158" s="7" t="inlineStr">
        <is>
          <t>Austria</t>
        </is>
      </c>
      <c r="C158" s="7" t="inlineStr">
        <is>
          <t>Europe &amp; Central Asia</t>
        </is>
      </c>
      <c r="D158" s="7" t="inlineStr">
        <is>
          <t>High income</t>
        </is>
      </c>
      <c r="E158" s="7" t="b">
        <v>0</v>
      </c>
      <c r="F158" s="7" t="inlineStr">
        <is>
          <t>gen_oil_twh</t>
        </is>
      </c>
      <c r="G158" s="7" t="n">
        <v>3.27</v>
      </c>
      <c r="H158" s="7" t="n">
        <v>2024</v>
      </c>
      <c r="I158" s="7" t="inlineStr">
        <is>
          <t>release_generation_yearly_global.csv (Ember)</t>
        </is>
      </c>
    </row>
    <row r="159">
      <c r="A159" s="7" t="inlineStr">
        <is>
          <t>AUT</t>
        </is>
      </c>
      <c r="B159" s="7" t="inlineStr">
        <is>
          <t>Austria</t>
        </is>
      </c>
      <c r="C159" s="7" t="inlineStr">
        <is>
          <t>Europe &amp; Central Asia</t>
        </is>
      </c>
      <c r="D159" s="7" t="inlineStr">
        <is>
          <t>High income</t>
        </is>
      </c>
      <c r="E159" s="7" t="b">
        <v>0</v>
      </c>
      <c r="F159" s="7" t="inlineStr">
        <is>
          <t>gen_total_twh</t>
        </is>
      </c>
      <c r="G159" s="7" t="n">
        <v>78.47</v>
      </c>
      <c r="H159" s="7" t="n">
        <v>2024</v>
      </c>
      <c r="I159" s="7" t="inlineStr">
        <is>
          <t>release_generation_yearly_global.csv (Ember)</t>
        </is>
      </c>
    </row>
    <row r="160">
      <c r="A160" s="7" t="inlineStr">
        <is>
          <t>AUT</t>
        </is>
      </c>
      <c r="B160" s="7" t="inlineStr">
        <is>
          <t>Austria</t>
        </is>
      </c>
      <c r="C160" s="7" t="inlineStr">
        <is>
          <t>Europe &amp; Central Asia</t>
        </is>
      </c>
      <c r="D160" s="7" t="inlineStr">
        <is>
          <t>High income</t>
        </is>
      </c>
      <c r="E160" s="7" t="b">
        <v>0</v>
      </c>
      <c r="F160" s="7" t="inlineStr">
        <is>
          <t>price_coal_power_usd_gj</t>
        </is>
      </c>
      <c r="G160" s="7" t="n">
        <v>18.327</v>
      </c>
      <c r="H160" s="7" t="inlineStr">
        <is>
          <t>2024</t>
        </is>
      </c>
      <c r="I160" s="7" t="inlineStr">
        <is>
          <t>imffossilfuelsubsidiesdata.xlsb</t>
        </is>
      </c>
    </row>
    <row r="161">
      <c r="A161" s="7" t="inlineStr">
        <is>
          <t>AUT</t>
        </is>
      </c>
      <c r="B161" s="7" t="inlineStr">
        <is>
          <t>Austria</t>
        </is>
      </c>
      <c r="C161" s="7" t="inlineStr">
        <is>
          <t>Europe &amp; Central Asia</t>
        </is>
      </c>
      <c r="D161" s="7" t="inlineStr">
        <is>
          <t>High income</t>
        </is>
      </c>
      <c r="E161" s="7" t="b">
        <v>0</v>
      </c>
      <c r="F161" s="7" t="inlineStr">
        <is>
          <t>price_electricity_residential_usd_kwh</t>
        </is>
      </c>
      <c r="G161" s="7" t="n">
        <v>0.28</v>
      </c>
      <c r="H161" s="7" t="inlineStr">
        <is>
          <t>2024</t>
        </is>
      </c>
      <c r="I161" s="7" t="inlineStr">
        <is>
          <t>imffossilfuelsubsidiesdata.xlsb</t>
        </is>
      </c>
    </row>
    <row r="162">
      <c r="A162" s="7" t="inlineStr">
        <is>
          <t>AUT</t>
        </is>
      </c>
      <c r="B162" s="7" t="inlineStr">
        <is>
          <t>Austria</t>
        </is>
      </c>
      <c r="C162" s="7" t="inlineStr">
        <is>
          <t>Europe &amp; Central Asia</t>
        </is>
      </c>
      <c r="D162" s="7" t="inlineStr">
        <is>
          <t>High income</t>
        </is>
      </c>
      <c r="E162" s="7" t="b">
        <v>0</v>
      </c>
      <c r="F162" s="7" t="inlineStr">
        <is>
          <t>price_gas_industry_usd_gj</t>
        </is>
      </c>
      <c r="G162" s="7" t="n">
        <v>20.896</v>
      </c>
      <c r="H162" s="7" t="inlineStr">
        <is>
          <t>2024</t>
        </is>
      </c>
      <c r="I162" s="7" t="inlineStr">
        <is>
          <t>imffossilfuelsubsidiesdata.xlsb</t>
        </is>
      </c>
    </row>
    <row r="163">
      <c r="A163" s="7" t="inlineStr">
        <is>
          <t>AUT</t>
        </is>
      </c>
      <c r="B163" s="7" t="inlineStr">
        <is>
          <t>Austria</t>
        </is>
      </c>
      <c r="C163" s="7" t="inlineStr">
        <is>
          <t>Europe &amp; Central Asia</t>
        </is>
      </c>
      <c r="D163" s="7" t="inlineStr">
        <is>
          <t>High income</t>
        </is>
      </c>
      <c r="E163" s="7" t="b">
        <v>0</v>
      </c>
      <c r="F163" s="7" t="inlineStr">
        <is>
          <t>price_gas_power_usd_gj</t>
        </is>
      </c>
      <c r="G163" s="7" t="n">
        <v>20.896</v>
      </c>
      <c r="H163" s="7" t="inlineStr">
        <is>
          <t>2024</t>
        </is>
      </c>
      <c r="I163" s="7" t="inlineStr">
        <is>
          <t>imffossilfuelsubsidiesdata.xlsb</t>
        </is>
      </c>
    </row>
    <row r="164">
      <c r="A164" s="7" t="inlineStr">
        <is>
          <t>AUT</t>
        </is>
      </c>
      <c r="B164" s="7" t="inlineStr">
        <is>
          <t>Austria</t>
        </is>
      </c>
      <c r="C164" s="7" t="inlineStr">
        <is>
          <t>Europe &amp; Central Asia</t>
        </is>
      </c>
      <c r="D164" s="7" t="inlineStr">
        <is>
          <t>High income</t>
        </is>
      </c>
      <c r="E164" s="7" t="b">
        <v>0</v>
      </c>
      <c r="F164" s="7" t="inlineStr">
        <is>
          <t>rise_renewable_energy_score</t>
        </is>
      </c>
      <c r="G164" s="7" t="n">
        <v>82.426</v>
      </c>
      <c r="H164" s="7" t="inlineStr">
        <is>
          <t>2023</t>
        </is>
      </c>
      <c r="I164" s="7" t="inlineStr">
        <is>
          <t>WB_RISE_WIDEF.csv</t>
        </is>
      </c>
    </row>
    <row r="165">
      <c r="A165" s="7" t="inlineStr">
        <is>
          <t>AZE</t>
        </is>
      </c>
      <c r="B165" s="7" t="inlineStr">
        <is>
          <t>Azerbaijan</t>
        </is>
      </c>
      <c r="C165" s="7" t="inlineStr">
        <is>
          <t>Europe &amp; Central Asia</t>
        </is>
      </c>
      <c r="D165" s="7" t="inlineStr">
        <is>
          <t>Upper middle income</t>
        </is>
      </c>
      <c r="E165" s="7" t="b">
        <v>1</v>
      </c>
      <c r="F165" s="7" t="inlineStr">
        <is>
          <t>coal_rents_pct_gdp</t>
        </is>
      </c>
      <c r="G165" s="7" t="n">
        <v>0</v>
      </c>
      <c r="H165" s="7" t="inlineStr">
        <is>
          <t>2021</t>
        </is>
      </c>
      <c r="I165" s="7" t="inlineStr">
        <is>
          <t>API_NY_GDP_COAL_RT_ZS_DS2_en_csv_v2_35370.zip</t>
        </is>
      </c>
    </row>
    <row r="166">
      <c r="A166" s="7" t="inlineStr">
        <is>
          <t>AZE</t>
        </is>
      </c>
      <c r="B166" s="7" t="inlineStr">
        <is>
          <t>Azerbaijan</t>
        </is>
      </c>
      <c r="C166" s="7" t="inlineStr">
        <is>
          <t>Europe &amp; Central Asia</t>
        </is>
      </c>
      <c r="D166" s="7" t="inlineStr">
        <is>
          <t>Upper middle income</t>
        </is>
      </c>
      <c r="E166" s="7" t="b">
        <v>1</v>
      </c>
      <c r="F166" s="7" t="inlineStr">
        <is>
          <t>em_coal_mt</t>
        </is>
      </c>
      <c r="G166" s="7" t="n">
        <v>0</v>
      </c>
      <c r="H166" s="7" t="n">
        <v>2024</v>
      </c>
      <c r="I166" s="7" t="inlineStr">
        <is>
          <t>release_generation_yearly_global.csv (Ember)</t>
        </is>
      </c>
    </row>
    <row r="167">
      <c r="A167" s="7" t="inlineStr">
        <is>
          <t>AZE</t>
        </is>
      </c>
      <c r="B167" s="7" t="inlineStr">
        <is>
          <t>Azerbaijan</t>
        </is>
      </c>
      <c r="C167" s="7" t="inlineStr">
        <is>
          <t>Europe &amp; Central Asia</t>
        </is>
      </c>
      <c r="D167" s="7" t="inlineStr">
        <is>
          <t>Upper middle income</t>
        </is>
      </c>
      <c r="E167" s="7" t="b">
        <v>1</v>
      </c>
      <c r="F167" s="7" t="inlineStr">
        <is>
          <t>em_gas_mt</t>
        </is>
      </c>
      <c r="G167" s="7" t="n">
        <v>17.518</v>
      </c>
      <c r="H167" s="7" t="n">
        <v>2024</v>
      </c>
      <c r="I167" s="7" t="inlineStr">
        <is>
          <t>release_generation_yearly_global.csv (Ember)</t>
        </is>
      </c>
    </row>
    <row r="168">
      <c r="A168" s="7" t="inlineStr">
        <is>
          <t>AZE</t>
        </is>
      </c>
      <c r="B168" s="7" t="inlineStr">
        <is>
          <t>Azerbaijan</t>
        </is>
      </c>
      <c r="C168" s="7" t="inlineStr">
        <is>
          <t>Europe &amp; Central Asia</t>
        </is>
      </c>
      <c r="D168" s="7" t="inlineStr">
        <is>
          <t>Upper middle income</t>
        </is>
      </c>
      <c r="E168" s="7" t="b">
        <v>1</v>
      </c>
      <c r="F168" s="7" t="inlineStr">
        <is>
          <t>em_oil_mt</t>
        </is>
      </c>
      <c r="G168" s="7" t="n">
        <v>0.046</v>
      </c>
      <c r="H168" s="7" t="n">
        <v>2024</v>
      </c>
      <c r="I168" s="7" t="inlineStr">
        <is>
          <t>release_generation_yearly_global.csv (Ember)</t>
        </is>
      </c>
    </row>
    <row r="169">
      <c r="A169" s="7" t="inlineStr">
        <is>
          <t>AZE</t>
        </is>
      </c>
      <c r="B169" s="7" t="inlineStr">
        <is>
          <t>Azerbaijan</t>
        </is>
      </c>
      <c r="C169" s="7" t="inlineStr">
        <is>
          <t>Europe &amp; Central Asia</t>
        </is>
      </c>
      <c r="D169" s="7" t="inlineStr">
        <is>
          <t>Upper middle income</t>
        </is>
      </c>
      <c r="E169" s="7" t="b">
        <v>1</v>
      </c>
      <c r="F169" s="7" t="inlineStr">
        <is>
          <t>ff_subsidy_explicit_pct_gdp</t>
        </is>
      </c>
      <c r="G169" s="7" t="n">
        <v>5.538</v>
      </c>
      <c r="H169" s="7" t="inlineStr">
        <is>
          <t>2024</t>
        </is>
      </c>
      <c r="I169" s="7" t="inlineStr">
        <is>
          <t>imffossilfuelsubsidiesdata.xlsb</t>
        </is>
      </c>
    </row>
    <row r="170">
      <c r="A170" s="7" t="inlineStr">
        <is>
          <t>AZE</t>
        </is>
      </c>
      <c r="B170" s="7" t="inlineStr">
        <is>
          <t>Azerbaijan</t>
        </is>
      </c>
      <c r="C170" s="7" t="inlineStr">
        <is>
          <t>Europe &amp; Central Asia</t>
        </is>
      </c>
      <c r="D170" s="7" t="inlineStr">
        <is>
          <t>Upper middle income</t>
        </is>
      </c>
      <c r="E170" s="7" t="b">
        <v>1</v>
      </c>
      <c r="F170" s="7" t="inlineStr">
        <is>
          <t>fuel_exports_pct_merch</t>
        </is>
      </c>
      <c r="G170" s="7" t="n">
        <v>85.92400000000001</v>
      </c>
      <c r="H170" s="7" t="inlineStr">
        <is>
          <t>2025</t>
        </is>
      </c>
      <c r="I170" s="7" t="inlineStr">
        <is>
          <t>API_TX_VAL_FUEL_ZS_UN_DS2_en_csv_v2_33055.zip</t>
        </is>
      </c>
    </row>
    <row r="171">
      <c r="A171" s="7" t="inlineStr">
        <is>
          <t>AZE</t>
        </is>
      </c>
      <c r="B171" s="7" t="inlineStr">
        <is>
          <t>Azerbaijan</t>
        </is>
      </c>
      <c r="C171" s="7" t="inlineStr">
        <is>
          <t>Europe &amp; Central Asia</t>
        </is>
      </c>
      <c r="D171" s="7" t="inlineStr">
        <is>
          <t>Upper middle income</t>
        </is>
      </c>
      <c r="E171" s="7" t="b">
        <v>1</v>
      </c>
      <c r="F171" s="7" t="inlineStr">
        <is>
          <t>gen_coal_twh</t>
        </is>
      </c>
      <c r="G171" s="7" t="n">
        <v>0</v>
      </c>
      <c r="H171" s="7" t="n">
        <v>2024</v>
      </c>
      <c r="I171" s="7" t="inlineStr">
        <is>
          <t>release_generation_yearly_global.csv (Ember)</t>
        </is>
      </c>
    </row>
    <row r="172">
      <c r="A172" s="7" t="inlineStr">
        <is>
          <t>AZE</t>
        </is>
      </c>
      <c r="B172" s="7" t="inlineStr">
        <is>
          <t>Azerbaijan</t>
        </is>
      </c>
      <c r="C172" s="7" t="inlineStr">
        <is>
          <t>Europe &amp; Central Asia</t>
        </is>
      </c>
      <c r="D172" s="7" t="inlineStr">
        <is>
          <t>Upper middle income</t>
        </is>
      </c>
      <c r="E172" s="7" t="b">
        <v>1</v>
      </c>
      <c r="F172" s="7" t="inlineStr">
        <is>
          <t>gen_gas_twh</t>
        </is>
      </c>
      <c r="G172" s="7" t="n">
        <v>24.5</v>
      </c>
      <c r="H172" s="7" t="n">
        <v>2024</v>
      </c>
      <c r="I172" s="7" t="inlineStr">
        <is>
          <t>release_generation_yearly_global.csv (Ember)</t>
        </is>
      </c>
    </row>
    <row r="173">
      <c r="A173" s="7" t="inlineStr">
        <is>
          <t>AZE</t>
        </is>
      </c>
      <c r="B173" s="7" t="inlineStr">
        <is>
          <t>Azerbaijan</t>
        </is>
      </c>
      <c r="C173" s="7" t="inlineStr">
        <is>
          <t>Europe &amp; Central Asia</t>
        </is>
      </c>
      <c r="D173" s="7" t="inlineStr">
        <is>
          <t>Upper middle income</t>
        </is>
      </c>
      <c r="E173" s="7" t="b">
        <v>1</v>
      </c>
      <c r="F173" s="7" t="inlineStr">
        <is>
          <t>gen_oil_twh</t>
        </is>
      </c>
      <c r="G173" s="7" t="n">
        <v>0.07000000000000001</v>
      </c>
      <c r="H173" s="7" t="n">
        <v>2024</v>
      </c>
      <c r="I173" s="7" t="inlineStr">
        <is>
          <t>release_generation_yearly_global.csv (Ember)</t>
        </is>
      </c>
    </row>
    <row r="174">
      <c r="A174" s="7" t="inlineStr">
        <is>
          <t>AZE</t>
        </is>
      </c>
      <c r="B174" s="7" t="inlineStr">
        <is>
          <t>Azerbaijan</t>
        </is>
      </c>
      <c r="C174" s="7" t="inlineStr">
        <is>
          <t>Europe &amp; Central Asia</t>
        </is>
      </c>
      <c r="D174" s="7" t="inlineStr">
        <is>
          <t>Upper middle income</t>
        </is>
      </c>
      <c r="E174" s="7" t="b">
        <v>1</v>
      </c>
      <c r="F174" s="7" t="inlineStr">
        <is>
          <t>gen_total_twh</t>
        </is>
      </c>
      <c r="G174" s="7" t="n">
        <v>27.84</v>
      </c>
      <c r="H174" s="7" t="n">
        <v>2024</v>
      </c>
      <c r="I174" s="7" t="inlineStr">
        <is>
          <t>release_generation_yearly_global.csv (Ember)</t>
        </is>
      </c>
    </row>
    <row r="175">
      <c r="A175" s="7" t="inlineStr">
        <is>
          <t>AZE</t>
        </is>
      </c>
      <c r="B175" s="7" t="inlineStr">
        <is>
          <t>Azerbaijan</t>
        </is>
      </c>
      <c r="C175" s="7" t="inlineStr">
        <is>
          <t>Europe &amp; Central Asia</t>
        </is>
      </c>
      <c r="D175" s="7" t="inlineStr">
        <is>
          <t>Upper middle income</t>
        </is>
      </c>
      <c r="E175" s="7" t="b">
        <v>1</v>
      </c>
      <c r="F175" s="7" t="inlineStr">
        <is>
          <t>power_market_structure</t>
        </is>
      </c>
      <c r="G175" s="7" t="n">
        <v>1</v>
      </c>
      <c r="H175" s="7" t="inlineStr">
        <is>
          <t>2013</t>
        </is>
      </c>
      <c r="I175" s="7" t="inlineStr">
        <is>
          <t>dataverse_files.zip</t>
        </is>
      </c>
    </row>
    <row r="176">
      <c r="A176" s="7" t="inlineStr">
        <is>
          <t>AZE</t>
        </is>
      </c>
      <c r="B176" s="7" t="inlineStr">
        <is>
          <t>Azerbaijan</t>
        </is>
      </c>
      <c r="C176" s="7" t="inlineStr">
        <is>
          <t>Europe &amp; Central Asia</t>
        </is>
      </c>
      <c r="D176" s="7" t="inlineStr">
        <is>
          <t>Upper middle income</t>
        </is>
      </c>
      <c r="E176" s="7" t="b">
        <v>1</v>
      </c>
      <c r="F176" s="7" t="inlineStr">
        <is>
          <t>price_coal_power_usd_gj</t>
        </is>
      </c>
      <c r="G176" s="7" t="n">
        <v>4.371</v>
      </c>
      <c r="H176" s="7" t="inlineStr">
        <is>
          <t>2024</t>
        </is>
      </c>
      <c r="I176" s="7" t="inlineStr">
        <is>
          <t>imffossilfuelsubsidiesdata.xlsb</t>
        </is>
      </c>
    </row>
    <row r="177">
      <c r="A177" s="7" t="inlineStr">
        <is>
          <t>AZE</t>
        </is>
      </c>
      <c r="B177" s="7" t="inlineStr">
        <is>
          <t>Azerbaijan</t>
        </is>
      </c>
      <c r="C177" s="7" t="inlineStr">
        <is>
          <t>Europe &amp; Central Asia</t>
        </is>
      </c>
      <c r="D177" s="7" t="inlineStr">
        <is>
          <t>Upper middle income</t>
        </is>
      </c>
      <c r="E177" s="7" t="b">
        <v>1</v>
      </c>
      <c r="F177" s="7" t="inlineStr">
        <is>
          <t>price_electricity_residential_usd_kwh</t>
        </is>
      </c>
      <c r="G177" s="7" t="n">
        <v>0.046</v>
      </c>
      <c r="H177" s="7" t="inlineStr">
        <is>
          <t>2024</t>
        </is>
      </c>
      <c r="I177" s="7" t="inlineStr">
        <is>
          <t>imffossilfuelsubsidiesdata.xlsb</t>
        </is>
      </c>
    </row>
    <row r="178">
      <c r="A178" s="7" t="inlineStr">
        <is>
          <t>AZE</t>
        </is>
      </c>
      <c r="B178" s="7" t="inlineStr">
        <is>
          <t>Azerbaijan</t>
        </is>
      </c>
      <c r="C178" s="7" t="inlineStr">
        <is>
          <t>Europe &amp; Central Asia</t>
        </is>
      </c>
      <c r="D178" s="7" t="inlineStr">
        <is>
          <t>Upper middle income</t>
        </is>
      </c>
      <c r="E178" s="7" t="b">
        <v>1</v>
      </c>
      <c r="F178" s="7" t="inlineStr">
        <is>
          <t>price_gas_industry_usd_gj</t>
        </is>
      </c>
      <c r="G178" s="7" t="n">
        <v>3.758</v>
      </c>
      <c r="H178" s="7" t="inlineStr">
        <is>
          <t>2024</t>
        </is>
      </c>
      <c r="I178" s="7" t="inlineStr">
        <is>
          <t>imffossilfuelsubsidiesdata.xlsb</t>
        </is>
      </c>
    </row>
    <row r="179">
      <c r="A179" s="7" t="inlineStr">
        <is>
          <t>AZE</t>
        </is>
      </c>
      <c r="B179" s="7" t="inlineStr">
        <is>
          <t>Azerbaijan</t>
        </is>
      </c>
      <c r="C179" s="7" t="inlineStr">
        <is>
          <t>Europe &amp; Central Asia</t>
        </is>
      </c>
      <c r="D179" s="7" t="inlineStr">
        <is>
          <t>Upper middle income</t>
        </is>
      </c>
      <c r="E179" s="7" t="b">
        <v>1</v>
      </c>
      <c r="F179" s="7" t="inlineStr">
        <is>
          <t>price_gas_power_usd_gj</t>
        </is>
      </c>
      <c r="G179" s="7" t="n">
        <v>3.758</v>
      </c>
      <c r="H179" s="7" t="inlineStr">
        <is>
          <t>2024</t>
        </is>
      </c>
      <c r="I179" s="7" t="inlineStr">
        <is>
          <t>imffossilfuelsubsidiesdata.xlsb</t>
        </is>
      </c>
    </row>
    <row r="180">
      <c r="A180" s="7" t="inlineStr">
        <is>
          <t>AZE</t>
        </is>
      </c>
      <c r="B180" s="7" t="inlineStr">
        <is>
          <t>Azerbaijan</t>
        </is>
      </c>
      <c r="C180" s="7" t="inlineStr">
        <is>
          <t>Europe &amp; Central Asia</t>
        </is>
      </c>
      <c r="D180" s="7" t="inlineStr">
        <is>
          <t>Upper middle income</t>
        </is>
      </c>
      <c r="E180" s="7" t="b">
        <v>1</v>
      </c>
      <c r="F180" s="7" t="inlineStr">
        <is>
          <t>rise_renewable_energy_score</t>
        </is>
      </c>
      <c r="G180" s="7" t="n">
        <v>11.283</v>
      </c>
      <c r="H180" s="7" t="inlineStr">
        <is>
          <t>2023</t>
        </is>
      </c>
      <c r="I180" s="7" t="inlineStr">
        <is>
          <t>WB_RISE_WIDEF.csv</t>
        </is>
      </c>
    </row>
    <row r="181">
      <c r="A181" s="7" t="inlineStr">
        <is>
          <t>BDI</t>
        </is>
      </c>
      <c r="B181" s="7" t="inlineStr">
        <is>
          <t>Burundi</t>
        </is>
      </c>
      <c r="C181" s="7" t="inlineStr">
        <is>
          <t>Sub-Saharan Africa</t>
        </is>
      </c>
      <c r="D181" s="7" t="inlineStr">
        <is>
          <t>Low income</t>
        </is>
      </c>
      <c r="E181" s="7" t="b">
        <v>0</v>
      </c>
      <c r="F181" s="7" t="inlineStr">
        <is>
          <t>coal_rents_pct_gdp</t>
        </is>
      </c>
      <c r="G181" s="7" t="n">
        <v>0</v>
      </c>
      <c r="H181" s="7" t="inlineStr">
        <is>
          <t>2021</t>
        </is>
      </c>
      <c r="I181" s="7" t="inlineStr">
        <is>
          <t>API_NY_GDP_COAL_RT_ZS_DS2_en_csv_v2_35370.zip</t>
        </is>
      </c>
    </row>
    <row r="182">
      <c r="A182" s="7" t="inlineStr">
        <is>
          <t>BDI</t>
        </is>
      </c>
      <c r="B182" s="7" t="inlineStr">
        <is>
          <t>Burundi</t>
        </is>
      </c>
      <c r="C182" s="7" t="inlineStr">
        <is>
          <t>Sub-Saharan Africa</t>
        </is>
      </c>
      <c r="D182" s="7" t="inlineStr">
        <is>
          <t>Low income</t>
        </is>
      </c>
      <c r="E182" s="7" t="b">
        <v>0</v>
      </c>
      <c r="F182" s="7" t="inlineStr">
        <is>
          <t>em_coal_mt</t>
        </is>
      </c>
      <c r="G182" s="7" t="n">
        <v>0</v>
      </c>
      <c r="H182" s="7" t="n">
        <v>2024</v>
      </c>
      <c r="I182" s="7" t="inlineStr">
        <is>
          <t>release_generation_yearly_global.csv (Ember)</t>
        </is>
      </c>
    </row>
    <row r="183">
      <c r="A183" s="7" t="inlineStr">
        <is>
          <t>BDI</t>
        </is>
      </c>
      <c r="B183" s="7" t="inlineStr">
        <is>
          <t>Burundi</t>
        </is>
      </c>
      <c r="C183" s="7" t="inlineStr">
        <is>
          <t>Sub-Saharan Africa</t>
        </is>
      </c>
      <c r="D183" s="7" t="inlineStr">
        <is>
          <t>Low income</t>
        </is>
      </c>
      <c r="E183" s="7" t="b">
        <v>0</v>
      </c>
      <c r="F183" s="7" t="inlineStr">
        <is>
          <t>em_gas_mt</t>
        </is>
      </c>
      <c r="G183" s="7" t="n">
        <v>0</v>
      </c>
      <c r="H183" s="7" t="n">
        <v>2024</v>
      </c>
      <c r="I183" s="7" t="inlineStr">
        <is>
          <t>release_generation_yearly_global.csv (Ember)</t>
        </is>
      </c>
    </row>
    <row r="184">
      <c r="A184" s="7" t="inlineStr">
        <is>
          <t>BDI</t>
        </is>
      </c>
      <c r="B184" s="7" t="inlineStr">
        <is>
          <t>Burundi</t>
        </is>
      </c>
      <c r="C184" s="7" t="inlineStr">
        <is>
          <t>Sub-Saharan Africa</t>
        </is>
      </c>
      <c r="D184" s="7" t="inlineStr">
        <is>
          <t>Low income</t>
        </is>
      </c>
      <c r="E184" s="7" t="b">
        <v>0</v>
      </c>
      <c r="F184" s="7" t="inlineStr">
        <is>
          <t>em_oil_mt</t>
        </is>
      </c>
      <c r="G184" s="7" t="n">
        <v>0.079</v>
      </c>
      <c r="H184" s="7" t="n">
        <v>2024</v>
      </c>
      <c r="I184" s="7" t="inlineStr">
        <is>
          <t>release_generation_yearly_global.csv (Ember)</t>
        </is>
      </c>
    </row>
    <row r="185">
      <c r="A185" s="7" t="inlineStr">
        <is>
          <t>BDI</t>
        </is>
      </c>
      <c r="B185" s="7" t="inlineStr">
        <is>
          <t>Burundi</t>
        </is>
      </c>
      <c r="C185" s="7" t="inlineStr">
        <is>
          <t>Sub-Saharan Africa</t>
        </is>
      </c>
      <c r="D185" s="7" t="inlineStr">
        <is>
          <t>Low income</t>
        </is>
      </c>
      <c r="E185" s="7" t="b">
        <v>0</v>
      </c>
      <c r="F185" s="7" t="inlineStr">
        <is>
          <t>ff_subsidy_explicit_pct_gdp</t>
        </is>
      </c>
      <c r="G185" s="7" t="n">
        <v>0.238</v>
      </c>
      <c r="H185" s="7" t="inlineStr">
        <is>
          <t>2024</t>
        </is>
      </c>
      <c r="I185" s="7" t="inlineStr">
        <is>
          <t>imffossilfuelsubsidiesdata.xlsb</t>
        </is>
      </c>
    </row>
    <row r="186">
      <c r="A186" s="7" t="inlineStr">
        <is>
          <t>BDI</t>
        </is>
      </c>
      <c r="B186" s="7" t="inlineStr">
        <is>
          <t>Burundi</t>
        </is>
      </c>
      <c r="C186" s="7" t="inlineStr">
        <is>
          <t>Sub-Saharan Africa</t>
        </is>
      </c>
      <c r="D186" s="7" t="inlineStr">
        <is>
          <t>Low income</t>
        </is>
      </c>
      <c r="E186" s="7" t="b">
        <v>0</v>
      </c>
      <c r="F186" s="7" t="inlineStr">
        <is>
          <t>fuel_exports_pct_merch</t>
        </is>
      </c>
      <c r="G186" s="7" t="n">
        <v>1.887</v>
      </c>
      <c r="H186" s="7" t="inlineStr">
        <is>
          <t>2023</t>
        </is>
      </c>
      <c r="I186" s="7" t="inlineStr">
        <is>
          <t>API_TX_VAL_FUEL_ZS_UN_DS2_en_csv_v2_33055.zip</t>
        </is>
      </c>
    </row>
    <row r="187">
      <c r="A187" s="7" t="inlineStr">
        <is>
          <t>BDI</t>
        </is>
      </c>
      <c r="B187" s="7" t="inlineStr">
        <is>
          <t>Burundi</t>
        </is>
      </c>
      <c r="C187" s="7" t="inlineStr">
        <is>
          <t>Sub-Saharan Africa</t>
        </is>
      </c>
      <c r="D187" s="7" t="inlineStr">
        <is>
          <t>Low income</t>
        </is>
      </c>
      <c r="E187" s="7" t="b">
        <v>0</v>
      </c>
      <c r="F187" s="7" t="inlineStr">
        <is>
          <t>gen_coal_twh</t>
        </is>
      </c>
      <c r="G187" s="7" t="n">
        <v>0</v>
      </c>
      <c r="H187" s="7" t="n">
        <v>2024</v>
      </c>
      <c r="I187" s="7" t="inlineStr">
        <is>
          <t>release_generation_yearly_global.csv (Ember)</t>
        </is>
      </c>
    </row>
    <row r="188">
      <c r="A188" s="7" t="inlineStr">
        <is>
          <t>BDI</t>
        </is>
      </c>
      <c r="B188" s="7" t="inlineStr">
        <is>
          <t>Burundi</t>
        </is>
      </c>
      <c r="C188" s="7" t="inlineStr">
        <is>
          <t>Sub-Saharan Africa</t>
        </is>
      </c>
      <c r="D188" s="7" t="inlineStr">
        <is>
          <t>Low income</t>
        </is>
      </c>
      <c r="E188" s="7" t="b">
        <v>0</v>
      </c>
      <c r="F188" s="7" t="inlineStr">
        <is>
          <t>gen_gas_twh</t>
        </is>
      </c>
      <c r="G188" s="7" t="n">
        <v>0</v>
      </c>
      <c r="H188" s="7" t="n">
        <v>2024</v>
      </c>
      <c r="I188" s="7" t="inlineStr">
        <is>
          <t>release_generation_yearly_global.csv (Ember)</t>
        </is>
      </c>
    </row>
    <row r="189">
      <c r="A189" s="7" t="inlineStr">
        <is>
          <t>BDI</t>
        </is>
      </c>
      <c r="B189" s="7" t="inlineStr">
        <is>
          <t>Burundi</t>
        </is>
      </c>
      <c r="C189" s="7" t="inlineStr">
        <is>
          <t>Sub-Saharan Africa</t>
        </is>
      </c>
      <c r="D189" s="7" t="inlineStr">
        <is>
          <t>Low income</t>
        </is>
      </c>
      <c r="E189" s="7" t="b">
        <v>0</v>
      </c>
      <c r="F189" s="7" t="inlineStr">
        <is>
          <t>gen_oil_twh</t>
        </is>
      </c>
      <c r="G189" s="7" t="n">
        <v>0.12</v>
      </c>
      <c r="H189" s="7" t="n">
        <v>2024</v>
      </c>
      <c r="I189" s="7" t="inlineStr">
        <is>
          <t>release_generation_yearly_global.csv (Ember)</t>
        </is>
      </c>
    </row>
    <row r="190">
      <c r="A190" s="7" t="inlineStr">
        <is>
          <t>BDI</t>
        </is>
      </c>
      <c r="B190" s="7" t="inlineStr">
        <is>
          <t>Burundi</t>
        </is>
      </c>
      <c r="C190" s="7" t="inlineStr">
        <is>
          <t>Sub-Saharan Africa</t>
        </is>
      </c>
      <c r="D190" s="7" t="inlineStr">
        <is>
          <t>Low income</t>
        </is>
      </c>
      <c r="E190" s="7" t="b">
        <v>0</v>
      </c>
      <c r="F190" s="7" t="inlineStr">
        <is>
          <t>gen_total_twh</t>
        </is>
      </c>
      <c r="G190" s="7" t="n">
        <v>0.49</v>
      </c>
      <c r="H190" s="7" t="n">
        <v>2024</v>
      </c>
      <c r="I190" s="7" t="inlineStr">
        <is>
          <t>release_generation_yearly_global.csv (Ember)</t>
        </is>
      </c>
    </row>
    <row r="191">
      <c r="A191" s="7" t="inlineStr">
        <is>
          <t>BDI</t>
        </is>
      </c>
      <c r="B191" s="7" t="inlineStr">
        <is>
          <t>Burundi</t>
        </is>
      </c>
      <c r="C191" s="7" t="inlineStr">
        <is>
          <t>Sub-Saharan Africa</t>
        </is>
      </c>
      <c r="D191" s="7" t="inlineStr">
        <is>
          <t>Low income</t>
        </is>
      </c>
      <c r="E191" s="7" t="b">
        <v>0</v>
      </c>
      <c r="F191" s="7" t="inlineStr">
        <is>
          <t>power_market_structure</t>
        </is>
      </c>
      <c r="G191" s="7" t="n">
        <v>1</v>
      </c>
      <c r="H191" s="7" t="inlineStr">
        <is>
          <t>2013</t>
        </is>
      </c>
      <c r="I191" s="7" t="inlineStr">
        <is>
          <t>dataverse_files.zip</t>
        </is>
      </c>
    </row>
    <row r="192">
      <c r="A192" s="7" t="inlineStr">
        <is>
          <t>BDI</t>
        </is>
      </c>
      <c r="B192" s="7" t="inlineStr">
        <is>
          <t>Burundi</t>
        </is>
      </c>
      <c r="C192" s="7" t="inlineStr">
        <is>
          <t>Sub-Saharan Africa</t>
        </is>
      </c>
      <c r="D192" s="7" t="inlineStr">
        <is>
          <t>Low income</t>
        </is>
      </c>
      <c r="E192" s="7" t="b">
        <v>0</v>
      </c>
      <c r="F192" s="7" t="inlineStr">
        <is>
          <t>price_coal_power_usd_gj</t>
        </is>
      </c>
      <c r="G192" s="7" t="n">
        <v>5.575</v>
      </c>
      <c r="H192" s="7" t="inlineStr">
        <is>
          <t>2024</t>
        </is>
      </c>
      <c r="I192" s="7" t="inlineStr">
        <is>
          <t>imffossilfuelsubsidiesdata.xlsb</t>
        </is>
      </c>
    </row>
    <row r="193">
      <c r="A193" s="7" t="inlineStr">
        <is>
          <t>BDI</t>
        </is>
      </c>
      <c r="B193" s="7" t="inlineStr">
        <is>
          <t>Burundi</t>
        </is>
      </c>
      <c r="C193" s="7" t="inlineStr">
        <is>
          <t>Sub-Saharan Africa</t>
        </is>
      </c>
      <c r="D193" s="7" t="inlineStr">
        <is>
          <t>Low income</t>
        </is>
      </c>
      <c r="E193" s="7" t="b">
        <v>0</v>
      </c>
      <c r="F193" s="7" t="inlineStr">
        <is>
          <t>price_electricity_residential_usd_kwh</t>
        </is>
      </c>
      <c r="G193" s="7" t="n">
        <v>0.119</v>
      </c>
      <c r="H193" s="7" t="inlineStr">
        <is>
          <t>2024</t>
        </is>
      </c>
      <c r="I193" s="7" t="inlineStr">
        <is>
          <t>imffossilfuelsubsidiesdata.xlsb</t>
        </is>
      </c>
    </row>
    <row r="194">
      <c r="A194" s="7" t="inlineStr">
        <is>
          <t>BDI</t>
        </is>
      </c>
      <c r="B194" s="7" t="inlineStr">
        <is>
          <t>Burundi</t>
        </is>
      </c>
      <c r="C194" s="7" t="inlineStr">
        <is>
          <t>Sub-Saharan Africa</t>
        </is>
      </c>
      <c r="D194" s="7" t="inlineStr">
        <is>
          <t>Low income</t>
        </is>
      </c>
      <c r="E194" s="7" t="b">
        <v>0</v>
      </c>
      <c r="F194" s="7" t="inlineStr">
        <is>
          <t>price_gas_industry_usd_gj</t>
        </is>
      </c>
      <c r="G194" s="7" t="n">
        <v>12.794</v>
      </c>
      <c r="H194" s="7" t="inlineStr">
        <is>
          <t>2024</t>
        </is>
      </c>
      <c r="I194" s="7" t="inlineStr">
        <is>
          <t>imffossilfuelsubsidiesdata.xlsb</t>
        </is>
      </c>
    </row>
    <row r="195">
      <c r="A195" s="7" t="inlineStr">
        <is>
          <t>BDI</t>
        </is>
      </c>
      <c r="B195" s="7" t="inlineStr">
        <is>
          <t>Burundi</t>
        </is>
      </c>
      <c r="C195" s="7" t="inlineStr">
        <is>
          <t>Sub-Saharan Africa</t>
        </is>
      </c>
      <c r="D195" s="7" t="inlineStr">
        <is>
          <t>Low income</t>
        </is>
      </c>
      <c r="E195" s="7" t="b">
        <v>0</v>
      </c>
      <c r="F195" s="7" t="inlineStr">
        <is>
          <t>price_gas_power_usd_gj</t>
        </is>
      </c>
      <c r="G195" s="7" t="n">
        <v>11.471</v>
      </c>
      <c r="H195" s="7" t="inlineStr">
        <is>
          <t>2024</t>
        </is>
      </c>
      <c r="I195" s="7" t="inlineStr">
        <is>
          <t>imffossilfuelsubsidiesdata.xlsb</t>
        </is>
      </c>
    </row>
    <row r="196">
      <c r="A196" s="7" t="inlineStr">
        <is>
          <t>BDI</t>
        </is>
      </c>
      <c r="B196" s="7" t="inlineStr">
        <is>
          <t>Burundi</t>
        </is>
      </c>
      <c r="C196" s="7" t="inlineStr">
        <is>
          <t>Sub-Saharan Africa</t>
        </is>
      </c>
      <c r="D196" s="7" t="inlineStr">
        <is>
          <t>Low income</t>
        </is>
      </c>
      <c r="E196" s="7" t="b">
        <v>0</v>
      </c>
      <c r="F196" s="7" t="inlineStr">
        <is>
          <t>rise_renewable_energy_score</t>
        </is>
      </c>
      <c r="G196" s="7" t="n">
        <v>10.489</v>
      </c>
      <c r="H196" s="7" t="inlineStr">
        <is>
          <t>2023</t>
        </is>
      </c>
      <c r="I196" s="7" t="inlineStr">
        <is>
          <t>WB_RISE_WIDEF.csv</t>
        </is>
      </c>
    </row>
    <row r="197">
      <c r="A197" s="7" t="inlineStr">
        <is>
          <t>BEL</t>
        </is>
      </c>
      <c r="B197" s="7" t="inlineStr">
        <is>
          <t>Belgium</t>
        </is>
      </c>
      <c r="C197" s="7" t="inlineStr">
        <is>
          <t>Europe &amp; Central Asia</t>
        </is>
      </c>
      <c r="D197" s="7" t="inlineStr">
        <is>
          <t>High income</t>
        </is>
      </c>
      <c r="E197" s="7" t="b">
        <v>0</v>
      </c>
      <c r="F197" s="7" t="inlineStr">
        <is>
          <t>coal_rents_pct_gdp</t>
        </is>
      </c>
      <c r="G197" s="7" t="n">
        <v>0</v>
      </c>
      <c r="H197" s="7" t="inlineStr">
        <is>
          <t>2021</t>
        </is>
      </c>
      <c r="I197" s="7" t="inlineStr">
        <is>
          <t>API_NY_GDP_COAL_RT_ZS_DS2_en_csv_v2_35370.zip</t>
        </is>
      </c>
    </row>
    <row r="198">
      <c r="A198" s="7" t="inlineStr">
        <is>
          <t>BEL</t>
        </is>
      </c>
      <c r="B198" s="7" t="inlineStr">
        <is>
          <t>Belgium</t>
        </is>
      </c>
      <c r="C198" s="7" t="inlineStr">
        <is>
          <t>Europe &amp; Central Asia</t>
        </is>
      </c>
      <c r="D198" s="7" t="inlineStr">
        <is>
          <t>High income</t>
        </is>
      </c>
      <c r="E198" s="7" t="b">
        <v>0</v>
      </c>
      <c r="F198" s="7" t="inlineStr">
        <is>
          <t>em_coal_mt</t>
        </is>
      </c>
      <c r="G198" s="7" t="n">
        <v>0</v>
      </c>
      <c r="H198" s="7" t="n">
        <v>2024</v>
      </c>
      <c r="I198" s="7" t="inlineStr">
        <is>
          <t>release_generation_yearly_global.csv (Ember)</t>
        </is>
      </c>
    </row>
    <row r="199">
      <c r="A199" s="7" t="inlineStr">
        <is>
          <t>BEL</t>
        </is>
      </c>
      <c r="B199" s="7" t="inlineStr">
        <is>
          <t>Belgium</t>
        </is>
      </c>
      <c r="C199" s="7" t="inlineStr">
        <is>
          <t>Europe &amp; Central Asia</t>
        </is>
      </c>
      <c r="D199" s="7" t="inlineStr">
        <is>
          <t>High income</t>
        </is>
      </c>
      <c r="E199" s="7" t="b">
        <v>0</v>
      </c>
      <c r="F199" s="7" t="inlineStr">
        <is>
          <t>em_gas_mt</t>
        </is>
      </c>
      <c r="G199" s="7" t="n">
        <v>5.607</v>
      </c>
      <c r="H199" s="7" t="n">
        <v>2024</v>
      </c>
      <c r="I199" s="7" t="inlineStr">
        <is>
          <t>release_generation_yearly_global.csv (Ember)</t>
        </is>
      </c>
    </row>
    <row r="200">
      <c r="A200" s="7" t="inlineStr">
        <is>
          <t>BEL</t>
        </is>
      </c>
      <c r="B200" s="7" t="inlineStr">
        <is>
          <t>Belgium</t>
        </is>
      </c>
      <c r="C200" s="7" t="inlineStr">
        <is>
          <t>Europe &amp; Central Asia</t>
        </is>
      </c>
      <c r="D200" s="7" t="inlineStr">
        <is>
          <t>High income</t>
        </is>
      </c>
      <c r="E200" s="7" t="b">
        <v>0</v>
      </c>
      <c r="F200" s="7" t="inlineStr">
        <is>
          <t>em_oil_mt</t>
        </is>
      </c>
      <c r="G200" s="7" t="n">
        <v>2.507</v>
      </c>
      <c r="H200" s="7" t="n">
        <v>2024</v>
      </c>
      <c r="I200" s="7" t="inlineStr">
        <is>
          <t>release_generation_yearly_global.csv (Ember)</t>
        </is>
      </c>
    </row>
    <row r="201">
      <c r="A201" s="7" t="inlineStr">
        <is>
          <t>BEL</t>
        </is>
      </c>
      <c r="B201" s="7" t="inlineStr">
        <is>
          <t>Belgium</t>
        </is>
      </c>
      <c r="C201" s="7" t="inlineStr">
        <is>
          <t>Europe &amp; Central Asia</t>
        </is>
      </c>
      <c r="D201" s="7" t="inlineStr">
        <is>
          <t>High income</t>
        </is>
      </c>
      <c r="E201" s="7" t="b">
        <v>0</v>
      </c>
      <c r="F201" s="7" t="inlineStr">
        <is>
          <t>ff_subsidy_explicit_pct_gdp</t>
        </is>
      </c>
      <c r="G201" s="7" t="n">
        <v>0</v>
      </c>
      <c r="H201" s="7" t="inlineStr">
        <is>
          <t>2024</t>
        </is>
      </c>
      <c r="I201" s="7" t="inlineStr">
        <is>
          <t>imffossilfuelsubsidiesdata.xlsb</t>
        </is>
      </c>
    </row>
    <row r="202">
      <c r="A202" s="7" t="inlineStr">
        <is>
          <t>BEL</t>
        </is>
      </c>
      <c r="B202" s="7" t="inlineStr">
        <is>
          <t>Belgium</t>
        </is>
      </c>
      <c r="C202" s="7" t="inlineStr">
        <is>
          <t>Europe &amp; Central Asia</t>
        </is>
      </c>
      <c r="D202" s="7" t="inlineStr">
        <is>
          <t>High income</t>
        </is>
      </c>
      <c r="E202" s="7" t="b">
        <v>0</v>
      </c>
      <c r="F202" s="7" t="inlineStr">
        <is>
          <t>fuel_exports_pct_merch</t>
        </is>
      </c>
      <c r="G202" s="7" t="n">
        <v>11.601</v>
      </c>
      <c r="H202" s="7" t="inlineStr">
        <is>
          <t>2024</t>
        </is>
      </c>
      <c r="I202" s="7" t="inlineStr">
        <is>
          <t>API_TX_VAL_FUEL_ZS_UN_DS2_en_csv_v2_33055.zip</t>
        </is>
      </c>
    </row>
    <row r="203">
      <c r="A203" s="7" t="inlineStr">
        <is>
          <t>BEL</t>
        </is>
      </c>
      <c r="B203" s="7" t="inlineStr">
        <is>
          <t>Belgium</t>
        </is>
      </c>
      <c r="C203" s="7" t="inlineStr">
        <is>
          <t>Europe &amp; Central Asia</t>
        </is>
      </c>
      <c r="D203" s="7" t="inlineStr">
        <is>
          <t>High income</t>
        </is>
      </c>
      <c r="E203" s="7" t="b">
        <v>0</v>
      </c>
      <c r="F203" s="7" t="inlineStr">
        <is>
          <t>gen_coal_twh</t>
        </is>
      </c>
      <c r="G203" s="7" t="n">
        <v>0</v>
      </c>
      <c r="H203" s="7" t="n">
        <v>2024</v>
      </c>
      <c r="I203" s="7" t="inlineStr">
        <is>
          <t>release_generation_yearly_global.csv (Ember)</t>
        </is>
      </c>
    </row>
    <row r="204">
      <c r="A204" s="7" t="inlineStr">
        <is>
          <t>BEL</t>
        </is>
      </c>
      <c r="B204" s="7" t="inlineStr">
        <is>
          <t>Belgium</t>
        </is>
      </c>
      <c r="C204" s="7" t="inlineStr">
        <is>
          <t>Europe &amp; Central Asia</t>
        </is>
      </c>
      <c r="D204" s="7" t="inlineStr">
        <is>
          <t>High income</t>
        </is>
      </c>
      <c r="E204" s="7" t="b">
        <v>0</v>
      </c>
      <c r="F204" s="7" t="inlineStr">
        <is>
          <t>gen_gas_twh</t>
        </is>
      </c>
      <c r="G204" s="7" t="n">
        <v>14.17</v>
      </c>
      <c r="H204" s="7" t="n">
        <v>2024</v>
      </c>
      <c r="I204" s="7" t="inlineStr">
        <is>
          <t>release_generation_yearly_global.csv (Ember)</t>
        </is>
      </c>
    </row>
    <row r="205">
      <c r="A205" s="7" t="inlineStr">
        <is>
          <t>BEL</t>
        </is>
      </c>
      <c r="B205" s="7" t="inlineStr">
        <is>
          <t>Belgium</t>
        </is>
      </c>
      <c r="C205" s="7" t="inlineStr">
        <is>
          <t>Europe &amp; Central Asia</t>
        </is>
      </c>
      <c r="D205" s="7" t="inlineStr">
        <is>
          <t>High income</t>
        </is>
      </c>
      <c r="E205" s="7" t="b">
        <v>0</v>
      </c>
      <c r="F205" s="7" t="inlineStr">
        <is>
          <t>gen_oil_twh</t>
        </is>
      </c>
      <c r="G205" s="7" t="n">
        <v>3.81</v>
      </c>
      <c r="H205" s="7" t="n">
        <v>2024</v>
      </c>
      <c r="I205" s="7" t="inlineStr">
        <is>
          <t>release_generation_yearly_global.csv (Ember)</t>
        </is>
      </c>
    </row>
    <row r="206">
      <c r="A206" s="7" t="inlineStr">
        <is>
          <t>BEL</t>
        </is>
      </c>
      <c r="B206" s="7" t="inlineStr">
        <is>
          <t>Belgium</t>
        </is>
      </c>
      <c r="C206" s="7" t="inlineStr">
        <is>
          <t>Europe &amp; Central Asia</t>
        </is>
      </c>
      <c r="D206" s="7" t="inlineStr">
        <is>
          <t>High income</t>
        </is>
      </c>
      <c r="E206" s="7" t="b">
        <v>0</v>
      </c>
      <c r="F206" s="7" t="inlineStr">
        <is>
          <t>gen_total_twh</t>
        </is>
      </c>
      <c r="G206" s="7" t="n">
        <v>75.81999999999999</v>
      </c>
      <c r="H206" s="7" t="n">
        <v>2024</v>
      </c>
      <c r="I206" s="7" t="inlineStr">
        <is>
          <t>release_generation_yearly_global.csv (Ember)</t>
        </is>
      </c>
    </row>
    <row r="207">
      <c r="A207" s="7" t="inlineStr">
        <is>
          <t>BEL</t>
        </is>
      </c>
      <c r="B207" s="7" t="inlineStr">
        <is>
          <t>Belgium</t>
        </is>
      </c>
      <c r="C207" s="7" t="inlineStr">
        <is>
          <t>Europe &amp; Central Asia</t>
        </is>
      </c>
      <c r="D207" s="7" t="inlineStr">
        <is>
          <t>High income</t>
        </is>
      </c>
      <c r="E207" s="7" t="b">
        <v>0</v>
      </c>
      <c r="F207" s="7" t="inlineStr">
        <is>
          <t>price_coal_power_usd_gj</t>
        </is>
      </c>
      <c r="G207" s="7" t="n">
        <v>21.366</v>
      </c>
      <c r="H207" s="7" t="inlineStr">
        <is>
          <t>2024</t>
        </is>
      </c>
      <c r="I207" s="7" t="inlineStr">
        <is>
          <t>imffossilfuelsubsidiesdata.xlsb</t>
        </is>
      </c>
    </row>
    <row r="208">
      <c r="A208" s="7" t="inlineStr">
        <is>
          <t>BEL</t>
        </is>
      </c>
      <c r="B208" s="7" t="inlineStr">
        <is>
          <t>Belgium</t>
        </is>
      </c>
      <c r="C208" s="7" t="inlineStr">
        <is>
          <t>Europe &amp; Central Asia</t>
        </is>
      </c>
      <c r="D208" s="7" t="inlineStr">
        <is>
          <t>High income</t>
        </is>
      </c>
      <c r="E208" s="7" t="b">
        <v>0</v>
      </c>
      <c r="F208" s="7" t="inlineStr">
        <is>
          <t>price_electricity_residential_usd_kwh</t>
        </is>
      </c>
      <c r="G208" s="7" t="n">
        <v>0.361</v>
      </c>
      <c r="H208" s="7" t="inlineStr">
        <is>
          <t>2024</t>
        </is>
      </c>
      <c r="I208" s="7" t="inlineStr">
        <is>
          <t>imffossilfuelsubsidiesdata.xlsb</t>
        </is>
      </c>
    </row>
    <row r="209">
      <c r="A209" s="7" t="inlineStr">
        <is>
          <t>BEL</t>
        </is>
      </c>
      <c r="B209" s="7" t="inlineStr">
        <is>
          <t>Belgium</t>
        </is>
      </c>
      <c r="C209" s="7" t="inlineStr">
        <is>
          <t>Europe &amp; Central Asia</t>
        </is>
      </c>
      <c r="D209" s="7" t="inlineStr">
        <is>
          <t>High income</t>
        </is>
      </c>
      <c r="E209" s="7" t="b">
        <v>0</v>
      </c>
      <c r="F209" s="7" t="inlineStr">
        <is>
          <t>price_gas_industry_usd_gj</t>
        </is>
      </c>
      <c r="G209" s="7" t="n">
        <v>18.394</v>
      </c>
      <c r="H209" s="7" t="inlineStr">
        <is>
          <t>2024</t>
        </is>
      </c>
      <c r="I209" s="7" t="inlineStr">
        <is>
          <t>imffossilfuelsubsidiesdata.xlsb</t>
        </is>
      </c>
    </row>
    <row r="210">
      <c r="A210" s="7" t="inlineStr">
        <is>
          <t>BEL</t>
        </is>
      </c>
      <c r="B210" s="7" t="inlineStr">
        <is>
          <t>Belgium</t>
        </is>
      </c>
      <c r="C210" s="7" t="inlineStr">
        <is>
          <t>Europe &amp; Central Asia</t>
        </is>
      </c>
      <c r="D210" s="7" t="inlineStr">
        <is>
          <t>High income</t>
        </is>
      </c>
      <c r="E210" s="7" t="b">
        <v>0</v>
      </c>
      <c r="F210" s="7" t="inlineStr">
        <is>
          <t>price_gas_power_usd_gj</t>
        </is>
      </c>
      <c r="G210" s="7" t="n">
        <v>18.394</v>
      </c>
      <c r="H210" s="7" t="inlineStr">
        <is>
          <t>2024</t>
        </is>
      </c>
      <c r="I210" s="7" t="inlineStr">
        <is>
          <t>imffossilfuelsubsidiesdata.xlsb</t>
        </is>
      </c>
    </row>
    <row r="211">
      <c r="A211" s="7" t="inlineStr">
        <is>
          <t>BEL</t>
        </is>
      </c>
      <c r="B211" s="7" t="inlineStr">
        <is>
          <t>Belgium</t>
        </is>
      </c>
      <c r="C211" s="7" t="inlineStr">
        <is>
          <t>Europe &amp; Central Asia</t>
        </is>
      </c>
      <c r="D211" s="7" t="inlineStr">
        <is>
          <t>High income</t>
        </is>
      </c>
      <c r="E211" s="7" t="b">
        <v>0</v>
      </c>
      <c r="F211" s="7" t="inlineStr">
        <is>
          <t>rise_renewable_energy_score</t>
        </is>
      </c>
      <c r="G211" s="7" t="n">
        <v>80.593</v>
      </c>
      <c r="H211" s="7" t="inlineStr">
        <is>
          <t>2023</t>
        </is>
      </c>
      <c r="I211" s="7" t="inlineStr">
        <is>
          <t>WB_RISE_WIDEF.csv</t>
        </is>
      </c>
    </row>
    <row r="212">
      <c r="A212" s="7" t="inlineStr">
        <is>
          <t>BEN</t>
        </is>
      </c>
      <c r="B212" s="7" t="inlineStr">
        <is>
          <t>Benin</t>
        </is>
      </c>
      <c r="C212" s="7" t="inlineStr">
        <is>
          <t>Sub-Saharan Africa</t>
        </is>
      </c>
      <c r="D212" s="7" t="inlineStr">
        <is>
          <t>Lower middle income</t>
        </is>
      </c>
      <c r="E212" s="7" t="b">
        <v>1</v>
      </c>
      <c r="F212" s="7" t="inlineStr">
        <is>
          <t>coal_rents_pct_gdp</t>
        </is>
      </c>
      <c r="G212" s="7" t="n">
        <v>0</v>
      </c>
      <c r="H212" s="7" t="inlineStr">
        <is>
          <t>2021</t>
        </is>
      </c>
      <c r="I212" s="7" t="inlineStr">
        <is>
          <t>API_NY_GDP_COAL_RT_ZS_DS2_en_csv_v2_35370.zip</t>
        </is>
      </c>
    </row>
    <row r="213">
      <c r="A213" s="7" t="inlineStr">
        <is>
          <t>BEN</t>
        </is>
      </c>
      <c r="B213" s="7" t="inlineStr">
        <is>
          <t>Benin</t>
        </is>
      </c>
      <c r="C213" s="7" t="inlineStr">
        <is>
          <t>Sub-Saharan Africa</t>
        </is>
      </c>
      <c r="D213" s="7" t="inlineStr">
        <is>
          <t>Lower middle income</t>
        </is>
      </c>
      <c r="E213" s="7" t="b">
        <v>1</v>
      </c>
      <c r="F213" s="7" t="inlineStr">
        <is>
          <t>em_coal_mt</t>
        </is>
      </c>
      <c r="G213" s="7" t="n">
        <v>0</v>
      </c>
      <c r="H213" s="7" t="n">
        <v>2024</v>
      </c>
      <c r="I213" s="7" t="inlineStr">
        <is>
          <t>release_generation_yearly_global.csv (Ember)</t>
        </is>
      </c>
    </row>
    <row r="214">
      <c r="A214" s="7" t="inlineStr">
        <is>
          <t>BEN</t>
        </is>
      </c>
      <c r="B214" s="7" t="inlineStr">
        <is>
          <t>Benin</t>
        </is>
      </c>
      <c r="C214" s="7" t="inlineStr">
        <is>
          <t>Sub-Saharan Africa</t>
        </is>
      </c>
      <c r="D214" s="7" t="inlineStr">
        <is>
          <t>Lower middle income</t>
        </is>
      </c>
      <c r="E214" s="7" t="b">
        <v>1</v>
      </c>
      <c r="F214" s="7" t="inlineStr">
        <is>
          <t>em_gas_mt</t>
        </is>
      </c>
      <c r="G214" s="7" t="n">
        <v>0.425</v>
      </c>
      <c r="H214" s="7" t="n">
        <v>2024</v>
      </c>
      <c r="I214" s="7" t="inlineStr">
        <is>
          <t>release_generation_yearly_global.csv (Ember)</t>
        </is>
      </c>
    </row>
    <row r="215">
      <c r="A215" s="7" t="inlineStr">
        <is>
          <t>BEN</t>
        </is>
      </c>
      <c r="B215" s="7" t="inlineStr">
        <is>
          <t>Benin</t>
        </is>
      </c>
      <c r="C215" s="7" t="inlineStr">
        <is>
          <t>Sub-Saharan Africa</t>
        </is>
      </c>
      <c r="D215" s="7" t="inlineStr">
        <is>
          <t>Lower middle income</t>
        </is>
      </c>
      <c r="E215" s="7" t="b">
        <v>1</v>
      </c>
      <c r="F215" s="7" t="inlineStr">
        <is>
          <t>em_oil_mt</t>
        </is>
      </c>
      <c r="G215" s="7" t="n">
        <v>0.158</v>
      </c>
      <c r="H215" s="7" t="n">
        <v>2024</v>
      </c>
      <c r="I215" s="7" t="inlineStr">
        <is>
          <t>release_generation_yearly_global.csv (Ember)</t>
        </is>
      </c>
    </row>
    <row r="216">
      <c r="A216" s="7" t="inlineStr">
        <is>
          <t>BEN</t>
        </is>
      </c>
      <c r="B216" s="7" t="inlineStr">
        <is>
          <t>Benin</t>
        </is>
      </c>
      <c r="C216" s="7" t="inlineStr">
        <is>
          <t>Sub-Saharan Africa</t>
        </is>
      </c>
      <c r="D216" s="7" t="inlineStr">
        <is>
          <t>Lower middle income</t>
        </is>
      </c>
      <c r="E216" s="7" t="b">
        <v>1</v>
      </c>
      <c r="F216" s="7" t="inlineStr">
        <is>
          <t>ff_subsidy_explicit_pct_gdp</t>
        </is>
      </c>
      <c r="G216" s="7" t="n">
        <v>0</v>
      </c>
      <c r="H216" s="7" t="inlineStr">
        <is>
          <t>2024</t>
        </is>
      </c>
      <c r="I216" s="7" t="inlineStr">
        <is>
          <t>imffossilfuelsubsidiesdata.xlsb</t>
        </is>
      </c>
    </row>
    <row r="217">
      <c r="A217" s="7" t="inlineStr">
        <is>
          <t>BEN</t>
        </is>
      </c>
      <c r="B217" s="7" t="inlineStr">
        <is>
          <t>Benin</t>
        </is>
      </c>
      <c r="C217" s="7" t="inlineStr">
        <is>
          <t>Sub-Saharan Africa</t>
        </is>
      </c>
      <c r="D217" s="7" t="inlineStr">
        <is>
          <t>Lower middle income</t>
        </is>
      </c>
      <c r="E217" s="7" t="b">
        <v>1</v>
      </c>
      <c r="F217" s="7" t="inlineStr">
        <is>
          <t>fuel_exports_pct_merch</t>
        </is>
      </c>
      <c r="G217" s="7" t="n">
        <v>0</v>
      </c>
      <c r="H217" s="7" t="inlineStr">
        <is>
          <t>2024</t>
        </is>
      </c>
      <c r="I217" s="7" t="inlineStr">
        <is>
          <t>API_TX_VAL_FUEL_ZS_UN_DS2_en_csv_v2_33055.zip</t>
        </is>
      </c>
    </row>
    <row r="218">
      <c r="A218" s="7" t="inlineStr">
        <is>
          <t>BEN</t>
        </is>
      </c>
      <c r="B218" s="7" t="inlineStr">
        <is>
          <t>Benin</t>
        </is>
      </c>
      <c r="C218" s="7" t="inlineStr">
        <is>
          <t>Sub-Saharan Africa</t>
        </is>
      </c>
      <c r="D218" s="7" t="inlineStr">
        <is>
          <t>Lower middle income</t>
        </is>
      </c>
      <c r="E218" s="7" t="b">
        <v>1</v>
      </c>
      <c r="F218" s="7" t="inlineStr">
        <is>
          <t>gen_coal_twh</t>
        </is>
      </c>
      <c r="G218" s="7" t="n">
        <v>0</v>
      </c>
      <c r="H218" s="7" t="n">
        <v>2024</v>
      </c>
      <c r="I218" s="7" t="inlineStr">
        <is>
          <t>release_generation_yearly_global.csv (Ember)</t>
        </is>
      </c>
    </row>
    <row r="219">
      <c r="A219" s="7" t="inlineStr">
        <is>
          <t>BEN</t>
        </is>
      </c>
      <c r="B219" s="7" t="inlineStr">
        <is>
          <t>Benin</t>
        </is>
      </c>
      <c r="C219" s="7" t="inlineStr">
        <is>
          <t>Sub-Saharan Africa</t>
        </is>
      </c>
      <c r="D219" s="7" t="inlineStr">
        <is>
          <t>Lower middle income</t>
        </is>
      </c>
      <c r="E219" s="7" t="b">
        <v>1</v>
      </c>
      <c r="F219" s="7" t="inlineStr">
        <is>
          <t>gen_gas_twh</t>
        </is>
      </c>
      <c r="G219" s="7" t="n">
        <v>0.73</v>
      </c>
      <c r="H219" s="7" t="n">
        <v>2024</v>
      </c>
      <c r="I219" s="7" t="inlineStr">
        <is>
          <t>release_generation_yearly_global.csv (Ember)</t>
        </is>
      </c>
    </row>
    <row r="220">
      <c r="A220" s="7" t="inlineStr">
        <is>
          <t>BEN</t>
        </is>
      </c>
      <c r="B220" s="7" t="inlineStr">
        <is>
          <t>Benin</t>
        </is>
      </c>
      <c r="C220" s="7" t="inlineStr">
        <is>
          <t>Sub-Saharan Africa</t>
        </is>
      </c>
      <c r="D220" s="7" t="inlineStr">
        <is>
          <t>Lower middle income</t>
        </is>
      </c>
      <c r="E220" s="7" t="b">
        <v>1</v>
      </c>
      <c r="F220" s="7" t="inlineStr">
        <is>
          <t>gen_oil_twh</t>
        </is>
      </c>
      <c r="G220" s="7" t="n">
        <v>0.24</v>
      </c>
      <c r="H220" s="7" t="n">
        <v>2024</v>
      </c>
      <c r="I220" s="7" t="inlineStr">
        <is>
          <t>release_generation_yearly_global.csv (Ember)</t>
        </is>
      </c>
    </row>
    <row r="221">
      <c r="A221" s="7" t="inlineStr">
        <is>
          <t>BEN</t>
        </is>
      </c>
      <c r="B221" s="7" t="inlineStr">
        <is>
          <t>Benin</t>
        </is>
      </c>
      <c r="C221" s="7" t="inlineStr">
        <is>
          <t>Sub-Saharan Africa</t>
        </is>
      </c>
      <c r="D221" s="7" t="inlineStr">
        <is>
          <t>Lower middle income</t>
        </is>
      </c>
      <c r="E221" s="7" t="b">
        <v>1</v>
      </c>
      <c r="F221" s="7" t="inlineStr">
        <is>
          <t>gen_total_twh</t>
        </is>
      </c>
      <c r="G221" s="7" t="n">
        <v>1.01</v>
      </c>
      <c r="H221" s="7" t="n">
        <v>2024</v>
      </c>
      <c r="I221" s="7" t="inlineStr">
        <is>
          <t>release_generation_yearly_global.csv (Ember)</t>
        </is>
      </c>
    </row>
    <row r="222">
      <c r="A222" s="7" t="inlineStr">
        <is>
          <t>BEN</t>
        </is>
      </c>
      <c r="B222" s="7" t="inlineStr">
        <is>
          <t>Benin</t>
        </is>
      </c>
      <c r="C222" s="7" t="inlineStr">
        <is>
          <t>Sub-Saharan Africa</t>
        </is>
      </c>
      <c r="D222" s="7" t="inlineStr">
        <is>
          <t>Lower middle income</t>
        </is>
      </c>
      <c r="E222" s="7" t="b">
        <v>1</v>
      </c>
      <c r="F222" s="7" t="inlineStr">
        <is>
          <t>power_market_structure</t>
        </is>
      </c>
      <c r="G222" s="7" t="n">
        <v>2</v>
      </c>
      <c r="H222" s="7" t="inlineStr">
        <is>
          <t>2013</t>
        </is>
      </c>
      <c r="I222" s="7" t="inlineStr">
        <is>
          <t>dataverse_files.zip</t>
        </is>
      </c>
    </row>
    <row r="223">
      <c r="A223" s="7" t="inlineStr">
        <is>
          <t>BEN</t>
        </is>
      </c>
      <c r="B223" s="7" t="inlineStr">
        <is>
          <t>Benin</t>
        </is>
      </c>
      <c r="C223" s="7" t="inlineStr">
        <is>
          <t>Sub-Saharan Africa</t>
        </is>
      </c>
      <c r="D223" s="7" t="inlineStr">
        <is>
          <t>Lower middle income</t>
        </is>
      </c>
      <c r="E223" s="7" t="b">
        <v>1</v>
      </c>
      <c r="F223" s="7" t="inlineStr">
        <is>
          <t>price_coal_power_usd_gj</t>
        </is>
      </c>
      <c r="G223" s="7" t="n">
        <v>5.575</v>
      </c>
      <c r="H223" s="7" t="inlineStr">
        <is>
          <t>2024</t>
        </is>
      </c>
      <c r="I223" s="7" t="inlineStr">
        <is>
          <t>imffossilfuelsubsidiesdata.xlsb</t>
        </is>
      </c>
    </row>
    <row r="224">
      <c r="A224" s="7" t="inlineStr">
        <is>
          <t>BEN</t>
        </is>
      </c>
      <c r="B224" s="7" t="inlineStr">
        <is>
          <t>Benin</t>
        </is>
      </c>
      <c r="C224" s="7" t="inlineStr">
        <is>
          <t>Sub-Saharan Africa</t>
        </is>
      </c>
      <c r="D224" s="7" t="inlineStr">
        <is>
          <t>Lower middle income</t>
        </is>
      </c>
      <c r="E224" s="7" t="b">
        <v>1</v>
      </c>
      <c r="F224" s="7" t="inlineStr">
        <is>
          <t>price_electricity_residential_usd_kwh</t>
        </is>
      </c>
      <c r="G224" s="7" t="n">
        <v>0.203</v>
      </c>
      <c r="H224" s="7" t="inlineStr">
        <is>
          <t>2024</t>
        </is>
      </c>
      <c r="I224" s="7" t="inlineStr">
        <is>
          <t>imffossilfuelsubsidiesdata.xlsb</t>
        </is>
      </c>
    </row>
    <row r="225">
      <c r="A225" s="7" t="inlineStr">
        <is>
          <t>BEN</t>
        </is>
      </c>
      <c r="B225" s="7" t="inlineStr">
        <is>
          <t>Benin</t>
        </is>
      </c>
      <c r="C225" s="7" t="inlineStr">
        <is>
          <t>Sub-Saharan Africa</t>
        </is>
      </c>
      <c r="D225" s="7" t="inlineStr">
        <is>
          <t>Lower middle income</t>
        </is>
      </c>
      <c r="E225" s="7" t="b">
        <v>1</v>
      </c>
      <c r="F225" s="7" t="inlineStr">
        <is>
          <t>price_gas_industry_usd_gj</t>
        </is>
      </c>
      <c r="G225" s="7" t="n">
        <v>7.947</v>
      </c>
      <c r="H225" s="7" t="inlineStr">
        <is>
          <t>2024</t>
        </is>
      </c>
      <c r="I225" s="7" t="inlineStr">
        <is>
          <t>imffossilfuelsubsidiesdata.xlsb</t>
        </is>
      </c>
    </row>
    <row r="226">
      <c r="A226" s="7" t="inlineStr">
        <is>
          <t>BEN</t>
        </is>
      </c>
      <c r="B226" s="7" t="inlineStr">
        <is>
          <t>Benin</t>
        </is>
      </c>
      <c r="C226" s="7" t="inlineStr">
        <is>
          <t>Sub-Saharan Africa</t>
        </is>
      </c>
      <c r="D226" s="7" t="inlineStr">
        <is>
          <t>Lower middle income</t>
        </is>
      </c>
      <c r="E226" s="7" t="b">
        <v>1</v>
      </c>
      <c r="F226" s="7" t="inlineStr">
        <is>
          <t>price_gas_power_usd_gj</t>
        </is>
      </c>
      <c r="G226" s="7" t="n">
        <v>6.623</v>
      </c>
      <c r="H226" s="7" t="inlineStr">
        <is>
          <t>2024</t>
        </is>
      </c>
      <c r="I226" s="7" t="inlineStr">
        <is>
          <t>imffossilfuelsubsidiesdata.xlsb</t>
        </is>
      </c>
    </row>
    <row r="227">
      <c r="A227" s="7" t="inlineStr">
        <is>
          <t>BEN</t>
        </is>
      </c>
      <c r="B227" s="7" t="inlineStr">
        <is>
          <t>Benin</t>
        </is>
      </c>
      <c r="C227" s="7" t="inlineStr">
        <is>
          <t>Sub-Saharan Africa</t>
        </is>
      </c>
      <c r="D227" s="7" t="inlineStr">
        <is>
          <t>Lower middle income</t>
        </is>
      </c>
      <c r="E227" s="7" t="b">
        <v>1</v>
      </c>
      <c r="F227" s="7" t="inlineStr">
        <is>
          <t>rise_renewable_energy_score</t>
        </is>
      </c>
      <c r="G227" s="7" t="n">
        <v>15.317</v>
      </c>
      <c r="H227" s="7" t="inlineStr">
        <is>
          <t>2023</t>
        </is>
      </c>
      <c r="I227" s="7" t="inlineStr">
        <is>
          <t>WB_RISE_WIDEF.csv</t>
        </is>
      </c>
    </row>
    <row r="228">
      <c r="A228" s="7" t="inlineStr">
        <is>
          <t>BFA</t>
        </is>
      </c>
      <c r="B228" s="7" t="inlineStr">
        <is>
          <t>Burkina Faso</t>
        </is>
      </c>
      <c r="C228" s="7" t="inlineStr">
        <is>
          <t>Sub-Saharan Africa</t>
        </is>
      </c>
      <c r="D228" s="7" t="inlineStr">
        <is>
          <t>Low income</t>
        </is>
      </c>
      <c r="E228" s="7" t="b">
        <v>1</v>
      </c>
      <c r="F228" s="7" t="inlineStr">
        <is>
          <t>coal_rents_pct_gdp</t>
        </is>
      </c>
      <c r="G228" s="7" t="n">
        <v>0</v>
      </c>
      <c r="H228" s="7" t="inlineStr">
        <is>
          <t>2021</t>
        </is>
      </c>
      <c r="I228" s="7" t="inlineStr">
        <is>
          <t>API_NY_GDP_COAL_RT_ZS_DS2_en_csv_v2_35370.zip</t>
        </is>
      </c>
    </row>
    <row r="229">
      <c r="A229" s="7" t="inlineStr">
        <is>
          <t>BFA</t>
        </is>
      </c>
      <c r="B229" s="7" t="inlineStr">
        <is>
          <t>Burkina Faso</t>
        </is>
      </c>
      <c r="C229" s="7" t="inlineStr">
        <is>
          <t>Sub-Saharan Africa</t>
        </is>
      </c>
      <c r="D229" s="7" t="inlineStr">
        <is>
          <t>Low income</t>
        </is>
      </c>
      <c r="E229" s="7" t="b">
        <v>1</v>
      </c>
      <c r="F229" s="7" t="inlineStr">
        <is>
          <t>em_coal_mt</t>
        </is>
      </c>
      <c r="G229" s="7" t="n">
        <v>0</v>
      </c>
      <c r="H229" s="7" t="n">
        <v>2024</v>
      </c>
      <c r="I229" s="7" t="inlineStr">
        <is>
          <t>release_generation_yearly_global.csv (Ember)</t>
        </is>
      </c>
    </row>
    <row r="230">
      <c r="A230" s="7" t="inlineStr">
        <is>
          <t>BFA</t>
        </is>
      </c>
      <c r="B230" s="7" t="inlineStr">
        <is>
          <t>Burkina Faso</t>
        </is>
      </c>
      <c r="C230" s="7" t="inlineStr">
        <is>
          <t>Sub-Saharan Africa</t>
        </is>
      </c>
      <c r="D230" s="7" t="inlineStr">
        <is>
          <t>Low income</t>
        </is>
      </c>
      <c r="E230" s="7" t="b">
        <v>1</v>
      </c>
      <c r="F230" s="7" t="inlineStr">
        <is>
          <t>em_gas_mt</t>
        </is>
      </c>
      <c r="G230" s="7" t="n">
        <v>0</v>
      </c>
      <c r="H230" s="7" t="n">
        <v>2024</v>
      </c>
      <c r="I230" s="7" t="inlineStr">
        <is>
          <t>release_generation_yearly_global.csv (Ember)</t>
        </is>
      </c>
    </row>
    <row r="231">
      <c r="A231" s="7" t="inlineStr">
        <is>
          <t>BFA</t>
        </is>
      </c>
      <c r="B231" s="7" t="inlineStr">
        <is>
          <t>Burkina Faso</t>
        </is>
      </c>
      <c r="C231" s="7" t="inlineStr">
        <is>
          <t>Sub-Saharan Africa</t>
        </is>
      </c>
      <c r="D231" s="7" t="inlineStr">
        <is>
          <t>Low income</t>
        </is>
      </c>
      <c r="E231" s="7" t="b">
        <v>1</v>
      </c>
      <c r="F231" s="7" t="inlineStr">
        <is>
          <t>em_oil_mt</t>
        </is>
      </c>
      <c r="G231" s="7" t="n">
        <v>0.921</v>
      </c>
      <c r="H231" s="7" t="n">
        <v>2024</v>
      </c>
      <c r="I231" s="7" t="inlineStr">
        <is>
          <t>release_generation_yearly_global.csv (Ember)</t>
        </is>
      </c>
    </row>
    <row r="232">
      <c r="A232" s="7" t="inlineStr">
        <is>
          <t>BFA</t>
        </is>
      </c>
      <c r="B232" s="7" t="inlineStr">
        <is>
          <t>Burkina Faso</t>
        </is>
      </c>
      <c r="C232" s="7" t="inlineStr">
        <is>
          <t>Sub-Saharan Africa</t>
        </is>
      </c>
      <c r="D232" s="7" t="inlineStr">
        <is>
          <t>Low income</t>
        </is>
      </c>
      <c r="E232" s="7" t="b">
        <v>1</v>
      </c>
      <c r="F232" s="7" t="inlineStr">
        <is>
          <t>ff_subsidy_explicit_pct_gdp</t>
        </is>
      </c>
      <c r="G232" s="7" t="n">
        <v>0.955</v>
      </c>
      <c r="H232" s="7" t="inlineStr">
        <is>
          <t>2024</t>
        </is>
      </c>
      <c r="I232" s="7" t="inlineStr">
        <is>
          <t>imffossilfuelsubsidiesdata.xlsb</t>
        </is>
      </c>
    </row>
    <row r="233">
      <c r="A233" s="7" t="inlineStr">
        <is>
          <t>BFA</t>
        </is>
      </c>
      <c r="B233" s="7" t="inlineStr">
        <is>
          <t>Burkina Faso</t>
        </is>
      </c>
      <c r="C233" s="7" t="inlineStr">
        <is>
          <t>Sub-Saharan Africa</t>
        </is>
      </c>
      <c r="D233" s="7" t="inlineStr">
        <is>
          <t>Low income</t>
        </is>
      </c>
      <c r="E233" s="7" t="b">
        <v>1</v>
      </c>
      <c r="F233" s="7" t="inlineStr">
        <is>
          <t>fuel_exports_pct_merch</t>
        </is>
      </c>
      <c r="G233" s="7" t="n">
        <v>0.021</v>
      </c>
      <c r="H233" s="7" t="inlineStr">
        <is>
          <t>2024</t>
        </is>
      </c>
      <c r="I233" s="7" t="inlineStr">
        <is>
          <t>API_TX_VAL_FUEL_ZS_UN_DS2_en_csv_v2_33055.zip</t>
        </is>
      </c>
    </row>
    <row r="234">
      <c r="A234" s="7" t="inlineStr">
        <is>
          <t>BFA</t>
        </is>
      </c>
      <c r="B234" s="7" t="inlineStr">
        <is>
          <t>Burkina Faso</t>
        </is>
      </c>
      <c r="C234" s="7" t="inlineStr">
        <is>
          <t>Sub-Saharan Africa</t>
        </is>
      </c>
      <c r="D234" s="7" t="inlineStr">
        <is>
          <t>Low income</t>
        </is>
      </c>
      <c r="E234" s="7" t="b">
        <v>1</v>
      </c>
      <c r="F234" s="7" t="inlineStr">
        <is>
          <t>gen_coal_twh</t>
        </is>
      </c>
      <c r="G234" s="7" t="n">
        <v>0</v>
      </c>
      <c r="H234" s="7" t="n">
        <v>2024</v>
      </c>
      <c r="I234" s="7" t="inlineStr">
        <is>
          <t>release_generation_yearly_global.csv (Ember)</t>
        </is>
      </c>
    </row>
    <row r="235">
      <c r="A235" s="7" t="inlineStr">
        <is>
          <t>BFA</t>
        </is>
      </c>
      <c r="B235" s="7" t="inlineStr">
        <is>
          <t>Burkina Faso</t>
        </is>
      </c>
      <c r="C235" s="7" t="inlineStr">
        <is>
          <t>Sub-Saharan Africa</t>
        </is>
      </c>
      <c r="D235" s="7" t="inlineStr">
        <is>
          <t>Low income</t>
        </is>
      </c>
      <c r="E235" s="7" t="b">
        <v>1</v>
      </c>
      <c r="F235" s="7" t="inlineStr">
        <is>
          <t>gen_gas_twh</t>
        </is>
      </c>
      <c r="G235" s="7" t="n">
        <v>0</v>
      </c>
      <c r="H235" s="7" t="n">
        <v>2024</v>
      </c>
      <c r="I235" s="7" t="inlineStr">
        <is>
          <t>release_generation_yearly_global.csv (Ember)</t>
        </is>
      </c>
    </row>
    <row r="236">
      <c r="A236" s="7" t="inlineStr">
        <is>
          <t>BFA</t>
        </is>
      </c>
      <c r="B236" s="7" t="inlineStr">
        <is>
          <t>Burkina Faso</t>
        </is>
      </c>
      <c r="C236" s="7" t="inlineStr">
        <is>
          <t>Sub-Saharan Africa</t>
        </is>
      </c>
      <c r="D236" s="7" t="inlineStr">
        <is>
          <t>Low income</t>
        </is>
      </c>
      <c r="E236" s="7" t="b">
        <v>1</v>
      </c>
      <c r="F236" s="7" t="inlineStr">
        <is>
          <t>gen_oil_twh</t>
        </is>
      </c>
      <c r="G236" s="7" t="n">
        <v>1.4</v>
      </c>
      <c r="H236" s="7" t="n">
        <v>2024</v>
      </c>
      <c r="I236" s="7" t="inlineStr">
        <is>
          <t>release_generation_yearly_global.csv (Ember)</t>
        </is>
      </c>
    </row>
    <row r="237">
      <c r="A237" s="7" t="inlineStr">
        <is>
          <t>BFA</t>
        </is>
      </c>
      <c r="B237" s="7" t="inlineStr">
        <is>
          <t>Burkina Faso</t>
        </is>
      </c>
      <c r="C237" s="7" t="inlineStr">
        <is>
          <t>Sub-Saharan Africa</t>
        </is>
      </c>
      <c r="D237" s="7" t="inlineStr">
        <is>
          <t>Low income</t>
        </is>
      </c>
      <c r="E237" s="7" t="b">
        <v>1</v>
      </c>
      <c r="F237" s="7" t="inlineStr">
        <is>
          <t>gen_total_twh</t>
        </is>
      </c>
      <c r="G237" s="7" t="n">
        <v>1.69</v>
      </c>
      <c r="H237" s="7" t="n">
        <v>2024</v>
      </c>
      <c r="I237" s="7" t="inlineStr">
        <is>
          <t>release_generation_yearly_global.csv (Ember)</t>
        </is>
      </c>
    </row>
    <row r="238">
      <c r="A238" s="7" t="inlineStr">
        <is>
          <t>BFA</t>
        </is>
      </c>
      <c r="B238" s="7" t="inlineStr">
        <is>
          <t>Burkina Faso</t>
        </is>
      </c>
      <c r="C238" s="7" t="inlineStr">
        <is>
          <t>Sub-Saharan Africa</t>
        </is>
      </c>
      <c r="D238" s="7" t="inlineStr">
        <is>
          <t>Low income</t>
        </is>
      </c>
      <c r="E238" s="7" t="b">
        <v>1</v>
      </c>
      <c r="F238" s="7" t="inlineStr">
        <is>
          <t>power_market_structure</t>
        </is>
      </c>
      <c r="G238" s="7" t="n">
        <v>2</v>
      </c>
      <c r="H238" s="7" t="inlineStr">
        <is>
          <t>2013</t>
        </is>
      </c>
      <c r="I238" s="7" t="inlineStr">
        <is>
          <t>dataverse_files.zip</t>
        </is>
      </c>
    </row>
    <row r="239">
      <c r="A239" s="7" t="inlineStr">
        <is>
          <t>BFA</t>
        </is>
      </c>
      <c r="B239" s="7" t="inlineStr">
        <is>
          <t>Burkina Faso</t>
        </is>
      </c>
      <c r="C239" s="7" t="inlineStr">
        <is>
          <t>Sub-Saharan Africa</t>
        </is>
      </c>
      <c r="D239" s="7" t="inlineStr">
        <is>
          <t>Low income</t>
        </is>
      </c>
      <c r="E239" s="7" t="b">
        <v>1</v>
      </c>
      <c r="F239" s="7" t="inlineStr">
        <is>
          <t>price_coal_power_usd_gj</t>
        </is>
      </c>
      <c r="G239" s="7" t="n">
        <v>5.575</v>
      </c>
      <c r="H239" s="7" t="inlineStr">
        <is>
          <t>2024</t>
        </is>
      </c>
      <c r="I239" s="7" t="inlineStr">
        <is>
          <t>imffossilfuelsubsidiesdata.xlsb</t>
        </is>
      </c>
    </row>
    <row r="240">
      <c r="A240" s="7" t="inlineStr">
        <is>
          <t>BFA</t>
        </is>
      </c>
      <c r="B240" s="7" t="inlineStr">
        <is>
          <t>Burkina Faso</t>
        </is>
      </c>
      <c r="C240" s="7" t="inlineStr">
        <is>
          <t>Sub-Saharan Africa</t>
        </is>
      </c>
      <c r="D240" s="7" t="inlineStr">
        <is>
          <t>Low income</t>
        </is>
      </c>
      <c r="E240" s="7" t="b">
        <v>1</v>
      </c>
      <c r="F240" s="7" t="inlineStr">
        <is>
          <t>price_electricity_residential_usd_kwh</t>
        </is>
      </c>
      <c r="G240" s="7" t="n">
        <v>0.186</v>
      </c>
      <c r="H240" s="7" t="inlineStr">
        <is>
          <t>2024</t>
        </is>
      </c>
      <c r="I240" s="7" t="inlineStr">
        <is>
          <t>imffossilfuelsubsidiesdata.xlsb</t>
        </is>
      </c>
    </row>
    <row r="241">
      <c r="A241" s="7" t="inlineStr">
        <is>
          <t>BFA</t>
        </is>
      </c>
      <c r="B241" s="7" t="inlineStr">
        <is>
          <t>Burkina Faso</t>
        </is>
      </c>
      <c r="C241" s="7" t="inlineStr">
        <is>
          <t>Sub-Saharan Africa</t>
        </is>
      </c>
      <c r="D241" s="7" t="inlineStr">
        <is>
          <t>Low income</t>
        </is>
      </c>
      <c r="E241" s="7" t="b">
        <v>1</v>
      </c>
      <c r="F241" s="7" t="inlineStr">
        <is>
          <t>price_gas_industry_usd_gj</t>
        </is>
      </c>
      <c r="G241" s="7" t="n">
        <v>6.998</v>
      </c>
      <c r="H241" s="7" t="inlineStr">
        <is>
          <t>2024</t>
        </is>
      </c>
      <c r="I241" s="7" t="inlineStr">
        <is>
          <t>imffossilfuelsubsidiesdata.xlsb</t>
        </is>
      </c>
    </row>
    <row r="242">
      <c r="A242" s="7" t="inlineStr">
        <is>
          <t>BFA</t>
        </is>
      </c>
      <c r="B242" s="7" t="inlineStr">
        <is>
          <t>Burkina Faso</t>
        </is>
      </c>
      <c r="C242" s="7" t="inlineStr">
        <is>
          <t>Sub-Saharan Africa</t>
        </is>
      </c>
      <c r="D242" s="7" t="inlineStr">
        <is>
          <t>Low income</t>
        </is>
      </c>
      <c r="E242" s="7" t="b">
        <v>1</v>
      </c>
      <c r="F242" s="7" t="inlineStr">
        <is>
          <t>price_gas_power_usd_gj</t>
        </is>
      </c>
      <c r="G242" s="7" t="n">
        <v>5.675</v>
      </c>
      <c r="H242" s="7" t="inlineStr">
        <is>
          <t>2024</t>
        </is>
      </c>
      <c r="I242" s="7" t="inlineStr">
        <is>
          <t>imffossilfuelsubsidiesdata.xlsb</t>
        </is>
      </c>
    </row>
    <row r="243">
      <c r="A243" s="7" t="inlineStr">
        <is>
          <t>BFA</t>
        </is>
      </c>
      <c r="B243" s="7" t="inlineStr">
        <is>
          <t>Burkina Faso</t>
        </is>
      </c>
      <c r="C243" s="7" t="inlineStr">
        <is>
          <t>Sub-Saharan Africa</t>
        </is>
      </c>
      <c r="D243" s="7" t="inlineStr">
        <is>
          <t>Low income</t>
        </is>
      </c>
      <c r="E243" s="7" t="b">
        <v>1</v>
      </c>
      <c r="F243" s="7" t="inlineStr">
        <is>
          <t>rise_renewable_energy_score</t>
        </is>
      </c>
      <c r="G243" s="7" t="n">
        <v>25.759</v>
      </c>
      <c r="H243" s="7" t="inlineStr">
        <is>
          <t>2023</t>
        </is>
      </c>
      <c r="I243" s="7" t="inlineStr">
        <is>
          <t>WB_RISE_WIDEF.csv</t>
        </is>
      </c>
    </row>
    <row r="244">
      <c r="A244" s="7" t="inlineStr">
        <is>
          <t>BGD</t>
        </is>
      </c>
      <c r="B244" s="7" t="inlineStr">
        <is>
          <t>Bangladesh</t>
        </is>
      </c>
      <c r="C244" s="7" t="inlineStr">
        <is>
          <t>South Asia</t>
        </is>
      </c>
      <c r="D244" s="7" t="inlineStr">
        <is>
          <t>Lower middle income</t>
        </is>
      </c>
      <c r="E244" s="7" t="b">
        <v>1</v>
      </c>
      <c r="F244" s="7" t="inlineStr">
        <is>
          <t>coal_rents_pct_gdp</t>
        </is>
      </c>
      <c r="G244" s="7" t="n">
        <v>0.013</v>
      </c>
      <c r="H244" s="7" t="inlineStr">
        <is>
          <t>2021</t>
        </is>
      </c>
      <c r="I244" s="7" t="inlineStr">
        <is>
          <t>API_NY_GDP_COAL_RT_ZS_DS2_en_csv_v2_35370.zip</t>
        </is>
      </c>
    </row>
    <row r="245">
      <c r="A245" s="7" t="inlineStr">
        <is>
          <t>BGD</t>
        </is>
      </c>
      <c r="B245" s="7" t="inlineStr">
        <is>
          <t>Bangladesh</t>
        </is>
      </c>
      <c r="C245" s="7" t="inlineStr">
        <is>
          <t>South Asia</t>
        </is>
      </c>
      <c r="D245" s="7" t="inlineStr">
        <is>
          <t>Lower middle income</t>
        </is>
      </c>
      <c r="E245" s="7" t="b">
        <v>1</v>
      </c>
      <c r="F245" s="7" t="inlineStr">
        <is>
          <t>em_coal_mt</t>
        </is>
      </c>
      <c r="G245" s="7" t="n">
        <v>16.481</v>
      </c>
      <c r="H245" s="7" t="n">
        <v>2024</v>
      </c>
      <c r="I245" s="7" t="inlineStr">
        <is>
          <t>release_generation_yearly_global.csv (Ember)</t>
        </is>
      </c>
    </row>
    <row r="246">
      <c r="A246" s="7" t="inlineStr">
        <is>
          <t>BGD</t>
        </is>
      </c>
      <c r="B246" s="7" t="inlineStr">
        <is>
          <t>Bangladesh</t>
        </is>
      </c>
      <c r="C246" s="7" t="inlineStr">
        <is>
          <t>South Asia</t>
        </is>
      </c>
      <c r="D246" s="7" t="inlineStr">
        <is>
          <t>Lower middle income</t>
        </is>
      </c>
      <c r="E246" s="7" t="b">
        <v>1</v>
      </c>
      <c r="F246" s="7" t="inlineStr">
        <is>
          <t>em_gas_mt</t>
        </is>
      </c>
      <c r="G246" s="7" t="n">
        <v>46.015</v>
      </c>
      <c r="H246" s="7" t="n">
        <v>2024</v>
      </c>
      <c r="I246" s="7" t="inlineStr">
        <is>
          <t>release_generation_yearly_global.csv (Ember)</t>
        </is>
      </c>
    </row>
    <row r="247">
      <c r="A247" s="7" t="inlineStr">
        <is>
          <t>BGD</t>
        </is>
      </c>
      <c r="B247" s="7" t="inlineStr">
        <is>
          <t>Bangladesh</t>
        </is>
      </c>
      <c r="C247" s="7" t="inlineStr">
        <is>
          <t>South Asia</t>
        </is>
      </c>
      <c r="D247" s="7" t="inlineStr">
        <is>
          <t>Lower middle income</t>
        </is>
      </c>
      <c r="E247" s="7" t="b">
        <v>1</v>
      </c>
      <c r="F247" s="7" t="inlineStr">
        <is>
          <t>em_oil_mt</t>
        </is>
      </c>
      <c r="G247" s="7" t="n">
        <v>8.225</v>
      </c>
      <c r="H247" s="7" t="n">
        <v>2024</v>
      </c>
      <c r="I247" s="7" t="inlineStr">
        <is>
          <t>release_generation_yearly_global.csv (Ember)</t>
        </is>
      </c>
    </row>
    <row r="248">
      <c r="A248" s="7" t="inlineStr">
        <is>
          <t>BGD</t>
        </is>
      </c>
      <c r="B248" s="7" t="inlineStr">
        <is>
          <t>Bangladesh</t>
        </is>
      </c>
      <c r="C248" s="7" t="inlineStr">
        <is>
          <t>South Asia</t>
        </is>
      </c>
      <c r="D248" s="7" t="inlineStr">
        <is>
          <t>Lower middle income</t>
        </is>
      </c>
      <c r="E248" s="7" t="b">
        <v>1</v>
      </c>
      <c r="F248" s="7" t="inlineStr">
        <is>
          <t>ff_subsidy_explicit_pct_gdp</t>
        </is>
      </c>
      <c r="G248" s="7" t="n">
        <v>2.547</v>
      </c>
      <c r="H248" s="7" t="inlineStr">
        <is>
          <t>2024</t>
        </is>
      </c>
      <c r="I248" s="7" t="inlineStr">
        <is>
          <t>imffossilfuelsubsidiesdata.xlsb</t>
        </is>
      </c>
    </row>
    <row r="249">
      <c r="A249" s="7" t="inlineStr">
        <is>
          <t>BGD</t>
        </is>
      </c>
      <c r="B249" s="7" t="inlineStr">
        <is>
          <t>Bangladesh</t>
        </is>
      </c>
      <c r="C249" s="7" t="inlineStr">
        <is>
          <t>South Asia</t>
        </is>
      </c>
      <c r="D249" s="7" t="inlineStr">
        <is>
          <t>Lower middle income</t>
        </is>
      </c>
      <c r="E249" s="7" t="b">
        <v>1</v>
      </c>
      <c r="F249" s="7" t="inlineStr">
        <is>
          <t>fuel_exports_pct_merch</t>
        </is>
      </c>
      <c r="G249" s="7" t="n">
        <v>1.097</v>
      </c>
      <c r="H249" s="7" t="inlineStr">
        <is>
          <t>2018</t>
        </is>
      </c>
      <c r="I249" s="7" t="inlineStr">
        <is>
          <t>API_TX_VAL_FUEL_ZS_UN_DS2_en_csv_v2_33055.zip</t>
        </is>
      </c>
    </row>
    <row r="250">
      <c r="A250" s="7" t="inlineStr">
        <is>
          <t>BGD</t>
        </is>
      </c>
      <c r="B250" s="7" t="inlineStr">
        <is>
          <t>Bangladesh</t>
        </is>
      </c>
      <c r="C250" s="7" t="inlineStr">
        <is>
          <t>South Asia</t>
        </is>
      </c>
      <c r="D250" s="7" t="inlineStr">
        <is>
          <t>Lower middle income</t>
        </is>
      </c>
      <c r="E250" s="7" t="b">
        <v>1</v>
      </c>
      <c r="F250" s="7" t="inlineStr">
        <is>
          <t>gen_coal_twh</t>
        </is>
      </c>
      <c r="G250" s="7" t="n">
        <v>20.29</v>
      </c>
      <c r="H250" s="7" t="n">
        <v>2024</v>
      </c>
      <c r="I250" s="7" t="inlineStr">
        <is>
          <t>release_generation_yearly_global.csv (Ember)</t>
        </is>
      </c>
    </row>
    <row r="251">
      <c r="A251" s="7" t="inlineStr">
        <is>
          <t>BGD</t>
        </is>
      </c>
      <c r="B251" s="7" t="inlineStr">
        <is>
          <t>Bangladesh</t>
        </is>
      </c>
      <c r="C251" s="7" t="inlineStr">
        <is>
          <t>South Asia</t>
        </is>
      </c>
      <c r="D251" s="7" t="inlineStr">
        <is>
          <t>Lower middle income</t>
        </is>
      </c>
      <c r="E251" s="7" t="b">
        <v>1</v>
      </c>
      <c r="F251" s="7" t="inlineStr">
        <is>
          <t>gen_gas_twh</t>
        </is>
      </c>
      <c r="G251" s="7" t="n">
        <v>67.03</v>
      </c>
      <c r="H251" s="7" t="n">
        <v>2024</v>
      </c>
      <c r="I251" s="7" t="inlineStr">
        <is>
          <t>release_generation_yearly_global.csv (Ember)</t>
        </is>
      </c>
    </row>
    <row r="252">
      <c r="A252" s="7" t="inlineStr">
        <is>
          <t>BGD</t>
        </is>
      </c>
      <c r="B252" s="7" t="inlineStr">
        <is>
          <t>Bangladesh</t>
        </is>
      </c>
      <c r="C252" s="7" t="inlineStr">
        <is>
          <t>South Asia</t>
        </is>
      </c>
      <c r="D252" s="7" t="inlineStr">
        <is>
          <t>Lower middle income</t>
        </is>
      </c>
      <c r="E252" s="7" t="b">
        <v>1</v>
      </c>
      <c r="F252" s="7" t="inlineStr">
        <is>
          <t>gen_oil_twh</t>
        </is>
      </c>
      <c r="G252" s="7" t="n">
        <v>12.5</v>
      </c>
      <c r="H252" s="7" t="n">
        <v>2024</v>
      </c>
      <c r="I252" s="7" t="inlineStr">
        <is>
          <t>release_generation_yearly_global.csv (Ember)</t>
        </is>
      </c>
    </row>
    <row r="253">
      <c r="A253" s="7" t="inlineStr">
        <is>
          <t>BGD</t>
        </is>
      </c>
      <c r="B253" s="7" t="inlineStr">
        <is>
          <t>Bangladesh</t>
        </is>
      </c>
      <c r="C253" s="7" t="inlineStr">
        <is>
          <t>South Asia</t>
        </is>
      </c>
      <c r="D253" s="7" t="inlineStr">
        <is>
          <t>Lower middle income</t>
        </is>
      </c>
      <c r="E253" s="7" t="b">
        <v>1</v>
      </c>
      <c r="F253" s="7" t="inlineStr">
        <is>
          <t>gen_total_twh</t>
        </is>
      </c>
      <c r="G253" s="7" t="n">
        <v>101.74</v>
      </c>
      <c r="H253" s="7" t="n">
        <v>2024</v>
      </c>
      <c r="I253" s="7" t="inlineStr">
        <is>
          <t>release_generation_yearly_global.csv (Ember)</t>
        </is>
      </c>
    </row>
    <row r="254">
      <c r="A254" s="7" t="inlineStr">
        <is>
          <t>BGD</t>
        </is>
      </c>
      <c r="B254" s="7" t="inlineStr">
        <is>
          <t>Bangladesh</t>
        </is>
      </c>
      <c r="C254" s="7" t="inlineStr">
        <is>
          <t>South Asia</t>
        </is>
      </c>
      <c r="D254" s="7" t="inlineStr">
        <is>
          <t>Lower middle income</t>
        </is>
      </c>
      <c r="E254" s="7" t="b">
        <v>1</v>
      </c>
      <c r="F254" s="7" t="inlineStr">
        <is>
          <t>power_market_structure</t>
        </is>
      </c>
      <c r="G254" s="7" t="n">
        <v>2</v>
      </c>
      <c r="H254" s="7" t="inlineStr">
        <is>
          <t>2013</t>
        </is>
      </c>
      <c r="I254" s="7" t="inlineStr">
        <is>
          <t>dataverse_files.zip</t>
        </is>
      </c>
    </row>
    <row r="255">
      <c r="A255" s="7" t="inlineStr">
        <is>
          <t>BGD</t>
        </is>
      </c>
      <c r="B255" s="7" t="inlineStr">
        <is>
          <t>Bangladesh</t>
        </is>
      </c>
      <c r="C255" s="7" t="inlineStr">
        <is>
          <t>South Asia</t>
        </is>
      </c>
      <c r="D255" s="7" t="inlineStr">
        <is>
          <t>Lower middle income</t>
        </is>
      </c>
      <c r="E255" s="7" t="b">
        <v>1</v>
      </c>
      <c r="F255" s="7" t="inlineStr">
        <is>
          <t>price_coal_power_usd_gj</t>
        </is>
      </c>
      <c r="G255" s="7" t="n">
        <v>4.506</v>
      </c>
      <c r="H255" s="7" t="inlineStr">
        <is>
          <t>2024</t>
        </is>
      </c>
      <c r="I255" s="7" t="inlineStr">
        <is>
          <t>imffossilfuelsubsidiesdata.xlsb</t>
        </is>
      </c>
    </row>
    <row r="256">
      <c r="A256" s="7" t="inlineStr">
        <is>
          <t>BGD</t>
        </is>
      </c>
      <c r="B256" s="7" t="inlineStr">
        <is>
          <t>Bangladesh</t>
        </is>
      </c>
      <c r="C256" s="7" t="inlineStr">
        <is>
          <t>South Asia</t>
        </is>
      </c>
      <c r="D256" s="7" t="inlineStr">
        <is>
          <t>Lower middle income</t>
        </is>
      </c>
      <c r="E256" s="7" t="b">
        <v>1</v>
      </c>
      <c r="F256" s="7" t="inlineStr">
        <is>
          <t>price_electricity_residential_usd_kwh</t>
        </is>
      </c>
      <c r="G256" s="7" t="n">
        <v>0.038</v>
      </c>
      <c r="H256" s="7" t="inlineStr">
        <is>
          <t>2024</t>
        </is>
      </c>
      <c r="I256" s="7" t="inlineStr">
        <is>
          <t>imffossilfuelsubsidiesdata.xlsb</t>
        </is>
      </c>
    </row>
    <row r="257">
      <c r="A257" s="7" t="inlineStr">
        <is>
          <t>BGD</t>
        </is>
      </c>
      <c r="B257" s="7" t="inlineStr">
        <is>
          <t>Bangladesh</t>
        </is>
      </c>
      <c r="C257" s="7" t="inlineStr">
        <is>
          <t>South Asia</t>
        </is>
      </c>
      <c r="D257" s="7" t="inlineStr">
        <is>
          <t>Lower middle income</t>
        </is>
      </c>
      <c r="E257" s="7" t="b">
        <v>1</v>
      </c>
      <c r="F257" s="7" t="inlineStr">
        <is>
          <t>price_gas_industry_usd_gj</t>
        </is>
      </c>
      <c r="G257" s="7" t="n">
        <v>6.719</v>
      </c>
      <c r="H257" s="7" t="inlineStr">
        <is>
          <t>2024</t>
        </is>
      </c>
      <c r="I257" s="7" t="inlineStr">
        <is>
          <t>imffossilfuelsubsidiesdata.xlsb</t>
        </is>
      </c>
    </row>
    <row r="258">
      <c r="A258" s="7" t="inlineStr">
        <is>
          <t>BGD</t>
        </is>
      </c>
      <c r="B258" s="7" t="inlineStr">
        <is>
          <t>Bangladesh</t>
        </is>
      </c>
      <c r="C258" s="7" t="inlineStr">
        <is>
          <t>South Asia</t>
        </is>
      </c>
      <c r="D258" s="7" t="inlineStr">
        <is>
          <t>Lower middle income</t>
        </is>
      </c>
      <c r="E258" s="7" t="b">
        <v>1</v>
      </c>
      <c r="F258" s="7" t="inlineStr">
        <is>
          <t>price_gas_power_usd_gj</t>
        </is>
      </c>
      <c r="G258" s="7" t="n">
        <v>3.472</v>
      </c>
      <c r="H258" s="7" t="inlineStr">
        <is>
          <t>2024</t>
        </is>
      </c>
      <c r="I258" s="7" t="inlineStr">
        <is>
          <t>imffossilfuelsubsidiesdata.xlsb</t>
        </is>
      </c>
    </row>
    <row r="259">
      <c r="A259" s="7" t="inlineStr">
        <is>
          <t>BGD</t>
        </is>
      </c>
      <c r="B259" s="7" t="inlineStr">
        <is>
          <t>Bangladesh</t>
        </is>
      </c>
      <c r="C259" s="7" t="inlineStr">
        <is>
          <t>South Asia</t>
        </is>
      </c>
      <c r="D259" s="7" t="inlineStr">
        <is>
          <t>Lower middle income</t>
        </is>
      </c>
      <c r="E259" s="7" t="b">
        <v>1</v>
      </c>
      <c r="F259" s="7" t="inlineStr">
        <is>
          <t>rise_renewable_energy_score</t>
        </is>
      </c>
      <c r="G259" s="7" t="n">
        <v>26.786</v>
      </c>
      <c r="H259" s="7" t="inlineStr">
        <is>
          <t>2023</t>
        </is>
      </c>
      <c r="I259" s="7" t="inlineStr">
        <is>
          <t>WB_RISE_WIDEF.csv</t>
        </is>
      </c>
    </row>
    <row r="260">
      <c r="A260" s="7" t="inlineStr">
        <is>
          <t>BGR</t>
        </is>
      </c>
      <c r="B260" s="7" t="inlineStr">
        <is>
          <t>Bulgaria</t>
        </is>
      </c>
      <c r="C260" s="7" t="inlineStr">
        <is>
          <t>Europe &amp; Central Asia</t>
        </is>
      </c>
      <c r="D260" s="7" t="inlineStr">
        <is>
          <t>High income</t>
        </is>
      </c>
      <c r="E260" s="7" t="b">
        <v>0</v>
      </c>
      <c r="F260" s="7" t="inlineStr">
        <is>
          <t>coal_rents_pct_gdp</t>
        </is>
      </c>
      <c r="G260" s="7" t="n">
        <v>0.126</v>
      </c>
      <c r="H260" s="7" t="inlineStr">
        <is>
          <t>2021</t>
        </is>
      </c>
      <c r="I260" s="7" t="inlineStr">
        <is>
          <t>API_NY_GDP_COAL_RT_ZS_DS2_en_csv_v2_35370.zip</t>
        </is>
      </c>
    </row>
    <row r="261">
      <c r="A261" s="7" t="inlineStr">
        <is>
          <t>BGR</t>
        </is>
      </c>
      <c r="B261" s="7" t="inlineStr">
        <is>
          <t>Bulgaria</t>
        </is>
      </c>
      <c r="C261" s="7" t="inlineStr">
        <is>
          <t>Europe &amp; Central Asia</t>
        </is>
      </c>
      <c r="D261" s="7" t="inlineStr">
        <is>
          <t>High income</t>
        </is>
      </c>
      <c r="E261" s="7" t="b">
        <v>0</v>
      </c>
      <c r="F261" s="7" t="inlineStr">
        <is>
          <t>em_coal_mt</t>
        </is>
      </c>
      <c r="G261" s="7" t="n">
        <v>8.884</v>
      </c>
      <c r="H261" s="7" t="n">
        <v>2024</v>
      </c>
      <c r="I261" s="7" t="inlineStr">
        <is>
          <t>release_generation_yearly_global.csv (Ember)</t>
        </is>
      </c>
    </row>
    <row r="262">
      <c r="A262" s="7" t="inlineStr">
        <is>
          <t>BGR</t>
        </is>
      </c>
      <c r="B262" s="7" t="inlineStr">
        <is>
          <t>Bulgaria</t>
        </is>
      </c>
      <c r="C262" s="7" t="inlineStr">
        <is>
          <t>Europe &amp; Central Asia</t>
        </is>
      </c>
      <c r="D262" s="7" t="inlineStr">
        <is>
          <t>High income</t>
        </is>
      </c>
      <c r="E262" s="7" t="b">
        <v>0</v>
      </c>
      <c r="F262" s="7" t="inlineStr">
        <is>
          <t>em_gas_mt</t>
        </is>
      </c>
      <c r="G262" s="7" t="n">
        <v>0.833</v>
      </c>
      <c r="H262" s="7" t="n">
        <v>2024</v>
      </c>
      <c r="I262" s="7" t="inlineStr">
        <is>
          <t>release_generation_yearly_global.csv (Ember)</t>
        </is>
      </c>
    </row>
    <row r="263">
      <c r="A263" s="7" t="inlineStr">
        <is>
          <t>BGR</t>
        </is>
      </c>
      <c r="B263" s="7" t="inlineStr">
        <is>
          <t>Bulgaria</t>
        </is>
      </c>
      <c r="C263" s="7" t="inlineStr">
        <is>
          <t>Europe &amp; Central Asia</t>
        </is>
      </c>
      <c r="D263" s="7" t="inlineStr">
        <is>
          <t>High income</t>
        </is>
      </c>
      <c r="E263" s="7" t="b">
        <v>0</v>
      </c>
      <c r="F263" s="7" t="inlineStr">
        <is>
          <t>em_oil_mt</t>
        </is>
      </c>
      <c r="G263" s="7" t="n">
        <v>0.171</v>
      </c>
      <c r="H263" s="7" t="n">
        <v>2024</v>
      </c>
      <c r="I263" s="7" t="inlineStr">
        <is>
          <t>release_generation_yearly_global.csv (Ember)</t>
        </is>
      </c>
    </row>
    <row r="264">
      <c r="A264" s="7" t="inlineStr">
        <is>
          <t>BGR</t>
        </is>
      </c>
      <c r="B264" s="7" t="inlineStr">
        <is>
          <t>Bulgaria</t>
        </is>
      </c>
      <c r="C264" s="7" t="inlineStr">
        <is>
          <t>Europe &amp; Central Asia</t>
        </is>
      </c>
      <c r="D264" s="7" t="inlineStr">
        <is>
          <t>High income</t>
        </is>
      </c>
      <c r="E264" s="7" t="b">
        <v>0</v>
      </c>
      <c r="F264" s="7" t="inlineStr">
        <is>
          <t>ff_subsidy_explicit_pct_gdp</t>
        </is>
      </c>
      <c r="G264" s="7" t="n">
        <v>0.292</v>
      </c>
      <c r="H264" s="7" t="inlineStr">
        <is>
          <t>2024</t>
        </is>
      </c>
      <c r="I264" s="7" t="inlineStr">
        <is>
          <t>imffossilfuelsubsidiesdata.xlsb</t>
        </is>
      </c>
    </row>
    <row r="265">
      <c r="A265" s="7" t="inlineStr">
        <is>
          <t>BGR</t>
        </is>
      </c>
      <c r="B265" s="7" t="inlineStr">
        <is>
          <t>Bulgaria</t>
        </is>
      </c>
      <c r="C265" s="7" t="inlineStr">
        <is>
          <t>Europe &amp; Central Asia</t>
        </is>
      </c>
      <c r="D265" s="7" t="inlineStr">
        <is>
          <t>High income</t>
        </is>
      </c>
      <c r="E265" s="7" t="b">
        <v>0</v>
      </c>
      <c r="F265" s="7" t="inlineStr">
        <is>
          <t>fuel_exports_pct_merch</t>
        </is>
      </c>
      <c r="G265" s="7" t="n">
        <v>7.764</v>
      </c>
      <c r="H265" s="7" t="inlineStr">
        <is>
          <t>2024</t>
        </is>
      </c>
      <c r="I265" s="7" t="inlineStr">
        <is>
          <t>API_TX_VAL_FUEL_ZS_UN_DS2_en_csv_v2_33055.zip</t>
        </is>
      </c>
    </row>
    <row r="266">
      <c r="A266" s="7" t="inlineStr">
        <is>
          <t>BGR</t>
        </is>
      </c>
      <c r="B266" s="7" t="inlineStr">
        <is>
          <t>Bulgaria</t>
        </is>
      </c>
      <c r="C266" s="7" t="inlineStr">
        <is>
          <t>Europe &amp; Central Asia</t>
        </is>
      </c>
      <c r="D266" s="7" t="inlineStr">
        <is>
          <t>High income</t>
        </is>
      </c>
      <c r="E266" s="7" t="b">
        <v>0</v>
      </c>
      <c r="F266" s="7" t="inlineStr">
        <is>
          <t>gen_coal_twh</t>
        </is>
      </c>
      <c r="G266" s="7" t="n">
        <v>8.76</v>
      </c>
      <c r="H266" s="7" t="n">
        <v>2024</v>
      </c>
      <c r="I266" s="7" t="inlineStr">
        <is>
          <t>release_generation_yearly_global.csv (Ember)</t>
        </is>
      </c>
    </row>
    <row r="267">
      <c r="A267" s="7" t="inlineStr">
        <is>
          <t>BGR</t>
        </is>
      </c>
      <c r="B267" s="7" t="inlineStr">
        <is>
          <t>Bulgaria</t>
        </is>
      </c>
      <c r="C267" s="7" t="inlineStr">
        <is>
          <t>Europe &amp; Central Asia</t>
        </is>
      </c>
      <c r="D267" s="7" t="inlineStr">
        <is>
          <t>High income</t>
        </is>
      </c>
      <c r="E267" s="7" t="b">
        <v>0</v>
      </c>
      <c r="F267" s="7" t="inlineStr">
        <is>
          <t>gen_gas_twh</t>
        </is>
      </c>
      <c r="G267" s="7" t="n">
        <v>2.04</v>
      </c>
      <c r="H267" s="7" t="n">
        <v>2024</v>
      </c>
      <c r="I267" s="7" t="inlineStr">
        <is>
          <t>release_generation_yearly_global.csv (Ember)</t>
        </is>
      </c>
    </row>
    <row r="268">
      <c r="A268" s="7" t="inlineStr">
        <is>
          <t>BGR</t>
        </is>
      </c>
      <c r="B268" s="7" t="inlineStr">
        <is>
          <t>Bulgaria</t>
        </is>
      </c>
      <c r="C268" s="7" t="inlineStr">
        <is>
          <t>Europe &amp; Central Asia</t>
        </is>
      </c>
      <c r="D268" s="7" t="inlineStr">
        <is>
          <t>High income</t>
        </is>
      </c>
      <c r="E268" s="7" t="b">
        <v>0</v>
      </c>
      <c r="F268" s="7" t="inlineStr">
        <is>
          <t>gen_oil_twh</t>
        </is>
      </c>
      <c r="G268" s="7" t="n">
        <v>0.26</v>
      </c>
      <c r="H268" s="7" t="n">
        <v>2024</v>
      </c>
      <c r="I268" s="7" t="inlineStr">
        <is>
          <t>release_generation_yearly_global.csv (Ember)</t>
        </is>
      </c>
    </row>
    <row r="269">
      <c r="A269" s="7" t="inlineStr">
        <is>
          <t>BGR</t>
        </is>
      </c>
      <c r="B269" s="7" t="inlineStr">
        <is>
          <t>Bulgaria</t>
        </is>
      </c>
      <c r="C269" s="7" t="inlineStr">
        <is>
          <t>Europe &amp; Central Asia</t>
        </is>
      </c>
      <c r="D269" s="7" t="inlineStr">
        <is>
          <t>High income</t>
        </is>
      </c>
      <c r="E269" s="7" t="b">
        <v>0</v>
      </c>
      <c r="F269" s="7" t="inlineStr">
        <is>
          <t>gen_total_twh</t>
        </is>
      </c>
      <c r="G269" s="7" t="n">
        <v>38.3</v>
      </c>
      <c r="H269" s="7" t="n">
        <v>2024</v>
      </c>
      <c r="I269" s="7" t="inlineStr">
        <is>
          <t>release_generation_yearly_global.csv (Ember)</t>
        </is>
      </c>
    </row>
    <row r="270">
      <c r="A270" s="7" t="inlineStr">
        <is>
          <t>BGR</t>
        </is>
      </c>
      <c r="B270" s="7" t="inlineStr">
        <is>
          <t>Bulgaria</t>
        </is>
      </c>
      <c r="C270" s="7" t="inlineStr">
        <is>
          <t>Europe &amp; Central Asia</t>
        </is>
      </c>
      <c r="D270" s="7" t="inlineStr">
        <is>
          <t>High income</t>
        </is>
      </c>
      <c r="E270" s="7" t="b">
        <v>0</v>
      </c>
      <c r="F270" s="7" t="inlineStr">
        <is>
          <t>power_market_structure</t>
        </is>
      </c>
      <c r="G270" s="7" t="n">
        <v>3</v>
      </c>
      <c r="H270" s="7" t="inlineStr">
        <is>
          <t>2013</t>
        </is>
      </c>
      <c r="I270" s="7" t="inlineStr">
        <is>
          <t>dataverse_files.zip</t>
        </is>
      </c>
    </row>
    <row r="271">
      <c r="A271" s="7" t="inlineStr">
        <is>
          <t>BGR</t>
        </is>
      </c>
      <c r="B271" s="7" t="inlineStr">
        <is>
          <t>Bulgaria</t>
        </is>
      </c>
      <c r="C271" s="7" t="inlineStr">
        <is>
          <t>Europe &amp; Central Asia</t>
        </is>
      </c>
      <c r="D271" s="7" t="inlineStr">
        <is>
          <t>High income</t>
        </is>
      </c>
      <c r="E271" s="7" t="b">
        <v>0</v>
      </c>
      <c r="F271" s="7" t="inlineStr">
        <is>
          <t>price_coal_power_usd_gj</t>
        </is>
      </c>
      <c r="G271" s="7" t="n">
        <v>12.622</v>
      </c>
      <c r="H271" s="7" t="inlineStr">
        <is>
          <t>2024</t>
        </is>
      </c>
      <c r="I271" s="7" t="inlineStr">
        <is>
          <t>imffossilfuelsubsidiesdata.xlsb</t>
        </is>
      </c>
    </row>
    <row r="272">
      <c r="A272" s="7" t="inlineStr">
        <is>
          <t>BGR</t>
        </is>
      </c>
      <c r="B272" s="7" t="inlineStr">
        <is>
          <t>Bulgaria</t>
        </is>
      </c>
      <c r="C272" s="7" t="inlineStr">
        <is>
          <t>Europe &amp; Central Asia</t>
        </is>
      </c>
      <c r="D272" s="7" t="inlineStr">
        <is>
          <t>High income</t>
        </is>
      </c>
      <c r="E272" s="7" t="b">
        <v>0</v>
      </c>
      <c r="F272" s="7" t="inlineStr">
        <is>
          <t>price_electricity_residential_usd_kwh</t>
        </is>
      </c>
      <c r="G272" s="7" t="n">
        <v>0.13</v>
      </c>
      <c r="H272" s="7" t="inlineStr">
        <is>
          <t>2024</t>
        </is>
      </c>
      <c r="I272" s="7" t="inlineStr">
        <is>
          <t>imffossilfuelsubsidiesdata.xlsb</t>
        </is>
      </c>
    </row>
    <row r="273">
      <c r="A273" s="7" t="inlineStr">
        <is>
          <t>BGR</t>
        </is>
      </c>
      <c r="B273" s="7" t="inlineStr">
        <is>
          <t>Bulgaria</t>
        </is>
      </c>
      <c r="C273" s="7" t="inlineStr">
        <is>
          <t>Europe &amp; Central Asia</t>
        </is>
      </c>
      <c r="D273" s="7" t="inlineStr">
        <is>
          <t>High income</t>
        </is>
      </c>
      <c r="E273" s="7" t="b">
        <v>0</v>
      </c>
      <c r="F273" s="7" t="inlineStr">
        <is>
          <t>price_gas_industry_usd_gj</t>
        </is>
      </c>
      <c r="G273" s="7" t="n">
        <v>16.43</v>
      </c>
      <c r="H273" s="7" t="inlineStr">
        <is>
          <t>2024</t>
        </is>
      </c>
      <c r="I273" s="7" t="inlineStr">
        <is>
          <t>imffossilfuelsubsidiesdata.xlsb</t>
        </is>
      </c>
    </row>
    <row r="274">
      <c r="A274" s="7" t="inlineStr">
        <is>
          <t>BGR</t>
        </is>
      </c>
      <c r="B274" s="7" t="inlineStr">
        <is>
          <t>Bulgaria</t>
        </is>
      </c>
      <c r="C274" s="7" t="inlineStr">
        <is>
          <t>Europe &amp; Central Asia</t>
        </is>
      </c>
      <c r="D274" s="7" t="inlineStr">
        <is>
          <t>High income</t>
        </is>
      </c>
      <c r="E274" s="7" t="b">
        <v>0</v>
      </c>
      <c r="F274" s="7" t="inlineStr">
        <is>
          <t>price_gas_power_usd_gj</t>
        </is>
      </c>
      <c r="G274" s="7" t="n">
        <v>16.43</v>
      </c>
      <c r="H274" s="7" t="inlineStr">
        <is>
          <t>2024</t>
        </is>
      </c>
      <c r="I274" s="7" t="inlineStr">
        <is>
          <t>imffossilfuelsubsidiesdata.xlsb</t>
        </is>
      </c>
    </row>
    <row r="275">
      <c r="A275" s="7" t="inlineStr">
        <is>
          <t>BGR</t>
        </is>
      </c>
      <c r="B275" s="7" t="inlineStr">
        <is>
          <t>Bulgaria</t>
        </is>
      </c>
      <c r="C275" s="7" t="inlineStr">
        <is>
          <t>Europe &amp; Central Asia</t>
        </is>
      </c>
      <c r="D275" s="7" t="inlineStr">
        <is>
          <t>High income</t>
        </is>
      </c>
      <c r="E275" s="7" t="b">
        <v>0</v>
      </c>
      <c r="F275" s="7" t="inlineStr">
        <is>
          <t>rise_renewable_energy_score</t>
        </is>
      </c>
      <c r="G275" s="7" t="n">
        <v>65.074</v>
      </c>
      <c r="H275" s="7" t="inlineStr">
        <is>
          <t>2023</t>
        </is>
      </c>
      <c r="I275" s="7" t="inlineStr">
        <is>
          <t>WB_RISE_WIDEF.csv</t>
        </is>
      </c>
    </row>
    <row r="276">
      <c r="A276" s="7" t="inlineStr">
        <is>
          <t>BHR</t>
        </is>
      </c>
      <c r="B276" s="7" t="inlineStr">
        <is>
          <t>Bahrain</t>
        </is>
      </c>
      <c r="C276" s="7" t="inlineStr">
        <is>
          <t>Middle East &amp; North Africa</t>
        </is>
      </c>
      <c r="D276" s="7" t="inlineStr">
        <is>
          <t>High income</t>
        </is>
      </c>
      <c r="E276" s="7" t="b">
        <v>0</v>
      </c>
      <c r="F276" s="7" t="inlineStr">
        <is>
          <t>coal_rents_pct_gdp</t>
        </is>
      </c>
      <c r="G276" s="7" t="n">
        <v>0</v>
      </c>
      <c r="H276" s="7" t="inlineStr">
        <is>
          <t>2021</t>
        </is>
      </c>
      <c r="I276" s="7" t="inlineStr">
        <is>
          <t>API_NY_GDP_COAL_RT_ZS_DS2_en_csv_v2_35370.zip</t>
        </is>
      </c>
    </row>
    <row r="277">
      <c r="A277" s="7" t="inlineStr">
        <is>
          <t>BHR</t>
        </is>
      </c>
      <c r="B277" s="7" t="inlineStr">
        <is>
          <t>Bahrain</t>
        </is>
      </c>
      <c r="C277" s="7" t="inlineStr">
        <is>
          <t>Middle East &amp; North Africa</t>
        </is>
      </c>
      <c r="D277" s="7" t="inlineStr">
        <is>
          <t>High income</t>
        </is>
      </c>
      <c r="E277" s="7" t="b">
        <v>0</v>
      </c>
      <c r="F277" s="7" t="inlineStr">
        <is>
          <t>em_coal_mt</t>
        </is>
      </c>
      <c r="G277" s="7" t="n">
        <v>0</v>
      </c>
      <c r="H277" s="7" t="n">
        <v>2024</v>
      </c>
      <c r="I277" s="7" t="inlineStr">
        <is>
          <t>release_generation_yearly_global.csv (Ember)</t>
        </is>
      </c>
    </row>
    <row r="278">
      <c r="A278" s="7" t="inlineStr">
        <is>
          <t>BHR</t>
        </is>
      </c>
      <c r="B278" s="7" t="inlineStr">
        <is>
          <t>Bahrain</t>
        </is>
      </c>
      <c r="C278" s="7" t="inlineStr">
        <is>
          <t>Middle East &amp; North Africa</t>
        </is>
      </c>
      <c r="D278" s="7" t="inlineStr">
        <is>
          <t>High income</t>
        </is>
      </c>
      <c r="E278" s="7" t="b">
        <v>0</v>
      </c>
      <c r="F278" s="7" t="inlineStr">
        <is>
          <t>em_gas_mt</t>
        </is>
      </c>
      <c r="G278" s="7" t="n">
        <v>34.244</v>
      </c>
      <c r="H278" s="7" t="n">
        <v>2024</v>
      </c>
      <c r="I278" s="7" t="inlineStr">
        <is>
          <t>release_generation_yearly_global.csv (Ember)</t>
        </is>
      </c>
    </row>
    <row r="279">
      <c r="A279" s="7" t="inlineStr">
        <is>
          <t>BHR</t>
        </is>
      </c>
      <c r="B279" s="7" t="inlineStr">
        <is>
          <t>Bahrain</t>
        </is>
      </c>
      <c r="C279" s="7" t="inlineStr">
        <is>
          <t>Middle East &amp; North Africa</t>
        </is>
      </c>
      <c r="D279" s="7" t="inlineStr">
        <is>
          <t>High income</t>
        </is>
      </c>
      <c r="E279" s="7" t="b">
        <v>0</v>
      </c>
      <c r="F279" s="7" t="inlineStr">
        <is>
          <t>em_oil_mt</t>
        </is>
      </c>
      <c r="G279" s="7" t="n">
        <v>0</v>
      </c>
      <c r="H279" s="7" t="n">
        <v>2024</v>
      </c>
      <c r="I279" s="7" t="inlineStr">
        <is>
          <t>release_generation_yearly_global.csv (Ember)</t>
        </is>
      </c>
    </row>
    <row r="280">
      <c r="A280" s="7" t="inlineStr">
        <is>
          <t>BHR</t>
        </is>
      </c>
      <c r="B280" s="7" t="inlineStr">
        <is>
          <t>Bahrain</t>
        </is>
      </c>
      <c r="C280" s="7" t="inlineStr">
        <is>
          <t>Middle East &amp; North Africa</t>
        </is>
      </c>
      <c r="D280" s="7" t="inlineStr">
        <is>
          <t>High income</t>
        </is>
      </c>
      <c r="E280" s="7" t="b">
        <v>0</v>
      </c>
      <c r="F280" s="7" t="inlineStr">
        <is>
          <t>ff_subsidy_explicit_pct_gdp</t>
        </is>
      </c>
      <c r="G280" s="7" t="n">
        <v>6.783</v>
      </c>
      <c r="H280" s="7" t="inlineStr">
        <is>
          <t>2024</t>
        </is>
      </c>
      <c r="I280" s="7" t="inlineStr">
        <is>
          <t>imffossilfuelsubsidiesdata.xlsb</t>
        </is>
      </c>
    </row>
    <row r="281">
      <c r="A281" s="7" t="inlineStr">
        <is>
          <t>BHR</t>
        </is>
      </c>
      <c r="B281" s="7" t="inlineStr">
        <is>
          <t>Bahrain</t>
        </is>
      </c>
      <c r="C281" s="7" t="inlineStr">
        <is>
          <t>Middle East &amp; North Africa</t>
        </is>
      </c>
      <c r="D281" s="7" t="inlineStr">
        <is>
          <t>High income</t>
        </is>
      </c>
      <c r="E281" s="7" t="b">
        <v>0</v>
      </c>
      <c r="F281" s="7" t="inlineStr">
        <is>
          <t>fuel_exports_pct_merch</t>
        </is>
      </c>
      <c r="G281" s="7" t="n">
        <v>0</v>
      </c>
      <c r="H281" s="7" t="inlineStr">
        <is>
          <t>2024</t>
        </is>
      </c>
      <c r="I281" s="7" t="inlineStr">
        <is>
          <t>API_TX_VAL_FUEL_ZS_UN_DS2_en_csv_v2_33055.zip</t>
        </is>
      </c>
    </row>
    <row r="282">
      <c r="A282" s="7" t="inlineStr">
        <is>
          <t>BHR</t>
        </is>
      </c>
      <c r="B282" s="7" t="inlineStr">
        <is>
          <t>Bahrain</t>
        </is>
      </c>
      <c r="C282" s="7" t="inlineStr">
        <is>
          <t>Middle East &amp; North Africa</t>
        </is>
      </c>
      <c r="D282" s="7" t="inlineStr">
        <is>
          <t>High income</t>
        </is>
      </c>
      <c r="E282" s="7" t="b">
        <v>0</v>
      </c>
      <c r="F282" s="7" t="inlineStr">
        <is>
          <t>gen_coal_twh</t>
        </is>
      </c>
      <c r="G282" s="7" t="n">
        <v>0</v>
      </c>
      <c r="H282" s="7" t="n">
        <v>2024</v>
      </c>
      <c r="I282" s="7" t="inlineStr">
        <is>
          <t>release_generation_yearly_global.csv (Ember)</t>
        </is>
      </c>
    </row>
    <row r="283">
      <c r="A283" s="7" t="inlineStr">
        <is>
          <t>BHR</t>
        </is>
      </c>
      <c r="B283" s="7" t="inlineStr">
        <is>
          <t>Bahrain</t>
        </is>
      </c>
      <c r="C283" s="7" t="inlineStr">
        <is>
          <t>Middle East &amp; North Africa</t>
        </is>
      </c>
      <c r="D283" s="7" t="inlineStr">
        <is>
          <t>High income</t>
        </is>
      </c>
      <c r="E283" s="7" t="b">
        <v>0</v>
      </c>
      <c r="F283" s="7" t="inlineStr">
        <is>
          <t>gen_gas_twh</t>
        </is>
      </c>
      <c r="G283" s="7" t="n">
        <v>37.85</v>
      </c>
      <c r="H283" s="7" t="n">
        <v>2024</v>
      </c>
      <c r="I283" s="7" t="inlineStr">
        <is>
          <t>release_generation_yearly_global.csv (Ember)</t>
        </is>
      </c>
    </row>
    <row r="284">
      <c r="A284" s="7" t="inlineStr">
        <is>
          <t>BHR</t>
        </is>
      </c>
      <c r="B284" s="7" t="inlineStr">
        <is>
          <t>Bahrain</t>
        </is>
      </c>
      <c r="C284" s="7" t="inlineStr">
        <is>
          <t>Middle East &amp; North Africa</t>
        </is>
      </c>
      <c r="D284" s="7" t="inlineStr">
        <is>
          <t>High income</t>
        </is>
      </c>
      <c r="E284" s="7" t="b">
        <v>0</v>
      </c>
      <c r="F284" s="7" t="inlineStr">
        <is>
          <t>gen_oil_twh</t>
        </is>
      </c>
      <c r="G284" s="7" t="n">
        <v>0</v>
      </c>
      <c r="H284" s="7" t="n">
        <v>2024</v>
      </c>
      <c r="I284" s="7" t="inlineStr">
        <is>
          <t>release_generation_yearly_global.csv (Ember)</t>
        </is>
      </c>
    </row>
    <row r="285">
      <c r="A285" s="7" t="inlineStr">
        <is>
          <t>BHR</t>
        </is>
      </c>
      <c r="B285" s="7" t="inlineStr">
        <is>
          <t>Bahrain</t>
        </is>
      </c>
      <c r="C285" s="7" t="inlineStr">
        <is>
          <t>Middle East &amp; North Africa</t>
        </is>
      </c>
      <c r="D285" s="7" t="inlineStr">
        <is>
          <t>High income</t>
        </is>
      </c>
      <c r="E285" s="7" t="b">
        <v>0</v>
      </c>
      <c r="F285" s="7" t="inlineStr">
        <is>
          <t>gen_total_twh</t>
        </is>
      </c>
      <c r="G285" s="7" t="n">
        <v>37.95</v>
      </c>
      <c r="H285" s="7" t="n">
        <v>2024</v>
      </c>
      <c r="I285" s="7" t="inlineStr">
        <is>
          <t>release_generation_yearly_global.csv (Ember)</t>
        </is>
      </c>
    </row>
    <row r="286">
      <c r="A286" s="7" t="inlineStr">
        <is>
          <t>BHR</t>
        </is>
      </c>
      <c r="B286" s="7" t="inlineStr">
        <is>
          <t>Bahrain</t>
        </is>
      </c>
      <c r="C286" s="7" t="inlineStr">
        <is>
          <t>Middle East &amp; North Africa</t>
        </is>
      </c>
      <c r="D286" s="7" t="inlineStr">
        <is>
          <t>High income</t>
        </is>
      </c>
      <c r="E286" s="7" t="b">
        <v>0</v>
      </c>
      <c r="F286" s="7" t="inlineStr">
        <is>
          <t>power_market_structure</t>
        </is>
      </c>
      <c r="G286" s="7" t="n">
        <v>2</v>
      </c>
      <c r="H286" s="7" t="inlineStr">
        <is>
          <t>2013</t>
        </is>
      </c>
      <c r="I286" s="7" t="inlineStr">
        <is>
          <t>dataverse_files.zip</t>
        </is>
      </c>
    </row>
    <row r="287">
      <c r="A287" s="7" t="inlineStr">
        <is>
          <t>BHR</t>
        </is>
      </c>
      <c r="B287" s="7" t="inlineStr">
        <is>
          <t>Bahrain</t>
        </is>
      </c>
      <c r="C287" s="7" t="inlineStr">
        <is>
          <t>Middle East &amp; North Africa</t>
        </is>
      </c>
      <c r="D287" s="7" t="inlineStr">
        <is>
          <t>High income</t>
        </is>
      </c>
      <c r="E287" s="7" t="b">
        <v>0</v>
      </c>
      <c r="F287" s="7" t="inlineStr">
        <is>
          <t>price_coal_power_usd_gj</t>
        </is>
      </c>
      <c r="G287" s="7" t="n">
        <v>5.787</v>
      </c>
      <c r="H287" s="7" t="inlineStr">
        <is>
          <t>2024</t>
        </is>
      </c>
      <c r="I287" s="7" t="inlineStr">
        <is>
          <t>imffossilfuelsubsidiesdata.xlsb</t>
        </is>
      </c>
    </row>
    <row r="288">
      <c r="A288" s="7" t="inlineStr">
        <is>
          <t>BHR</t>
        </is>
      </c>
      <c r="B288" s="7" t="inlineStr">
        <is>
          <t>Bahrain</t>
        </is>
      </c>
      <c r="C288" s="7" t="inlineStr">
        <is>
          <t>Middle East &amp; North Africa</t>
        </is>
      </c>
      <c r="D288" s="7" t="inlineStr">
        <is>
          <t>High income</t>
        </is>
      </c>
      <c r="E288" s="7" t="b">
        <v>0</v>
      </c>
      <c r="F288" s="7" t="inlineStr">
        <is>
          <t>price_electricity_residential_usd_kwh</t>
        </is>
      </c>
      <c r="G288" s="7" t="n">
        <v>0.021</v>
      </c>
      <c r="H288" s="7" t="inlineStr">
        <is>
          <t>2024</t>
        </is>
      </c>
      <c r="I288" s="7" t="inlineStr">
        <is>
          <t>imffossilfuelsubsidiesdata.xlsb</t>
        </is>
      </c>
    </row>
    <row r="289">
      <c r="A289" s="7" t="inlineStr">
        <is>
          <t>BHR</t>
        </is>
      </c>
      <c r="B289" s="7" t="inlineStr">
        <is>
          <t>Bahrain</t>
        </is>
      </c>
      <c r="C289" s="7" t="inlineStr">
        <is>
          <t>Middle East &amp; North Africa</t>
        </is>
      </c>
      <c r="D289" s="7" t="inlineStr">
        <is>
          <t>High income</t>
        </is>
      </c>
      <c r="E289" s="7" t="b">
        <v>0</v>
      </c>
      <c r="F289" s="7" t="inlineStr">
        <is>
          <t>price_gas_industry_usd_gj</t>
        </is>
      </c>
      <c r="G289" s="7" t="n">
        <v>4.22</v>
      </c>
      <c r="H289" s="7" t="inlineStr">
        <is>
          <t>2024</t>
        </is>
      </c>
      <c r="I289" s="7" t="inlineStr">
        <is>
          <t>imffossilfuelsubsidiesdata.xlsb</t>
        </is>
      </c>
    </row>
    <row r="290">
      <c r="A290" s="7" t="inlineStr">
        <is>
          <t>BHR</t>
        </is>
      </c>
      <c r="B290" s="7" t="inlineStr">
        <is>
          <t>Bahrain</t>
        </is>
      </c>
      <c r="C290" s="7" t="inlineStr">
        <is>
          <t>Middle East &amp; North Africa</t>
        </is>
      </c>
      <c r="D290" s="7" t="inlineStr">
        <is>
          <t>High income</t>
        </is>
      </c>
      <c r="E290" s="7" t="b">
        <v>0</v>
      </c>
      <c r="F290" s="7" t="inlineStr">
        <is>
          <t>price_gas_power_usd_gj</t>
        </is>
      </c>
      <c r="G290" s="7" t="n">
        <v>4.22</v>
      </c>
      <c r="H290" s="7" t="inlineStr">
        <is>
          <t>2024</t>
        </is>
      </c>
      <c r="I290" s="7" t="inlineStr">
        <is>
          <t>imffossilfuelsubsidiesdata.xlsb</t>
        </is>
      </c>
    </row>
    <row r="291">
      <c r="A291" s="7" t="inlineStr">
        <is>
          <t>BHR</t>
        </is>
      </c>
      <c r="B291" s="7" t="inlineStr">
        <is>
          <t>Bahrain</t>
        </is>
      </c>
      <c r="C291" s="7" t="inlineStr">
        <is>
          <t>Middle East &amp; North Africa</t>
        </is>
      </c>
      <c r="D291" s="7" t="inlineStr">
        <is>
          <t>High income</t>
        </is>
      </c>
      <c r="E291" s="7" t="b">
        <v>0</v>
      </c>
      <c r="F291" s="7" t="inlineStr">
        <is>
          <t>rise_renewable_energy_score</t>
        </is>
      </c>
      <c r="G291" s="7" t="n">
        <v>16.019</v>
      </c>
      <c r="H291" s="7" t="inlineStr">
        <is>
          <t>2023</t>
        </is>
      </c>
      <c r="I291" s="7" t="inlineStr">
        <is>
          <t>WB_RISE_WIDEF.csv</t>
        </is>
      </c>
    </row>
    <row r="292">
      <c r="A292" s="7" t="inlineStr">
        <is>
          <t>BHS</t>
        </is>
      </c>
      <c r="B292" s="7" t="inlineStr">
        <is>
          <t>Bahamas, The</t>
        </is>
      </c>
      <c r="C292" s="7" t="inlineStr">
        <is>
          <t>Latin America &amp; Caribbean</t>
        </is>
      </c>
      <c r="D292" s="7" t="inlineStr">
        <is>
          <t>High income</t>
        </is>
      </c>
      <c r="E292" s="7" t="b">
        <v>0</v>
      </c>
      <c r="F292" s="7" t="inlineStr">
        <is>
          <t>coal_rents_pct_gdp</t>
        </is>
      </c>
      <c r="G292" s="7" t="n">
        <v>0</v>
      </c>
      <c r="H292" s="7" t="inlineStr">
        <is>
          <t>2021</t>
        </is>
      </c>
      <c r="I292" s="7" t="inlineStr">
        <is>
          <t>API_NY_GDP_COAL_RT_ZS_DS2_en_csv_v2_35370.zip</t>
        </is>
      </c>
    </row>
    <row r="293">
      <c r="A293" s="7" t="inlineStr">
        <is>
          <t>BHS</t>
        </is>
      </c>
      <c r="B293" s="7" t="inlineStr">
        <is>
          <t>Bahamas, The</t>
        </is>
      </c>
      <c r="C293" s="7" t="inlineStr">
        <is>
          <t>Latin America &amp; Caribbean</t>
        </is>
      </c>
      <c r="D293" s="7" t="inlineStr">
        <is>
          <t>High income</t>
        </is>
      </c>
      <c r="E293" s="7" t="b">
        <v>0</v>
      </c>
      <c r="F293" s="7" t="inlineStr">
        <is>
          <t>em_coal_mt</t>
        </is>
      </c>
      <c r="G293" s="7" t="n">
        <v>0</v>
      </c>
      <c r="H293" s="7" t="n">
        <v>2024</v>
      </c>
      <c r="I293" s="7" t="inlineStr">
        <is>
          <t>release_generation_yearly_global.csv (Ember)</t>
        </is>
      </c>
    </row>
    <row r="294">
      <c r="A294" s="7" t="inlineStr">
        <is>
          <t>BHS</t>
        </is>
      </c>
      <c r="B294" s="7" t="inlineStr">
        <is>
          <t>Bahamas, The</t>
        </is>
      </c>
      <c r="C294" s="7" t="inlineStr">
        <is>
          <t>Latin America &amp; Caribbean</t>
        </is>
      </c>
      <c r="D294" s="7" t="inlineStr">
        <is>
          <t>High income</t>
        </is>
      </c>
      <c r="E294" s="7" t="b">
        <v>0</v>
      </c>
      <c r="F294" s="7" t="inlineStr">
        <is>
          <t>em_gas_mt</t>
        </is>
      </c>
      <c r="G294" s="7" t="n">
        <v>0</v>
      </c>
      <c r="H294" s="7" t="n">
        <v>2024</v>
      </c>
      <c r="I294" s="7" t="inlineStr">
        <is>
          <t>release_generation_yearly_global.csv (Ember)</t>
        </is>
      </c>
    </row>
    <row r="295">
      <c r="A295" s="7" t="inlineStr">
        <is>
          <t>BHS</t>
        </is>
      </c>
      <c r="B295" s="7" t="inlineStr">
        <is>
          <t>Bahamas, The</t>
        </is>
      </c>
      <c r="C295" s="7" t="inlineStr">
        <is>
          <t>Latin America &amp; Caribbean</t>
        </is>
      </c>
      <c r="D295" s="7" t="inlineStr">
        <is>
          <t>High income</t>
        </is>
      </c>
      <c r="E295" s="7" t="b">
        <v>0</v>
      </c>
      <c r="F295" s="7" t="inlineStr">
        <is>
          <t>em_oil_mt</t>
        </is>
      </c>
      <c r="G295" s="7" t="n">
        <v>1.467</v>
      </c>
      <c r="H295" s="7" t="n">
        <v>2024</v>
      </c>
      <c r="I295" s="7" t="inlineStr">
        <is>
          <t>release_generation_yearly_global.csv (Ember)</t>
        </is>
      </c>
    </row>
    <row r="296">
      <c r="A296" s="7" t="inlineStr">
        <is>
          <t>BHS</t>
        </is>
      </c>
      <c r="B296" s="7" t="inlineStr">
        <is>
          <t>Bahamas, The</t>
        </is>
      </c>
      <c r="C296" s="7" t="inlineStr">
        <is>
          <t>Latin America &amp; Caribbean</t>
        </is>
      </c>
      <c r="D296" s="7" t="inlineStr">
        <is>
          <t>High income</t>
        </is>
      </c>
      <c r="E296" s="7" t="b">
        <v>0</v>
      </c>
      <c r="F296" s="7" t="inlineStr">
        <is>
          <t>ff_subsidy_explicit_pct_gdp</t>
        </is>
      </c>
      <c r="G296" s="7" t="n">
        <v>0</v>
      </c>
      <c r="H296" s="7" t="inlineStr">
        <is>
          <t>2024</t>
        </is>
      </c>
      <c r="I296" s="7" t="inlineStr">
        <is>
          <t>imffossilfuelsubsidiesdata.xlsb</t>
        </is>
      </c>
    </row>
    <row r="297">
      <c r="A297" s="7" t="inlineStr">
        <is>
          <t>BHS</t>
        </is>
      </c>
      <c r="B297" s="7" t="inlineStr">
        <is>
          <t>Bahamas, The</t>
        </is>
      </c>
      <c r="C297" s="7" t="inlineStr">
        <is>
          <t>Latin America &amp; Caribbean</t>
        </is>
      </c>
      <c r="D297" s="7" t="inlineStr">
        <is>
          <t>High income</t>
        </is>
      </c>
      <c r="E297" s="7" t="b">
        <v>0</v>
      </c>
      <c r="F297" s="7" t="inlineStr">
        <is>
          <t>fuel_exports_pct_merch</t>
        </is>
      </c>
      <c r="G297" s="7" t="n">
        <v>0</v>
      </c>
      <c r="H297" s="7" t="inlineStr">
        <is>
          <t>2024</t>
        </is>
      </c>
      <c r="I297" s="7" t="inlineStr">
        <is>
          <t>API_TX_VAL_FUEL_ZS_UN_DS2_en_csv_v2_33055.zip</t>
        </is>
      </c>
    </row>
    <row r="298">
      <c r="A298" s="7" t="inlineStr">
        <is>
          <t>BHS</t>
        </is>
      </c>
      <c r="B298" s="7" t="inlineStr">
        <is>
          <t>Bahamas, The</t>
        </is>
      </c>
      <c r="C298" s="7" t="inlineStr">
        <is>
          <t>Latin America &amp; Caribbean</t>
        </is>
      </c>
      <c r="D298" s="7" t="inlineStr">
        <is>
          <t>High income</t>
        </is>
      </c>
      <c r="E298" s="7" t="b">
        <v>0</v>
      </c>
      <c r="F298" s="7" t="inlineStr">
        <is>
          <t>gen_coal_twh</t>
        </is>
      </c>
      <c r="G298" s="7" t="n">
        <v>0</v>
      </c>
      <c r="H298" s="7" t="n">
        <v>2024</v>
      </c>
      <c r="I298" s="7" t="inlineStr">
        <is>
          <t>release_generation_yearly_global.csv (Ember)</t>
        </is>
      </c>
    </row>
    <row r="299">
      <c r="A299" s="7" t="inlineStr">
        <is>
          <t>BHS</t>
        </is>
      </c>
      <c r="B299" s="7" t="inlineStr">
        <is>
          <t>Bahamas, The</t>
        </is>
      </c>
      <c r="C299" s="7" t="inlineStr">
        <is>
          <t>Latin America &amp; Caribbean</t>
        </is>
      </c>
      <c r="D299" s="7" t="inlineStr">
        <is>
          <t>High income</t>
        </is>
      </c>
      <c r="E299" s="7" t="b">
        <v>0</v>
      </c>
      <c r="F299" s="7" t="inlineStr">
        <is>
          <t>gen_gas_twh</t>
        </is>
      </c>
      <c r="G299" s="7" t="n">
        <v>0</v>
      </c>
      <c r="H299" s="7" t="n">
        <v>2024</v>
      </c>
      <c r="I299" s="7" t="inlineStr">
        <is>
          <t>release_generation_yearly_global.csv (Ember)</t>
        </is>
      </c>
    </row>
    <row r="300">
      <c r="A300" s="7" t="inlineStr">
        <is>
          <t>BHS</t>
        </is>
      </c>
      <c r="B300" s="7" t="inlineStr">
        <is>
          <t>Bahamas, The</t>
        </is>
      </c>
      <c r="C300" s="7" t="inlineStr">
        <is>
          <t>Latin America &amp; Caribbean</t>
        </is>
      </c>
      <c r="D300" s="7" t="inlineStr">
        <is>
          <t>High income</t>
        </is>
      </c>
      <c r="E300" s="7" t="b">
        <v>0</v>
      </c>
      <c r="F300" s="7" t="inlineStr">
        <is>
          <t>gen_oil_twh</t>
        </is>
      </c>
      <c r="G300" s="7" t="n">
        <v>2.23</v>
      </c>
      <c r="H300" s="7" t="n">
        <v>2024</v>
      </c>
      <c r="I300" s="7" t="inlineStr">
        <is>
          <t>release_generation_yearly_global.csv (Ember)</t>
        </is>
      </c>
    </row>
    <row r="301">
      <c r="A301" s="7" t="inlineStr">
        <is>
          <t>BHS</t>
        </is>
      </c>
      <c r="B301" s="7" t="inlineStr">
        <is>
          <t>Bahamas, The</t>
        </is>
      </c>
      <c r="C301" s="7" t="inlineStr">
        <is>
          <t>Latin America &amp; Caribbean</t>
        </is>
      </c>
      <c r="D301" s="7" t="inlineStr">
        <is>
          <t>High income</t>
        </is>
      </c>
      <c r="E301" s="7" t="b">
        <v>0</v>
      </c>
      <c r="F301" s="7" t="inlineStr">
        <is>
          <t>gen_total_twh</t>
        </is>
      </c>
      <c r="G301" s="7" t="n">
        <v>2.25</v>
      </c>
      <c r="H301" s="7" t="n">
        <v>2024</v>
      </c>
      <c r="I301" s="7" t="inlineStr">
        <is>
          <t>release_generation_yearly_global.csv (Ember)</t>
        </is>
      </c>
    </row>
    <row r="302">
      <c r="A302" s="7" t="inlineStr">
        <is>
          <t>BHS</t>
        </is>
      </c>
      <c r="B302" s="7" t="inlineStr">
        <is>
          <t>Bahamas, The</t>
        </is>
      </c>
      <c r="C302" s="7" t="inlineStr">
        <is>
          <t>Latin America &amp; Caribbean</t>
        </is>
      </c>
      <c r="D302" s="7" t="inlineStr">
        <is>
          <t>High income</t>
        </is>
      </c>
      <c r="E302" s="7" t="b">
        <v>0</v>
      </c>
      <c r="F302" s="7" t="inlineStr">
        <is>
          <t>power_market_structure</t>
        </is>
      </c>
      <c r="G302" s="7" t="n">
        <v>2</v>
      </c>
      <c r="H302" s="7" t="inlineStr">
        <is>
          <t>2013</t>
        </is>
      </c>
      <c r="I302" s="7" t="inlineStr">
        <is>
          <t>dataverse_files.zip</t>
        </is>
      </c>
    </row>
    <row r="303">
      <c r="A303" s="7" t="inlineStr">
        <is>
          <t>BHS</t>
        </is>
      </c>
      <c r="B303" s="7" t="inlineStr">
        <is>
          <t>Bahamas, The</t>
        </is>
      </c>
      <c r="C303" s="7" t="inlineStr">
        <is>
          <t>Latin America &amp; Caribbean</t>
        </is>
      </c>
      <c r="D303" s="7" t="inlineStr">
        <is>
          <t>High income</t>
        </is>
      </c>
      <c r="E303" s="7" t="b">
        <v>0</v>
      </c>
      <c r="F303" s="7" t="inlineStr">
        <is>
          <t>price_coal_power_usd_gj</t>
        </is>
      </c>
      <c r="G303" s="7" t="n">
        <v>5.575</v>
      </c>
      <c r="H303" s="7" t="inlineStr">
        <is>
          <t>2024</t>
        </is>
      </c>
      <c r="I303" s="7" t="inlineStr">
        <is>
          <t>imffossilfuelsubsidiesdata.xlsb</t>
        </is>
      </c>
    </row>
    <row r="304">
      <c r="A304" s="7" t="inlineStr">
        <is>
          <t>BHS</t>
        </is>
      </c>
      <c r="B304" s="7" t="inlineStr">
        <is>
          <t>Bahamas, The</t>
        </is>
      </c>
      <c r="C304" s="7" t="inlineStr">
        <is>
          <t>Latin America &amp; Caribbean</t>
        </is>
      </c>
      <c r="D304" s="7" t="inlineStr">
        <is>
          <t>High income</t>
        </is>
      </c>
      <c r="E304" s="7" t="b">
        <v>0</v>
      </c>
      <c r="F304" s="7" t="inlineStr">
        <is>
          <t>price_electricity_residential_usd_kwh</t>
        </is>
      </c>
      <c r="G304" s="7" t="n">
        <v>0.331</v>
      </c>
      <c r="H304" s="7" t="inlineStr">
        <is>
          <t>2024</t>
        </is>
      </c>
      <c r="I304" s="7" t="inlineStr">
        <is>
          <t>imffossilfuelsubsidiesdata.xlsb</t>
        </is>
      </c>
    </row>
    <row r="305">
      <c r="A305" s="7" t="inlineStr">
        <is>
          <t>BHS</t>
        </is>
      </c>
      <c r="B305" s="7" t="inlineStr">
        <is>
          <t>Bahamas, The</t>
        </is>
      </c>
      <c r="C305" s="7" t="inlineStr">
        <is>
          <t>Latin America &amp; Caribbean</t>
        </is>
      </c>
      <c r="D305" s="7" t="inlineStr">
        <is>
          <t>High income</t>
        </is>
      </c>
      <c r="E305" s="7" t="b">
        <v>0</v>
      </c>
      <c r="F305" s="7" t="inlineStr">
        <is>
          <t>price_gas_industry_usd_gj</t>
        </is>
      </c>
      <c r="G305" s="7" t="n">
        <v>12.77</v>
      </c>
      <c r="H305" s="7" t="inlineStr">
        <is>
          <t>2024</t>
        </is>
      </c>
      <c r="I305" s="7" t="inlineStr">
        <is>
          <t>imffossilfuelsubsidiesdata.xlsb</t>
        </is>
      </c>
    </row>
    <row r="306">
      <c r="A306" s="7" t="inlineStr">
        <is>
          <t>BHS</t>
        </is>
      </c>
      <c r="B306" s="7" t="inlineStr">
        <is>
          <t>Bahamas, The</t>
        </is>
      </c>
      <c r="C306" s="7" t="inlineStr">
        <is>
          <t>Latin America &amp; Caribbean</t>
        </is>
      </c>
      <c r="D306" s="7" t="inlineStr">
        <is>
          <t>High income</t>
        </is>
      </c>
      <c r="E306" s="7" t="b">
        <v>0</v>
      </c>
      <c r="F306" s="7" t="inlineStr">
        <is>
          <t>price_gas_power_usd_gj</t>
        </is>
      </c>
      <c r="G306" s="7" t="n">
        <v>11.446</v>
      </c>
      <c r="H306" s="7" t="inlineStr">
        <is>
          <t>2024</t>
        </is>
      </c>
      <c r="I306" s="7" t="inlineStr">
        <is>
          <t>imffossilfuelsubsidiesdata.xlsb</t>
        </is>
      </c>
    </row>
    <row r="307">
      <c r="A307" s="7" t="inlineStr">
        <is>
          <t>BIH</t>
        </is>
      </c>
      <c r="B307" s="7" t="inlineStr">
        <is>
          <t>Bosnia and Herzegovina</t>
        </is>
      </c>
      <c r="C307" s="7" t="inlineStr">
        <is>
          <t>Europe &amp; Central Asia</t>
        </is>
      </c>
      <c r="D307" s="7" t="inlineStr">
        <is>
          <t>Upper middle income</t>
        </is>
      </c>
      <c r="E307" s="7" t="b">
        <v>1</v>
      </c>
      <c r="F307" s="7" t="inlineStr">
        <is>
          <t>coal_rents_pct_gdp</t>
        </is>
      </c>
      <c r="G307" s="7" t="n">
        <v>0.302</v>
      </c>
      <c r="H307" s="7" t="inlineStr">
        <is>
          <t>2021</t>
        </is>
      </c>
      <c r="I307" s="7" t="inlineStr">
        <is>
          <t>API_NY_GDP_COAL_RT_ZS_DS2_en_csv_v2_35370.zip</t>
        </is>
      </c>
    </row>
    <row r="308">
      <c r="A308" s="7" t="inlineStr">
        <is>
          <t>BIH</t>
        </is>
      </c>
      <c r="B308" s="7" t="inlineStr">
        <is>
          <t>Bosnia and Herzegovina</t>
        </is>
      </c>
      <c r="C308" s="7" t="inlineStr">
        <is>
          <t>Europe &amp; Central Asia</t>
        </is>
      </c>
      <c r="D308" s="7" t="inlineStr">
        <is>
          <t>Upper middle income</t>
        </is>
      </c>
      <c r="E308" s="7" t="b">
        <v>1</v>
      </c>
      <c r="F308" s="7" t="inlineStr">
        <is>
          <t>em_coal_mt</t>
        </is>
      </c>
      <c r="G308" s="7" t="n">
        <v>9.090999999999999</v>
      </c>
      <c r="H308" s="7" t="n">
        <v>2024</v>
      </c>
      <c r="I308" s="7" t="inlineStr">
        <is>
          <t>release_generation_yearly_global.csv (Ember)</t>
        </is>
      </c>
    </row>
    <row r="309">
      <c r="A309" s="7" t="inlineStr">
        <is>
          <t>BIH</t>
        </is>
      </c>
      <c r="B309" s="7" t="inlineStr">
        <is>
          <t>Bosnia and Herzegovina</t>
        </is>
      </c>
      <c r="C309" s="7" t="inlineStr">
        <is>
          <t>Europe &amp; Central Asia</t>
        </is>
      </c>
      <c r="D309" s="7" t="inlineStr">
        <is>
          <t>Upper middle income</t>
        </is>
      </c>
      <c r="E309" s="7" t="b">
        <v>1</v>
      </c>
      <c r="F309" s="7" t="inlineStr">
        <is>
          <t>em_gas_mt</t>
        </is>
      </c>
      <c r="G309" s="7" t="n">
        <v>0</v>
      </c>
      <c r="H309" s="7" t="n">
        <v>2024</v>
      </c>
      <c r="I309" s="7" t="inlineStr">
        <is>
          <t>release_generation_yearly_global.csv (Ember)</t>
        </is>
      </c>
    </row>
    <row r="310">
      <c r="A310" s="7" t="inlineStr">
        <is>
          <t>BIH</t>
        </is>
      </c>
      <c r="B310" s="7" t="inlineStr">
        <is>
          <t>Bosnia and Herzegovina</t>
        </is>
      </c>
      <c r="C310" s="7" t="inlineStr">
        <is>
          <t>Europe &amp; Central Asia</t>
        </is>
      </c>
      <c r="D310" s="7" t="inlineStr">
        <is>
          <t>Upper middle income</t>
        </is>
      </c>
      <c r="E310" s="7" t="b">
        <v>1</v>
      </c>
      <c r="F310" s="7" t="inlineStr">
        <is>
          <t>em_oil_mt</t>
        </is>
      </c>
      <c r="G310" s="7" t="n">
        <v>0.099</v>
      </c>
      <c r="H310" s="7" t="n">
        <v>2024</v>
      </c>
      <c r="I310" s="7" t="inlineStr">
        <is>
          <t>release_generation_yearly_global.csv (Ember)</t>
        </is>
      </c>
    </row>
    <row r="311">
      <c r="A311" s="7" t="inlineStr">
        <is>
          <t>BIH</t>
        </is>
      </c>
      <c r="B311" s="7" t="inlineStr">
        <is>
          <t>Bosnia and Herzegovina</t>
        </is>
      </c>
      <c r="C311" s="7" t="inlineStr">
        <is>
          <t>Europe &amp; Central Asia</t>
        </is>
      </c>
      <c r="D311" s="7" t="inlineStr">
        <is>
          <t>Upper middle income</t>
        </is>
      </c>
      <c r="E311" s="7" t="b">
        <v>1</v>
      </c>
      <c r="F311" s="7" t="inlineStr">
        <is>
          <t>ff_subsidy_explicit_pct_gdp</t>
        </is>
      </c>
      <c r="G311" s="7" t="n">
        <v>0.218</v>
      </c>
      <c r="H311" s="7" t="inlineStr">
        <is>
          <t>2024</t>
        </is>
      </c>
      <c r="I311" s="7" t="inlineStr">
        <is>
          <t>imffossilfuelsubsidiesdata.xlsb</t>
        </is>
      </c>
    </row>
    <row r="312">
      <c r="A312" s="7" t="inlineStr">
        <is>
          <t>BIH</t>
        </is>
      </c>
      <c r="B312" s="7" t="inlineStr">
        <is>
          <t>Bosnia and Herzegovina</t>
        </is>
      </c>
      <c r="C312" s="7" t="inlineStr">
        <is>
          <t>Europe &amp; Central Asia</t>
        </is>
      </c>
      <c r="D312" s="7" t="inlineStr">
        <is>
          <t>Upper middle income</t>
        </is>
      </c>
      <c r="E312" s="7" t="b">
        <v>1</v>
      </c>
      <c r="F312" s="7" t="inlineStr">
        <is>
          <t>fuel_exports_pct_merch</t>
        </is>
      </c>
      <c r="G312" s="7" t="n">
        <v>6.51</v>
      </c>
      <c r="H312" s="7" t="inlineStr">
        <is>
          <t>2025</t>
        </is>
      </c>
      <c r="I312" s="7" t="inlineStr">
        <is>
          <t>API_TX_VAL_FUEL_ZS_UN_DS2_en_csv_v2_33055.zip</t>
        </is>
      </c>
    </row>
    <row r="313">
      <c r="A313" s="7" t="inlineStr">
        <is>
          <t>BIH</t>
        </is>
      </c>
      <c r="B313" s="7" t="inlineStr">
        <is>
          <t>Bosnia and Herzegovina</t>
        </is>
      </c>
      <c r="C313" s="7" t="inlineStr">
        <is>
          <t>Europe &amp; Central Asia</t>
        </is>
      </c>
      <c r="D313" s="7" t="inlineStr">
        <is>
          <t>Upper middle income</t>
        </is>
      </c>
      <c r="E313" s="7" t="b">
        <v>1</v>
      </c>
      <c r="F313" s="7" t="inlineStr">
        <is>
          <t>gen_coal_twh</t>
        </is>
      </c>
      <c r="G313" s="7" t="n">
        <v>9.130000000000001</v>
      </c>
      <c r="H313" s="7" t="n">
        <v>2024</v>
      </c>
      <c r="I313" s="7" t="inlineStr">
        <is>
          <t>release_generation_yearly_global.csv (Ember)</t>
        </is>
      </c>
    </row>
    <row r="314">
      <c r="A314" s="7" t="inlineStr">
        <is>
          <t>BIH</t>
        </is>
      </c>
      <c r="B314" s="7" t="inlineStr">
        <is>
          <t>Bosnia and Herzegovina</t>
        </is>
      </c>
      <c r="C314" s="7" t="inlineStr">
        <is>
          <t>Europe &amp; Central Asia</t>
        </is>
      </c>
      <c r="D314" s="7" t="inlineStr">
        <is>
          <t>Upper middle income</t>
        </is>
      </c>
      <c r="E314" s="7" t="b">
        <v>1</v>
      </c>
      <c r="F314" s="7" t="inlineStr">
        <is>
          <t>gen_gas_twh</t>
        </is>
      </c>
      <c r="G314" s="7" t="n">
        <v>0</v>
      </c>
      <c r="H314" s="7" t="n">
        <v>2024</v>
      </c>
      <c r="I314" s="7" t="inlineStr">
        <is>
          <t>release_generation_yearly_global.csv (Ember)</t>
        </is>
      </c>
    </row>
    <row r="315">
      <c r="A315" s="7" t="inlineStr">
        <is>
          <t>BIH</t>
        </is>
      </c>
      <c r="B315" s="7" t="inlineStr">
        <is>
          <t>Bosnia and Herzegovina</t>
        </is>
      </c>
      <c r="C315" s="7" t="inlineStr">
        <is>
          <t>Europe &amp; Central Asia</t>
        </is>
      </c>
      <c r="D315" s="7" t="inlineStr">
        <is>
          <t>Upper middle income</t>
        </is>
      </c>
      <c r="E315" s="7" t="b">
        <v>1</v>
      </c>
      <c r="F315" s="7" t="inlineStr">
        <is>
          <t>gen_oil_twh</t>
        </is>
      </c>
      <c r="G315" s="7" t="n">
        <v>0.15</v>
      </c>
      <c r="H315" s="7" t="n">
        <v>2024</v>
      </c>
      <c r="I315" s="7" t="inlineStr">
        <is>
          <t>release_generation_yearly_global.csv (Ember)</t>
        </is>
      </c>
    </row>
    <row r="316">
      <c r="A316" s="7" t="inlineStr">
        <is>
          <t>BIH</t>
        </is>
      </c>
      <c r="B316" s="7" t="inlineStr">
        <is>
          <t>Bosnia and Herzegovina</t>
        </is>
      </c>
      <c r="C316" s="7" t="inlineStr">
        <is>
          <t>Europe &amp; Central Asia</t>
        </is>
      </c>
      <c r="D316" s="7" t="inlineStr">
        <is>
          <t>Upper middle income</t>
        </is>
      </c>
      <c r="E316" s="7" t="b">
        <v>1</v>
      </c>
      <c r="F316" s="7" t="inlineStr">
        <is>
          <t>gen_total_twh</t>
        </is>
      </c>
      <c r="G316" s="7" t="n">
        <v>15.52</v>
      </c>
      <c r="H316" s="7" t="n">
        <v>2024</v>
      </c>
      <c r="I316" s="7" t="inlineStr">
        <is>
          <t>release_generation_yearly_global.csv (Ember)</t>
        </is>
      </c>
    </row>
    <row r="317">
      <c r="A317" s="7" t="inlineStr">
        <is>
          <t>BIH</t>
        </is>
      </c>
      <c r="B317" s="7" t="inlineStr">
        <is>
          <t>Bosnia and Herzegovina</t>
        </is>
      </c>
      <c r="C317" s="7" t="inlineStr">
        <is>
          <t>Europe &amp; Central Asia</t>
        </is>
      </c>
      <c r="D317" s="7" t="inlineStr">
        <is>
          <t>Upper middle income</t>
        </is>
      </c>
      <c r="E317" s="7" t="b">
        <v>1</v>
      </c>
      <c r="F317" s="7" t="inlineStr">
        <is>
          <t>power_market_structure</t>
        </is>
      </c>
      <c r="G317" s="7" t="n">
        <v>3</v>
      </c>
      <c r="H317" s="7" t="inlineStr">
        <is>
          <t>2013</t>
        </is>
      </c>
      <c r="I317" s="7" t="inlineStr">
        <is>
          <t>dataverse_files.zip</t>
        </is>
      </c>
    </row>
    <row r="318">
      <c r="A318" s="7" t="inlineStr">
        <is>
          <t>BIH</t>
        </is>
      </c>
      <c r="B318" s="7" t="inlineStr">
        <is>
          <t>Bosnia and Herzegovina</t>
        </is>
      </c>
      <c r="C318" s="7" t="inlineStr">
        <is>
          <t>Europe &amp; Central Asia</t>
        </is>
      </c>
      <c r="D318" s="7" t="inlineStr">
        <is>
          <t>Upper middle income</t>
        </is>
      </c>
      <c r="E318" s="7" t="b">
        <v>1</v>
      </c>
      <c r="F318" s="7" t="inlineStr">
        <is>
          <t>price_coal_power_usd_gj</t>
        </is>
      </c>
      <c r="G318" s="7" t="n">
        <v>2.696</v>
      </c>
      <c r="H318" s="7" t="inlineStr">
        <is>
          <t>2024</t>
        </is>
      </c>
      <c r="I318" s="7" t="inlineStr">
        <is>
          <t>imffossilfuelsubsidiesdata.xlsb</t>
        </is>
      </c>
    </row>
    <row r="319">
      <c r="A319" s="7" t="inlineStr">
        <is>
          <t>BIH</t>
        </is>
      </c>
      <c r="B319" s="7" t="inlineStr">
        <is>
          <t>Bosnia and Herzegovina</t>
        </is>
      </c>
      <c r="C319" s="7" t="inlineStr">
        <is>
          <t>Europe &amp; Central Asia</t>
        </is>
      </c>
      <c r="D319" s="7" t="inlineStr">
        <is>
          <t>Upper middle income</t>
        </is>
      </c>
      <c r="E319" s="7" t="b">
        <v>1</v>
      </c>
      <c r="F319" s="7" t="inlineStr">
        <is>
          <t>price_electricity_residential_usd_kwh</t>
        </is>
      </c>
      <c r="G319" s="7" t="n">
        <v>0.095</v>
      </c>
      <c r="H319" s="7" t="inlineStr">
        <is>
          <t>2024</t>
        </is>
      </c>
      <c r="I319" s="7" t="inlineStr">
        <is>
          <t>imffossilfuelsubsidiesdata.xlsb</t>
        </is>
      </c>
    </row>
    <row r="320">
      <c r="A320" s="7" t="inlineStr">
        <is>
          <t>BIH</t>
        </is>
      </c>
      <c r="B320" s="7" t="inlineStr">
        <is>
          <t>Bosnia and Herzegovina</t>
        </is>
      </c>
      <c r="C320" s="7" t="inlineStr">
        <is>
          <t>Europe &amp; Central Asia</t>
        </is>
      </c>
      <c r="D320" s="7" t="inlineStr">
        <is>
          <t>Upper middle income</t>
        </is>
      </c>
      <c r="E320" s="7" t="b">
        <v>1</v>
      </c>
      <c r="F320" s="7" t="inlineStr">
        <is>
          <t>price_gas_industry_usd_gj</t>
        </is>
      </c>
      <c r="G320" s="7" t="n">
        <v>15.846</v>
      </c>
      <c r="H320" s="7" t="inlineStr">
        <is>
          <t>2024</t>
        </is>
      </c>
      <c r="I320" s="7" t="inlineStr">
        <is>
          <t>imffossilfuelsubsidiesdata.xlsb</t>
        </is>
      </c>
    </row>
    <row r="321">
      <c r="A321" s="7" t="inlineStr">
        <is>
          <t>BIH</t>
        </is>
      </c>
      <c r="B321" s="7" t="inlineStr">
        <is>
          <t>Bosnia and Herzegovina</t>
        </is>
      </c>
      <c r="C321" s="7" t="inlineStr">
        <is>
          <t>Europe &amp; Central Asia</t>
        </is>
      </c>
      <c r="D321" s="7" t="inlineStr">
        <is>
          <t>Upper middle income</t>
        </is>
      </c>
      <c r="E321" s="7" t="b">
        <v>1</v>
      </c>
      <c r="F321" s="7" t="inlineStr">
        <is>
          <t>price_gas_power_usd_gj</t>
        </is>
      </c>
      <c r="G321" s="7" t="n">
        <v>15.846</v>
      </c>
      <c r="H321" s="7" t="inlineStr">
        <is>
          <t>2024</t>
        </is>
      </c>
      <c r="I321" s="7" t="inlineStr">
        <is>
          <t>imffossilfuelsubsidiesdata.xlsb</t>
        </is>
      </c>
    </row>
    <row r="322">
      <c r="A322" s="7" t="inlineStr">
        <is>
          <t>BIH</t>
        </is>
      </c>
      <c r="B322" s="7" t="inlineStr">
        <is>
          <t>Bosnia and Herzegovina</t>
        </is>
      </c>
      <c r="C322" s="7" t="inlineStr">
        <is>
          <t>Europe &amp; Central Asia</t>
        </is>
      </c>
      <c r="D322" s="7" t="inlineStr">
        <is>
          <t>Upper middle income</t>
        </is>
      </c>
      <c r="E322" s="7" t="b">
        <v>1</v>
      </c>
      <c r="F322" s="7" t="inlineStr">
        <is>
          <t>rise_renewable_energy_score</t>
        </is>
      </c>
      <c r="G322" s="7" t="n">
        <v>35.833</v>
      </c>
      <c r="H322" s="7" t="inlineStr">
        <is>
          <t>2023</t>
        </is>
      </c>
      <c r="I322" s="7" t="inlineStr">
        <is>
          <t>WB_RISE_WIDEF.csv</t>
        </is>
      </c>
    </row>
    <row r="323">
      <c r="A323" s="7" t="inlineStr">
        <is>
          <t>BLR</t>
        </is>
      </c>
      <c r="B323" s="7" t="inlineStr">
        <is>
          <t>Belarus</t>
        </is>
      </c>
      <c r="C323" s="7" t="inlineStr">
        <is>
          <t>Europe &amp; Central Asia</t>
        </is>
      </c>
      <c r="D323" s="7" t="inlineStr">
        <is>
          <t>Upper middle income</t>
        </is>
      </c>
      <c r="E323" s="7" t="b">
        <v>0</v>
      </c>
      <c r="F323" s="7" t="inlineStr">
        <is>
          <t>coal_rents_pct_gdp</t>
        </is>
      </c>
      <c r="G323" s="7" t="n">
        <v>0</v>
      </c>
      <c r="H323" s="7" t="inlineStr">
        <is>
          <t>2021</t>
        </is>
      </c>
      <c r="I323" s="7" t="inlineStr">
        <is>
          <t>API_NY_GDP_COAL_RT_ZS_DS2_en_csv_v2_35370.zip</t>
        </is>
      </c>
    </row>
    <row r="324">
      <c r="A324" s="7" t="inlineStr">
        <is>
          <t>BLR</t>
        </is>
      </c>
      <c r="B324" s="7" t="inlineStr">
        <is>
          <t>Belarus</t>
        </is>
      </c>
      <c r="C324" s="7" t="inlineStr">
        <is>
          <t>Europe &amp; Central Asia</t>
        </is>
      </c>
      <c r="D324" s="7" t="inlineStr">
        <is>
          <t>Upper middle income</t>
        </is>
      </c>
      <c r="E324" s="7" t="b">
        <v>0</v>
      </c>
      <c r="F324" s="7" t="inlineStr">
        <is>
          <t>em_coal_mt</t>
        </is>
      </c>
      <c r="G324" s="7" t="n">
        <v>0.018</v>
      </c>
      <c r="H324" s="7" t="n">
        <v>2024</v>
      </c>
      <c r="I324" s="7" t="inlineStr">
        <is>
          <t>release_generation_yearly_global.csv (Ember)</t>
        </is>
      </c>
    </row>
    <row r="325">
      <c r="A325" s="7" t="inlineStr">
        <is>
          <t>BLR</t>
        </is>
      </c>
      <c r="B325" s="7" t="inlineStr">
        <is>
          <t>Belarus</t>
        </is>
      </c>
      <c r="C325" s="7" t="inlineStr">
        <is>
          <t>Europe &amp; Central Asia</t>
        </is>
      </c>
      <c r="D325" s="7" t="inlineStr">
        <is>
          <t>Upper middle income</t>
        </is>
      </c>
      <c r="E325" s="7" t="b">
        <v>0</v>
      </c>
      <c r="F325" s="7" t="inlineStr">
        <is>
          <t>em_gas_mt</t>
        </is>
      </c>
      <c r="G325" s="7" t="n">
        <v>13.73</v>
      </c>
      <c r="H325" s="7" t="n">
        <v>2024</v>
      </c>
      <c r="I325" s="7" t="inlineStr">
        <is>
          <t>release_generation_yearly_global.csv (Ember)</t>
        </is>
      </c>
    </row>
    <row r="326">
      <c r="A326" s="7" t="inlineStr">
        <is>
          <t>BLR</t>
        </is>
      </c>
      <c r="B326" s="7" t="inlineStr">
        <is>
          <t>Belarus</t>
        </is>
      </c>
      <c r="C326" s="7" t="inlineStr">
        <is>
          <t>Europe &amp; Central Asia</t>
        </is>
      </c>
      <c r="D326" s="7" t="inlineStr">
        <is>
          <t>Upper middle income</t>
        </is>
      </c>
      <c r="E326" s="7" t="b">
        <v>0</v>
      </c>
      <c r="F326" s="7" t="inlineStr">
        <is>
          <t>em_oil_mt</t>
        </is>
      </c>
      <c r="G326" s="7" t="n">
        <v>1.119</v>
      </c>
      <c r="H326" s="7" t="n">
        <v>2024</v>
      </c>
      <c r="I326" s="7" t="inlineStr">
        <is>
          <t>release_generation_yearly_global.csv (Ember)</t>
        </is>
      </c>
    </row>
    <row r="327">
      <c r="A327" s="7" t="inlineStr">
        <is>
          <t>BLR</t>
        </is>
      </c>
      <c r="B327" s="7" t="inlineStr">
        <is>
          <t>Belarus</t>
        </is>
      </c>
      <c r="C327" s="7" t="inlineStr">
        <is>
          <t>Europe &amp; Central Asia</t>
        </is>
      </c>
      <c r="D327" s="7" t="inlineStr">
        <is>
          <t>Upper middle income</t>
        </is>
      </c>
      <c r="E327" s="7" t="b">
        <v>0</v>
      </c>
      <c r="F327" s="7" t="inlineStr">
        <is>
          <t>ff_subsidy_explicit_pct_gdp</t>
        </is>
      </c>
      <c r="G327" s="7" t="n">
        <v>5.205</v>
      </c>
      <c r="H327" s="7" t="inlineStr">
        <is>
          <t>2024</t>
        </is>
      </c>
      <c r="I327" s="7" t="inlineStr">
        <is>
          <t>imffossilfuelsubsidiesdata.xlsb</t>
        </is>
      </c>
    </row>
    <row r="328">
      <c r="A328" s="7" t="inlineStr">
        <is>
          <t>BLR</t>
        </is>
      </c>
      <c r="B328" s="7" t="inlineStr">
        <is>
          <t>Belarus</t>
        </is>
      </c>
      <c r="C328" s="7" t="inlineStr">
        <is>
          <t>Europe &amp; Central Asia</t>
        </is>
      </c>
      <c r="D328" s="7" t="inlineStr">
        <is>
          <t>Upper middle income</t>
        </is>
      </c>
      <c r="E328" s="7" t="b">
        <v>0</v>
      </c>
      <c r="F328" s="7" t="inlineStr">
        <is>
          <t>fuel_exports_pct_merch</t>
        </is>
      </c>
      <c r="G328" s="7" t="n">
        <v>12.613</v>
      </c>
      <c r="H328" s="7" t="inlineStr">
        <is>
          <t>2020</t>
        </is>
      </c>
      <c r="I328" s="7" t="inlineStr">
        <is>
          <t>API_TX_VAL_FUEL_ZS_UN_DS2_en_csv_v2_33055.zip</t>
        </is>
      </c>
    </row>
    <row r="329">
      <c r="A329" s="7" t="inlineStr">
        <is>
          <t>BLR</t>
        </is>
      </c>
      <c r="B329" s="7" t="inlineStr">
        <is>
          <t>Belarus</t>
        </is>
      </c>
      <c r="C329" s="7" t="inlineStr">
        <is>
          <t>Europe &amp; Central Asia</t>
        </is>
      </c>
      <c r="D329" s="7" t="inlineStr">
        <is>
          <t>Upper middle income</t>
        </is>
      </c>
      <c r="E329" s="7" t="b">
        <v>0</v>
      </c>
      <c r="F329" s="7" t="inlineStr">
        <is>
          <t>gen_coal_twh</t>
        </is>
      </c>
      <c r="G329" s="7" t="n">
        <v>0.02</v>
      </c>
      <c r="H329" s="7" t="n">
        <v>2024</v>
      </c>
      <c r="I329" s="7" t="inlineStr">
        <is>
          <t>release_generation_yearly_global.csv (Ember)</t>
        </is>
      </c>
    </row>
    <row r="330">
      <c r="A330" s="7" t="inlineStr">
        <is>
          <t>BLR</t>
        </is>
      </c>
      <c r="B330" s="7" t="inlineStr">
        <is>
          <t>Belarus</t>
        </is>
      </c>
      <c r="C330" s="7" t="inlineStr">
        <is>
          <t>Europe &amp; Central Asia</t>
        </is>
      </c>
      <c r="D330" s="7" t="inlineStr">
        <is>
          <t>Upper middle income</t>
        </is>
      </c>
      <c r="E330" s="7" t="b">
        <v>0</v>
      </c>
      <c r="F330" s="7" t="inlineStr">
        <is>
          <t>gen_gas_twh</t>
        </is>
      </c>
      <c r="G330" s="7" t="n">
        <v>27</v>
      </c>
      <c r="H330" s="7" t="n">
        <v>2024</v>
      </c>
      <c r="I330" s="7" t="inlineStr">
        <is>
          <t>release_generation_yearly_global.csv (Ember)</t>
        </is>
      </c>
    </row>
    <row r="331">
      <c r="A331" s="7" t="inlineStr">
        <is>
          <t>BLR</t>
        </is>
      </c>
      <c r="B331" s="7" t="inlineStr">
        <is>
          <t>Belarus</t>
        </is>
      </c>
      <c r="C331" s="7" t="inlineStr">
        <is>
          <t>Europe &amp; Central Asia</t>
        </is>
      </c>
      <c r="D331" s="7" t="inlineStr">
        <is>
          <t>Upper middle income</t>
        </is>
      </c>
      <c r="E331" s="7" t="b">
        <v>0</v>
      </c>
      <c r="F331" s="7" t="inlineStr">
        <is>
          <t>gen_oil_twh</t>
        </is>
      </c>
      <c r="G331" s="7" t="n">
        <v>1.7</v>
      </c>
      <c r="H331" s="7" t="n">
        <v>2024</v>
      </c>
      <c r="I331" s="7" t="inlineStr">
        <is>
          <t>release_generation_yearly_global.csv (Ember)</t>
        </is>
      </c>
    </row>
    <row r="332">
      <c r="A332" s="7" t="inlineStr">
        <is>
          <t>BLR</t>
        </is>
      </c>
      <c r="B332" s="7" t="inlineStr">
        <is>
          <t>Belarus</t>
        </is>
      </c>
      <c r="C332" s="7" t="inlineStr">
        <is>
          <t>Europe &amp; Central Asia</t>
        </is>
      </c>
      <c r="D332" s="7" t="inlineStr">
        <is>
          <t>Upper middle income</t>
        </is>
      </c>
      <c r="E332" s="7" t="b">
        <v>0</v>
      </c>
      <c r="F332" s="7" t="inlineStr">
        <is>
          <t>gen_total_twh</t>
        </is>
      </c>
      <c r="G332" s="7" t="n">
        <v>45.82</v>
      </c>
      <c r="H332" s="7" t="n">
        <v>2024</v>
      </c>
      <c r="I332" s="7" t="inlineStr">
        <is>
          <t>release_generation_yearly_global.csv (Ember)</t>
        </is>
      </c>
    </row>
    <row r="333">
      <c r="A333" s="7" t="inlineStr">
        <is>
          <t>BLR</t>
        </is>
      </c>
      <c r="B333" s="7" t="inlineStr">
        <is>
          <t>Belarus</t>
        </is>
      </c>
      <c r="C333" s="7" t="inlineStr">
        <is>
          <t>Europe &amp; Central Asia</t>
        </is>
      </c>
      <c r="D333" s="7" t="inlineStr">
        <is>
          <t>Upper middle income</t>
        </is>
      </c>
      <c r="E333" s="7" t="b">
        <v>0</v>
      </c>
      <c r="F333" s="7" t="inlineStr">
        <is>
          <t>power_market_structure</t>
        </is>
      </c>
      <c r="G333" s="7" t="n">
        <v>1</v>
      </c>
      <c r="H333" s="7" t="inlineStr">
        <is>
          <t>2013</t>
        </is>
      </c>
      <c r="I333" s="7" t="inlineStr">
        <is>
          <t>dataverse_files.zip</t>
        </is>
      </c>
    </row>
    <row r="334">
      <c r="A334" s="7" t="inlineStr">
        <is>
          <t>BLR</t>
        </is>
      </c>
      <c r="B334" s="7" t="inlineStr">
        <is>
          <t>Belarus</t>
        </is>
      </c>
      <c r="C334" s="7" t="inlineStr">
        <is>
          <t>Europe &amp; Central Asia</t>
        </is>
      </c>
      <c r="D334" s="7" t="inlineStr">
        <is>
          <t>Upper middle income</t>
        </is>
      </c>
      <c r="E334" s="7" t="b">
        <v>0</v>
      </c>
      <c r="F334" s="7" t="inlineStr">
        <is>
          <t>price_coal_power_usd_gj</t>
        </is>
      </c>
      <c r="G334" s="7" t="n">
        <v>4.351</v>
      </c>
      <c r="H334" s="7" t="inlineStr">
        <is>
          <t>2024</t>
        </is>
      </c>
      <c r="I334" s="7" t="inlineStr">
        <is>
          <t>imffossilfuelsubsidiesdata.xlsb</t>
        </is>
      </c>
    </row>
    <row r="335">
      <c r="A335" s="7" t="inlineStr">
        <is>
          <t>BLR</t>
        </is>
      </c>
      <c r="B335" s="7" t="inlineStr">
        <is>
          <t>Belarus</t>
        </is>
      </c>
      <c r="C335" s="7" t="inlineStr">
        <is>
          <t>Europe &amp; Central Asia</t>
        </is>
      </c>
      <c r="D335" s="7" t="inlineStr">
        <is>
          <t>Upper middle income</t>
        </is>
      </c>
      <c r="E335" s="7" t="b">
        <v>0</v>
      </c>
      <c r="F335" s="7" t="inlineStr">
        <is>
          <t>price_electricity_residential_usd_kwh</t>
        </is>
      </c>
      <c r="G335" s="7" t="n">
        <v>0.07199999999999999</v>
      </c>
      <c r="H335" s="7" t="inlineStr">
        <is>
          <t>2024</t>
        </is>
      </c>
      <c r="I335" s="7" t="inlineStr">
        <is>
          <t>imffossilfuelsubsidiesdata.xlsb</t>
        </is>
      </c>
    </row>
    <row r="336">
      <c r="A336" s="7" t="inlineStr">
        <is>
          <t>BLR</t>
        </is>
      </c>
      <c r="B336" s="7" t="inlineStr">
        <is>
          <t>Belarus</t>
        </is>
      </c>
      <c r="C336" s="7" t="inlineStr">
        <is>
          <t>Europe &amp; Central Asia</t>
        </is>
      </c>
      <c r="D336" s="7" t="inlineStr">
        <is>
          <t>Upper middle income</t>
        </is>
      </c>
      <c r="E336" s="7" t="b">
        <v>0</v>
      </c>
      <c r="F336" s="7" t="inlineStr">
        <is>
          <t>price_gas_industry_usd_gj</t>
        </is>
      </c>
      <c r="G336" s="7" t="n">
        <v>5.755</v>
      </c>
      <c r="H336" s="7" t="inlineStr">
        <is>
          <t>2024</t>
        </is>
      </c>
      <c r="I336" s="7" t="inlineStr">
        <is>
          <t>imffossilfuelsubsidiesdata.xlsb</t>
        </is>
      </c>
    </row>
    <row r="337">
      <c r="A337" s="7" t="inlineStr">
        <is>
          <t>BLR</t>
        </is>
      </c>
      <c r="B337" s="7" t="inlineStr">
        <is>
          <t>Belarus</t>
        </is>
      </c>
      <c r="C337" s="7" t="inlineStr">
        <is>
          <t>Europe &amp; Central Asia</t>
        </is>
      </c>
      <c r="D337" s="7" t="inlineStr">
        <is>
          <t>Upper middle income</t>
        </is>
      </c>
      <c r="E337" s="7" t="b">
        <v>0</v>
      </c>
      <c r="F337" s="7" t="inlineStr">
        <is>
          <t>price_gas_power_usd_gj</t>
        </is>
      </c>
      <c r="G337" s="7" t="n">
        <v>5.755</v>
      </c>
      <c r="H337" s="7" t="inlineStr">
        <is>
          <t>2024</t>
        </is>
      </c>
      <c r="I337" s="7" t="inlineStr">
        <is>
          <t>imffossilfuelsubsidiesdata.xlsb</t>
        </is>
      </c>
    </row>
    <row r="338">
      <c r="A338" s="7" t="inlineStr">
        <is>
          <t>BLR</t>
        </is>
      </c>
      <c r="B338" s="7" t="inlineStr">
        <is>
          <t>Belarus</t>
        </is>
      </c>
      <c r="C338" s="7" t="inlineStr">
        <is>
          <t>Europe &amp; Central Asia</t>
        </is>
      </c>
      <c r="D338" s="7" t="inlineStr">
        <is>
          <t>Upper middle income</t>
        </is>
      </c>
      <c r="E338" s="7" t="b">
        <v>0</v>
      </c>
      <c r="F338" s="7" t="inlineStr">
        <is>
          <t>rise_renewable_energy_score</t>
        </is>
      </c>
      <c r="G338" s="7" t="n">
        <v>22.474</v>
      </c>
      <c r="H338" s="7" t="inlineStr">
        <is>
          <t>2023</t>
        </is>
      </c>
      <c r="I338" s="7" t="inlineStr">
        <is>
          <t>WB_RISE_WIDEF.csv</t>
        </is>
      </c>
    </row>
    <row r="339">
      <c r="A339" s="7" t="inlineStr">
        <is>
          <t>BLZ</t>
        </is>
      </c>
      <c r="B339" s="7" t="inlineStr">
        <is>
          <t>Belize</t>
        </is>
      </c>
      <c r="C339" s="7" t="inlineStr">
        <is>
          <t>Latin America &amp; Caribbean</t>
        </is>
      </c>
      <c r="D339" s="7" t="inlineStr">
        <is>
          <t>Upper middle income</t>
        </is>
      </c>
      <c r="E339" s="7" t="b">
        <v>0</v>
      </c>
      <c r="F339" s="7" t="inlineStr">
        <is>
          <t>coal_rents_pct_gdp</t>
        </is>
      </c>
      <c r="G339" s="7" t="n">
        <v>0</v>
      </c>
      <c r="H339" s="7" t="inlineStr">
        <is>
          <t>2021</t>
        </is>
      </c>
      <c r="I339" s="7" t="inlineStr">
        <is>
          <t>API_NY_GDP_COAL_RT_ZS_DS2_en_csv_v2_35370.zip</t>
        </is>
      </c>
    </row>
    <row r="340">
      <c r="A340" s="7" t="inlineStr">
        <is>
          <t>BLZ</t>
        </is>
      </c>
      <c r="B340" s="7" t="inlineStr">
        <is>
          <t>Belize</t>
        </is>
      </c>
      <c r="C340" s="7" t="inlineStr">
        <is>
          <t>Latin America &amp; Caribbean</t>
        </is>
      </c>
      <c r="D340" s="7" t="inlineStr">
        <is>
          <t>Upper middle income</t>
        </is>
      </c>
      <c r="E340" s="7" t="b">
        <v>0</v>
      </c>
      <c r="F340" s="7" t="inlineStr">
        <is>
          <t>em_coal_mt</t>
        </is>
      </c>
      <c r="G340" s="7" t="n">
        <v>0</v>
      </c>
      <c r="H340" s="7" t="n">
        <v>2024</v>
      </c>
      <c r="I340" s="7" t="inlineStr">
        <is>
          <t>release_generation_yearly_global.csv (Ember)</t>
        </is>
      </c>
    </row>
    <row r="341">
      <c r="A341" s="7" t="inlineStr">
        <is>
          <t>BLZ</t>
        </is>
      </c>
      <c r="B341" s="7" t="inlineStr">
        <is>
          <t>Belize</t>
        </is>
      </c>
      <c r="C341" s="7" t="inlineStr">
        <is>
          <t>Latin America &amp; Caribbean</t>
        </is>
      </c>
      <c r="D341" s="7" t="inlineStr">
        <is>
          <t>Upper middle income</t>
        </is>
      </c>
      <c r="E341" s="7" t="b">
        <v>0</v>
      </c>
      <c r="F341" s="7" t="inlineStr">
        <is>
          <t>em_gas_mt</t>
        </is>
      </c>
      <c r="G341" s="7" t="n">
        <v>0</v>
      </c>
      <c r="H341" s="7" t="n">
        <v>2024</v>
      </c>
      <c r="I341" s="7" t="inlineStr">
        <is>
          <t>release_generation_yearly_global.csv (Ember)</t>
        </is>
      </c>
    </row>
    <row r="342">
      <c r="A342" s="7" t="inlineStr">
        <is>
          <t>BLZ</t>
        </is>
      </c>
      <c r="B342" s="7" t="inlineStr">
        <is>
          <t>Belize</t>
        </is>
      </c>
      <c r="C342" s="7" t="inlineStr">
        <is>
          <t>Latin America &amp; Caribbean</t>
        </is>
      </c>
      <c r="D342" s="7" t="inlineStr">
        <is>
          <t>Upper middle income</t>
        </is>
      </c>
      <c r="E342" s="7" t="b">
        <v>0</v>
      </c>
      <c r="F342" s="7" t="inlineStr">
        <is>
          <t>em_oil_mt</t>
        </is>
      </c>
      <c r="G342" s="7" t="n">
        <v>0.039</v>
      </c>
      <c r="H342" s="7" t="n">
        <v>2024</v>
      </c>
      <c r="I342" s="7" t="inlineStr">
        <is>
          <t>release_generation_yearly_global.csv (Ember)</t>
        </is>
      </c>
    </row>
    <row r="343">
      <c r="A343" s="7" t="inlineStr">
        <is>
          <t>BLZ</t>
        </is>
      </c>
      <c r="B343" s="7" t="inlineStr">
        <is>
          <t>Belize</t>
        </is>
      </c>
      <c r="C343" s="7" t="inlineStr">
        <is>
          <t>Latin America &amp; Caribbean</t>
        </is>
      </c>
      <c r="D343" s="7" t="inlineStr">
        <is>
          <t>Upper middle income</t>
        </is>
      </c>
      <c r="E343" s="7" t="b">
        <v>0</v>
      </c>
      <c r="F343" s="7" t="inlineStr">
        <is>
          <t>ff_subsidy_explicit_pct_gdp</t>
        </is>
      </c>
      <c r="G343" s="7" t="n">
        <v>0.757</v>
      </c>
      <c r="H343" s="7" t="inlineStr">
        <is>
          <t>2024</t>
        </is>
      </c>
      <c r="I343" s="7" t="inlineStr">
        <is>
          <t>imffossilfuelsubsidiesdata.xlsb</t>
        </is>
      </c>
    </row>
    <row r="344">
      <c r="A344" s="7" t="inlineStr">
        <is>
          <t>BLZ</t>
        </is>
      </c>
      <c r="B344" s="7" t="inlineStr">
        <is>
          <t>Belize</t>
        </is>
      </c>
      <c r="C344" s="7" t="inlineStr">
        <is>
          <t>Latin America &amp; Caribbean</t>
        </is>
      </c>
      <c r="D344" s="7" t="inlineStr">
        <is>
          <t>Upper middle income</t>
        </is>
      </c>
      <c r="E344" s="7" t="b">
        <v>0</v>
      </c>
      <c r="F344" s="7" t="inlineStr">
        <is>
          <t>fuel_exports_pct_merch</t>
        </is>
      </c>
      <c r="G344" s="7" t="n">
        <v>0.01</v>
      </c>
      <c r="H344" s="7" t="inlineStr">
        <is>
          <t>2025</t>
        </is>
      </c>
      <c r="I344" s="7" t="inlineStr">
        <is>
          <t>API_TX_VAL_FUEL_ZS_UN_DS2_en_csv_v2_33055.zip</t>
        </is>
      </c>
    </row>
    <row r="345">
      <c r="A345" s="7" t="inlineStr">
        <is>
          <t>BLZ</t>
        </is>
      </c>
      <c r="B345" s="7" t="inlineStr">
        <is>
          <t>Belize</t>
        </is>
      </c>
      <c r="C345" s="7" t="inlineStr">
        <is>
          <t>Latin America &amp; Caribbean</t>
        </is>
      </c>
      <c r="D345" s="7" t="inlineStr">
        <is>
          <t>Upper middle income</t>
        </is>
      </c>
      <c r="E345" s="7" t="b">
        <v>0</v>
      </c>
      <c r="F345" s="7" t="inlineStr">
        <is>
          <t>gen_coal_twh</t>
        </is>
      </c>
      <c r="G345" s="7" t="n">
        <v>0</v>
      </c>
      <c r="H345" s="7" t="n">
        <v>2024</v>
      </c>
      <c r="I345" s="7" t="inlineStr">
        <is>
          <t>release_generation_yearly_global.csv (Ember)</t>
        </is>
      </c>
    </row>
    <row r="346">
      <c r="A346" s="7" t="inlineStr">
        <is>
          <t>BLZ</t>
        </is>
      </c>
      <c r="B346" s="7" t="inlineStr">
        <is>
          <t>Belize</t>
        </is>
      </c>
      <c r="C346" s="7" t="inlineStr">
        <is>
          <t>Latin America &amp; Caribbean</t>
        </is>
      </c>
      <c r="D346" s="7" t="inlineStr">
        <is>
          <t>Upper middle income</t>
        </is>
      </c>
      <c r="E346" s="7" t="b">
        <v>0</v>
      </c>
      <c r="F346" s="7" t="inlineStr">
        <is>
          <t>gen_gas_twh</t>
        </is>
      </c>
      <c r="G346" s="7" t="n">
        <v>0</v>
      </c>
      <c r="H346" s="7" t="n">
        <v>2024</v>
      </c>
      <c r="I346" s="7" t="inlineStr">
        <is>
          <t>release_generation_yearly_global.csv (Ember)</t>
        </is>
      </c>
    </row>
    <row r="347">
      <c r="A347" s="7" t="inlineStr">
        <is>
          <t>BLZ</t>
        </is>
      </c>
      <c r="B347" s="7" t="inlineStr">
        <is>
          <t>Belize</t>
        </is>
      </c>
      <c r="C347" s="7" t="inlineStr">
        <is>
          <t>Latin America &amp; Caribbean</t>
        </is>
      </c>
      <c r="D347" s="7" t="inlineStr">
        <is>
          <t>Upper middle income</t>
        </is>
      </c>
      <c r="E347" s="7" t="b">
        <v>0</v>
      </c>
      <c r="F347" s="7" t="inlineStr">
        <is>
          <t>gen_oil_twh</t>
        </is>
      </c>
      <c r="G347" s="7" t="n">
        <v>0.06</v>
      </c>
      <c r="H347" s="7" t="n">
        <v>2024</v>
      </c>
      <c r="I347" s="7" t="inlineStr">
        <is>
          <t>release_generation_yearly_global.csv (Ember)</t>
        </is>
      </c>
    </row>
    <row r="348">
      <c r="A348" s="7" t="inlineStr">
        <is>
          <t>BLZ</t>
        </is>
      </c>
      <c r="B348" s="7" t="inlineStr">
        <is>
          <t>Belize</t>
        </is>
      </c>
      <c r="C348" s="7" t="inlineStr">
        <is>
          <t>Latin America &amp; Caribbean</t>
        </is>
      </c>
      <c r="D348" s="7" t="inlineStr">
        <is>
          <t>Upper middle income</t>
        </is>
      </c>
      <c r="E348" s="7" t="b">
        <v>0</v>
      </c>
      <c r="F348" s="7" t="inlineStr">
        <is>
          <t>gen_total_twh</t>
        </is>
      </c>
      <c r="G348" s="7" t="n">
        <v>0.47</v>
      </c>
      <c r="H348" s="7" t="n">
        <v>2024</v>
      </c>
      <c r="I348" s="7" t="inlineStr">
        <is>
          <t>release_generation_yearly_global.csv (Ember)</t>
        </is>
      </c>
    </row>
    <row r="349">
      <c r="A349" s="7" t="inlineStr">
        <is>
          <t>BLZ</t>
        </is>
      </c>
      <c r="B349" s="7" t="inlineStr">
        <is>
          <t>Belize</t>
        </is>
      </c>
      <c r="C349" s="7" t="inlineStr">
        <is>
          <t>Latin America &amp; Caribbean</t>
        </is>
      </c>
      <c r="D349" s="7" t="inlineStr">
        <is>
          <t>Upper middle income</t>
        </is>
      </c>
      <c r="E349" s="7" t="b">
        <v>0</v>
      </c>
      <c r="F349" s="7" t="inlineStr">
        <is>
          <t>power_market_structure</t>
        </is>
      </c>
      <c r="G349" s="7" t="n">
        <v>2</v>
      </c>
      <c r="H349" s="7" t="inlineStr">
        <is>
          <t>2013</t>
        </is>
      </c>
      <c r="I349" s="7" t="inlineStr">
        <is>
          <t>dataverse_files.zip</t>
        </is>
      </c>
    </row>
    <row r="350">
      <c r="A350" s="7" t="inlineStr">
        <is>
          <t>BLZ</t>
        </is>
      </c>
      <c r="B350" s="7" t="inlineStr">
        <is>
          <t>Belize</t>
        </is>
      </c>
      <c r="C350" s="7" t="inlineStr">
        <is>
          <t>Latin America &amp; Caribbean</t>
        </is>
      </c>
      <c r="D350" s="7" t="inlineStr">
        <is>
          <t>Upper middle income</t>
        </is>
      </c>
      <c r="E350" s="7" t="b">
        <v>0</v>
      </c>
      <c r="F350" s="7" t="inlineStr">
        <is>
          <t>price_coal_power_usd_gj</t>
        </is>
      </c>
      <c r="G350" s="7" t="n">
        <v>5.575</v>
      </c>
      <c r="H350" s="7" t="inlineStr">
        <is>
          <t>2024</t>
        </is>
      </c>
      <c r="I350" s="7" t="inlineStr">
        <is>
          <t>imffossilfuelsubsidiesdata.xlsb</t>
        </is>
      </c>
    </row>
    <row r="351">
      <c r="A351" s="7" t="inlineStr">
        <is>
          <t>BLZ</t>
        </is>
      </c>
      <c r="B351" s="7" t="inlineStr">
        <is>
          <t>Belize</t>
        </is>
      </c>
      <c r="C351" s="7" t="inlineStr">
        <is>
          <t>Latin America &amp; Caribbean</t>
        </is>
      </c>
      <c r="D351" s="7" t="inlineStr">
        <is>
          <t>Upper middle income</t>
        </is>
      </c>
      <c r="E351" s="7" t="b">
        <v>0</v>
      </c>
      <c r="F351" s="7" t="inlineStr">
        <is>
          <t>price_electricity_residential_usd_kwh</t>
        </is>
      </c>
      <c r="G351" s="7" t="n">
        <v>0.219</v>
      </c>
      <c r="H351" s="7" t="inlineStr">
        <is>
          <t>2024</t>
        </is>
      </c>
      <c r="I351" s="7" t="inlineStr">
        <is>
          <t>imffossilfuelsubsidiesdata.xlsb</t>
        </is>
      </c>
    </row>
    <row r="352">
      <c r="A352" s="7" t="inlineStr">
        <is>
          <t>BLZ</t>
        </is>
      </c>
      <c r="B352" s="7" t="inlineStr">
        <is>
          <t>Belize</t>
        </is>
      </c>
      <c r="C352" s="7" t="inlineStr">
        <is>
          <t>Latin America &amp; Caribbean</t>
        </is>
      </c>
      <c r="D352" s="7" t="inlineStr">
        <is>
          <t>Upper middle income</t>
        </is>
      </c>
      <c r="E352" s="7" t="b">
        <v>0</v>
      </c>
      <c r="F352" s="7" t="inlineStr">
        <is>
          <t>price_gas_industry_usd_gj</t>
        </is>
      </c>
      <c r="G352" s="7" t="n">
        <v>5.164</v>
      </c>
      <c r="H352" s="7" t="inlineStr">
        <is>
          <t>2024</t>
        </is>
      </c>
      <c r="I352" s="7" t="inlineStr">
        <is>
          <t>imffossilfuelsubsidiesdata.xlsb</t>
        </is>
      </c>
    </row>
    <row r="353">
      <c r="A353" s="7" t="inlineStr">
        <is>
          <t>BLZ</t>
        </is>
      </c>
      <c r="B353" s="7" t="inlineStr">
        <is>
          <t>Belize</t>
        </is>
      </c>
      <c r="C353" s="7" t="inlineStr">
        <is>
          <t>Latin America &amp; Caribbean</t>
        </is>
      </c>
      <c r="D353" s="7" t="inlineStr">
        <is>
          <t>Upper middle income</t>
        </is>
      </c>
      <c r="E353" s="7" t="b">
        <v>0</v>
      </c>
      <c r="F353" s="7" t="inlineStr">
        <is>
          <t>price_gas_power_usd_gj</t>
        </is>
      </c>
      <c r="G353" s="7" t="n">
        <v>3.841</v>
      </c>
      <c r="H353" s="7" t="inlineStr">
        <is>
          <t>2024</t>
        </is>
      </c>
      <c r="I353" s="7" t="inlineStr">
        <is>
          <t>imffossilfuelsubsidiesdata.xlsb</t>
        </is>
      </c>
    </row>
    <row r="354">
      <c r="A354" s="7" t="inlineStr">
        <is>
          <t>BMU</t>
        </is>
      </c>
      <c r="B354" s="7" t="inlineStr">
        <is>
          <t>Bermuda</t>
        </is>
      </c>
      <c r="C354" s="7" t="inlineStr">
        <is>
          <t>North America</t>
        </is>
      </c>
      <c r="D354" s="7" t="inlineStr">
        <is>
          <t>High income</t>
        </is>
      </c>
      <c r="E354" s="7" t="b">
        <v>0</v>
      </c>
      <c r="F354" s="7" t="inlineStr">
        <is>
          <t>coal_rents_pct_gdp</t>
        </is>
      </c>
      <c r="G354" s="7" t="n">
        <v>0</v>
      </c>
      <c r="H354" s="7" t="inlineStr">
        <is>
          <t>2021</t>
        </is>
      </c>
      <c r="I354" s="7" t="inlineStr">
        <is>
          <t>API_NY_GDP_COAL_RT_ZS_DS2_en_csv_v2_35370.zip</t>
        </is>
      </c>
    </row>
    <row r="355">
      <c r="A355" s="7" t="inlineStr">
        <is>
          <t>BMU</t>
        </is>
      </c>
      <c r="B355" s="7" t="inlineStr">
        <is>
          <t>Bermuda</t>
        </is>
      </c>
      <c r="C355" s="7" t="inlineStr">
        <is>
          <t>North America</t>
        </is>
      </c>
      <c r="D355" s="7" t="inlineStr">
        <is>
          <t>High income</t>
        </is>
      </c>
      <c r="E355" s="7" t="b">
        <v>0</v>
      </c>
      <c r="F355" s="7" t="inlineStr">
        <is>
          <t>fuel_exports_pct_merch</t>
        </is>
      </c>
      <c r="G355" s="7" t="n">
        <v>0</v>
      </c>
      <c r="H355" s="7" t="inlineStr">
        <is>
          <t>2024</t>
        </is>
      </c>
      <c r="I355" s="7" t="inlineStr">
        <is>
          <t>API_TX_VAL_FUEL_ZS_UN_DS2_en_csv_v2_33055.zip</t>
        </is>
      </c>
    </row>
    <row r="356">
      <c r="A356" s="7" t="inlineStr">
        <is>
          <t>BOL</t>
        </is>
      </c>
      <c r="B356" s="7" t="inlineStr">
        <is>
          <t>Bolivia</t>
        </is>
      </c>
      <c r="C356" s="7" t="inlineStr">
        <is>
          <t>Latin America &amp; Caribbean</t>
        </is>
      </c>
      <c r="D356" s="7" t="inlineStr">
        <is>
          <t>Lower middle income</t>
        </is>
      </c>
      <c r="E356" s="7" t="b">
        <v>0</v>
      </c>
      <c r="F356" s="7" t="inlineStr">
        <is>
          <t>coal_rents_pct_gdp</t>
        </is>
      </c>
      <c r="G356" s="7" t="n">
        <v>0</v>
      </c>
      <c r="H356" s="7" t="inlineStr">
        <is>
          <t>2021</t>
        </is>
      </c>
      <c r="I356" s="7" t="inlineStr">
        <is>
          <t>API_NY_GDP_COAL_RT_ZS_DS2_en_csv_v2_35370.zip</t>
        </is>
      </c>
    </row>
    <row r="357">
      <c r="A357" s="7" t="inlineStr">
        <is>
          <t>BOL</t>
        </is>
      </c>
      <c r="B357" s="7" t="inlineStr">
        <is>
          <t>Bolivia</t>
        </is>
      </c>
      <c r="C357" s="7" t="inlineStr">
        <is>
          <t>Latin America &amp; Caribbean</t>
        </is>
      </c>
      <c r="D357" s="7" t="inlineStr">
        <is>
          <t>Lower middle income</t>
        </is>
      </c>
      <c r="E357" s="7" t="b">
        <v>0</v>
      </c>
      <c r="F357" s="7" t="inlineStr">
        <is>
          <t>em_coal_mt</t>
        </is>
      </c>
      <c r="G357" s="7" t="n">
        <v>0</v>
      </c>
      <c r="H357" s="7" t="n">
        <v>2024</v>
      </c>
      <c r="I357" s="7" t="inlineStr">
        <is>
          <t>release_generation_yearly_global.csv (Ember)</t>
        </is>
      </c>
    </row>
    <row r="358">
      <c r="A358" s="7" t="inlineStr">
        <is>
          <t>BOL</t>
        </is>
      </c>
      <c r="B358" s="7" t="inlineStr">
        <is>
          <t>Bolivia</t>
        </is>
      </c>
      <c r="C358" s="7" t="inlineStr">
        <is>
          <t>Latin America &amp; Caribbean</t>
        </is>
      </c>
      <c r="D358" s="7" t="inlineStr">
        <is>
          <t>Lower middle income</t>
        </is>
      </c>
      <c r="E358" s="7" t="b">
        <v>0</v>
      </c>
      <c r="F358" s="7" t="inlineStr">
        <is>
          <t>em_gas_mt</t>
        </is>
      </c>
      <c r="G358" s="7" t="n">
        <v>6.384</v>
      </c>
      <c r="H358" s="7" t="n">
        <v>2024</v>
      </c>
      <c r="I358" s="7" t="inlineStr">
        <is>
          <t>release_generation_yearly_global.csv (Ember)</t>
        </is>
      </c>
    </row>
    <row r="359">
      <c r="A359" s="7" t="inlineStr">
        <is>
          <t>BOL</t>
        </is>
      </c>
      <c r="B359" s="7" t="inlineStr">
        <is>
          <t>Bolivia</t>
        </is>
      </c>
      <c r="C359" s="7" t="inlineStr">
        <is>
          <t>Latin America &amp; Caribbean</t>
        </is>
      </c>
      <c r="D359" s="7" t="inlineStr">
        <is>
          <t>Lower middle income</t>
        </is>
      </c>
      <c r="E359" s="7" t="b">
        <v>0</v>
      </c>
      <c r="F359" s="7" t="inlineStr">
        <is>
          <t>em_oil_mt</t>
        </is>
      </c>
      <c r="G359" s="7" t="n">
        <v>0.132</v>
      </c>
      <c r="H359" s="7" t="n">
        <v>2024</v>
      </c>
      <c r="I359" s="7" t="inlineStr">
        <is>
          <t>release_generation_yearly_global.csv (Ember)</t>
        </is>
      </c>
    </row>
    <row r="360">
      <c r="A360" s="7" t="inlineStr">
        <is>
          <t>BOL</t>
        </is>
      </c>
      <c r="B360" s="7" t="inlineStr">
        <is>
          <t>Bolivia</t>
        </is>
      </c>
      <c r="C360" s="7" t="inlineStr">
        <is>
          <t>Latin America &amp; Caribbean</t>
        </is>
      </c>
      <c r="D360" s="7" t="inlineStr">
        <is>
          <t>Lower middle income</t>
        </is>
      </c>
      <c r="E360" s="7" t="b">
        <v>0</v>
      </c>
      <c r="F360" s="7" t="inlineStr">
        <is>
          <t>ff_subsidy_explicit_pct_gdp</t>
        </is>
      </c>
      <c r="G360" s="7" t="n">
        <v>4.201</v>
      </c>
      <c r="H360" s="7" t="inlineStr">
        <is>
          <t>2024</t>
        </is>
      </c>
      <c r="I360" s="7" t="inlineStr">
        <is>
          <t>imffossilfuelsubsidiesdata.xlsb</t>
        </is>
      </c>
    </row>
    <row r="361">
      <c r="A361" s="7" t="inlineStr">
        <is>
          <t>BOL</t>
        </is>
      </c>
      <c r="B361" s="7" t="inlineStr">
        <is>
          <t>Bolivia</t>
        </is>
      </c>
      <c r="C361" s="7" t="inlineStr">
        <is>
          <t>Latin America &amp; Caribbean</t>
        </is>
      </c>
      <c r="D361" s="7" t="inlineStr">
        <is>
          <t>Lower middle income</t>
        </is>
      </c>
      <c r="E361" s="7" t="b">
        <v>0</v>
      </c>
      <c r="F361" s="7" t="inlineStr">
        <is>
          <t>fuel_exports_pct_merch</t>
        </is>
      </c>
      <c r="G361" s="7" t="n">
        <v>18.943</v>
      </c>
      <c r="H361" s="7" t="inlineStr">
        <is>
          <t>2024</t>
        </is>
      </c>
      <c r="I361" s="7" t="inlineStr">
        <is>
          <t>API_TX_VAL_FUEL_ZS_UN_DS2_en_csv_v2_33055.zip</t>
        </is>
      </c>
    </row>
    <row r="362">
      <c r="A362" s="7" t="inlineStr">
        <is>
          <t>BOL</t>
        </is>
      </c>
      <c r="B362" s="7" t="inlineStr">
        <is>
          <t>Bolivia</t>
        </is>
      </c>
      <c r="C362" s="7" t="inlineStr">
        <is>
          <t>Latin America &amp; Caribbean</t>
        </is>
      </c>
      <c r="D362" s="7" t="inlineStr">
        <is>
          <t>Lower middle income</t>
        </is>
      </c>
      <c r="E362" s="7" t="b">
        <v>0</v>
      </c>
      <c r="F362" s="7" t="inlineStr">
        <is>
          <t>gen_coal_twh</t>
        </is>
      </c>
      <c r="G362" s="7" t="n">
        <v>0</v>
      </c>
      <c r="H362" s="7" t="n">
        <v>2024</v>
      </c>
      <c r="I362" s="7" t="inlineStr">
        <is>
          <t>release_generation_yearly_global.csv (Ember)</t>
        </is>
      </c>
    </row>
    <row r="363">
      <c r="A363" s="7" t="inlineStr">
        <is>
          <t>BOL</t>
        </is>
      </c>
      <c r="B363" s="7" t="inlineStr">
        <is>
          <t>Bolivia</t>
        </is>
      </c>
      <c r="C363" s="7" t="inlineStr">
        <is>
          <t>Latin America &amp; Caribbean</t>
        </is>
      </c>
      <c r="D363" s="7" t="inlineStr">
        <is>
          <t>Lower middle income</t>
        </is>
      </c>
      <c r="E363" s="7" t="b">
        <v>0</v>
      </c>
      <c r="F363" s="7" t="inlineStr">
        <is>
          <t>gen_gas_twh</t>
        </is>
      </c>
      <c r="G363" s="7" t="n">
        <v>8.73</v>
      </c>
      <c r="H363" s="7" t="n">
        <v>2024</v>
      </c>
      <c r="I363" s="7" t="inlineStr">
        <is>
          <t>release_generation_yearly_global.csv (Ember)</t>
        </is>
      </c>
    </row>
    <row r="364">
      <c r="A364" s="7" t="inlineStr">
        <is>
          <t>BOL</t>
        </is>
      </c>
      <c r="B364" s="7" t="inlineStr">
        <is>
          <t>Bolivia</t>
        </is>
      </c>
      <c r="C364" s="7" t="inlineStr">
        <is>
          <t>Latin America &amp; Caribbean</t>
        </is>
      </c>
      <c r="D364" s="7" t="inlineStr">
        <is>
          <t>Lower middle income</t>
        </is>
      </c>
      <c r="E364" s="7" t="b">
        <v>0</v>
      </c>
      <c r="F364" s="7" t="inlineStr">
        <is>
          <t>gen_oil_twh</t>
        </is>
      </c>
      <c r="G364" s="7" t="n">
        <v>0.2</v>
      </c>
      <c r="H364" s="7" t="n">
        <v>2024</v>
      </c>
      <c r="I364" s="7" t="inlineStr">
        <is>
          <t>release_generation_yearly_global.csv (Ember)</t>
        </is>
      </c>
    </row>
    <row r="365">
      <c r="A365" s="7" t="inlineStr">
        <is>
          <t>BOL</t>
        </is>
      </c>
      <c r="B365" s="7" t="inlineStr">
        <is>
          <t>Bolivia</t>
        </is>
      </c>
      <c r="C365" s="7" t="inlineStr">
        <is>
          <t>Latin America &amp; Caribbean</t>
        </is>
      </c>
      <c r="D365" s="7" t="inlineStr">
        <is>
          <t>Lower middle income</t>
        </is>
      </c>
      <c r="E365" s="7" t="b">
        <v>0</v>
      </c>
      <c r="F365" s="7" t="inlineStr">
        <is>
          <t>gen_total_twh</t>
        </is>
      </c>
      <c r="G365" s="7" t="n">
        <v>13.53</v>
      </c>
      <c r="H365" s="7" t="n">
        <v>2024</v>
      </c>
      <c r="I365" s="7" t="inlineStr">
        <is>
          <t>release_generation_yearly_global.csv (Ember)</t>
        </is>
      </c>
    </row>
    <row r="366">
      <c r="A366" s="7" t="inlineStr">
        <is>
          <t>BOL</t>
        </is>
      </c>
      <c r="B366" s="7" t="inlineStr">
        <is>
          <t>Bolivia</t>
        </is>
      </c>
      <c r="C366" s="7" t="inlineStr">
        <is>
          <t>Latin America &amp; Caribbean</t>
        </is>
      </c>
      <c r="D366" s="7" t="inlineStr">
        <is>
          <t>Lower middle income</t>
        </is>
      </c>
      <c r="E366" s="7" t="b">
        <v>0</v>
      </c>
      <c r="F366" s="7" t="inlineStr">
        <is>
          <t>power_market_structure</t>
        </is>
      </c>
      <c r="G366" s="7" t="n">
        <v>3</v>
      </c>
      <c r="H366" s="7" t="inlineStr">
        <is>
          <t>2013</t>
        </is>
      </c>
      <c r="I366" s="7" t="inlineStr">
        <is>
          <t>dataverse_files.zip</t>
        </is>
      </c>
    </row>
    <row r="367">
      <c r="A367" s="7" t="inlineStr">
        <is>
          <t>BOL</t>
        </is>
      </c>
      <c r="B367" s="7" t="inlineStr">
        <is>
          <t>Bolivia</t>
        </is>
      </c>
      <c r="C367" s="7" t="inlineStr">
        <is>
          <t>Latin America &amp; Caribbean</t>
        </is>
      </c>
      <c r="D367" s="7" t="inlineStr">
        <is>
          <t>Lower middle income</t>
        </is>
      </c>
      <c r="E367" s="7" t="b">
        <v>0</v>
      </c>
      <c r="F367" s="7" t="inlineStr">
        <is>
          <t>price_coal_power_usd_gj</t>
        </is>
      </c>
      <c r="G367" s="7" t="n">
        <v>5.787</v>
      </c>
      <c r="H367" s="7" t="inlineStr">
        <is>
          <t>2024</t>
        </is>
      </c>
      <c r="I367" s="7" t="inlineStr">
        <is>
          <t>imffossilfuelsubsidiesdata.xlsb</t>
        </is>
      </c>
    </row>
    <row r="368">
      <c r="A368" s="7" t="inlineStr">
        <is>
          <t>BOL</t>
        </is>
      </c>
      <c r="B368" s="7" t="inlineStr">
        <is>
          <t>Bolivia</t>
        </is>
      </c>
      <c r="C368" s="7" t="inlineStr">
        <is>
          <t>Latin America &amp; Caribbean</t>
        </is>
      </c>
      <c r="D368" s="7" t="inlineStr">
        <is>
          <t>Lower middle income</t>
        </is>
      </c>
      <c r="E368" s="7" t="b">
        <v>0</v>
      </c>
      <c r="F368" s="7" t="inlineStr">
        <is>
          <t>price_electricity_residential_usd_kwh</t>
        </is>
      </c>
      <c r="G368" s="7" t="n">
        <v>0.113</v>
      </c>
      <c r="H368" s="7" t="inlineStr">
        <is>
          <t>2024</t>
        </is>
      </c>
      <c r="I368" s="7" t="inlineStr">
        <is>
          <t>imffossilfuelsubsidiesdata.xlsb</t>
        </is>
      </c>
    </row>
    <row r="369">
      <c r="A369" s="7" t="inlineStr">
        <is>
          <t>BOL</t>
        </is>
      </c>
      <c r="B369" s="7" t="inlineStr">
        <is>
          <t>Bolivia</t>
        </is>
      </c>
      <c r="C369" s="7" t="inlineStr">
        <is>
          <t>Latin America &amp; Caribbean</t>
        </is>
      </c>
      <c r="D369" s="7" t="inlineStr">
        <is>
          <t>Lower middle income</t>
        </is>
      </c>
      <c r="E369" s="7" t="b">
        <v>0</v>
      </c>
      <c r="F369" s="7" t="inlineStr">
        <is>
          <t>price_gas_industry_usd_gj</t>
        </is>
      </c>
      <c r="G369" s="7" t="n">
        <v>5.694</v>
      </c>
      <c r="H369" s="7" t="inlineStr">
        <is>
          <t>2024</t>
        </is>
      </c>
      <c r="I369" s="7" t="inlineStr">
        <is>
          <t>imffossilfuelsubsidiesdata.xlsb</t>
        </is>
      </c>
    </row>
    <row r="370">
      <c r="A370" s="7" t="inlineStr">
        <is>
          <t>BOL</t>
        </is>
      </c>
      <c r="B370" s="7" t="inlineStr">
        <is>
          <t>Bolivia</t>
        </is>
      </c>
      <c r="C370" s="7" t="inlineStr">
        <is>
          <t>Latin America &amp; Caribbean</t>
        </is>
      </c>
      <c r="D370" s="7" t="inlineStr">
        <is>
          <t>Lower middle income</t>
        </is>
      </c>
      <c r="E370" s="7" t="b">
        <v>0</v>
      </c>
      <c r="F370" s="7" t="inlineStr">
        <is>
          <t>price_gas_power_usd_gj</t>
        </is>
      </c>
      <c r="G370" s="7" t="n">
        <v>2.454</v>
      </c>
      <c r="H370" s="7" t="inlineStr">
        <is>
          <t>2024</t>
        </is>
      </c>
      <c r="I370" s="7" t="inlineStr">
        <is>
          <t>imffossilfuelsubsidiesdata.xlsb</t>
        </is>
      </c>
    </row>
    <row r="371">
      <c r="A371" s="7" t="inlineStr">
        <is>
          <t>BOL</t>
        </is>
      </c>
      <c r="B371" s="7" t="inlineStr">
        <is>
          <t>Bolivia</t>
        </is>
      </c>
      <c r="C371" s="7" t="inlineStr">
        <is>
          <t>Latin America &amp; Caribbean</t>
        </is>
      </c>
      <c r="D371" s="7" t="inlineStr">
        <is>
          <t>Lower middle income</t>
        </is>
      </c>
      <c r="E371" s="7" t="b">
        <v>0</v>
      </c>
      <c r="F371" s="7" t="inlineStr">
        <is>
          <t>rise_renewable_energy_score</t>
        </is>
      </c>
      <c r="G371" s="7" t="n">
        <v>22.426</v>
      </c>
      <c r="H371" s="7" t="inlineStr">
        <is>
          <t>2023</t>
        </is>
      </c>
      <c r="I371" s="7" t="inlineStr">
        <is>
          <t>WB_RISE_WIDEF.csv</t>
        </is>
      </c>
    </row>
    <row r="372">
      <c r="A372" s="7" t="inlineStr">
        <is>
          <t>BRA</t>
        </is>
      </c>
      <c r="B372" s="7" t="inlineStr">
        <is>
          <t>Brazil</t>
        </is>
      </c>
      <c r="C372" s="7" t="inlineStr">
        <is>
          <t>Latin America &amp; Caribbean</t>
        </is>
      </c>
      <c r="D372" s="7" t="inlineStr">
        <is>
          <t>Upper middle income</t>
        </is>
      </c>
      <c r="E372" s="7" t="b">
        <v>1</v>
      </c>
      <c r="F372" s="7" t="inlineStr">
        <is>
          <t>coal_rents_pct_gdp</t>
        </is>
      </c>
      <c r="G372" s="7" t="n">
        <v>0.014</v>
      </c>
      <c r="H372" s="7" t="inlineStr">
        <is>
          <t>2021</t>
        </is>
      </c>
      <c r="I372" s="7" t="inlineStr">
        <is>
          <t>API_NY_GDP_COAL_RT_ZS_DS2_en_csv_v2_35370.zip</t>
        </is>
      </c>
    </row>
    <row r="373">
      <c r="A373" s="7" t="inlineStr">
        <is>
          <t>BRA</t>
        </is>
      </c>
      <c r="B373" s="7" t="inlineStr">
        <is>
          <t>Brazil</t>
        </is>
      </c>
      <c r="C373" s="7" t="inlineStr">
        <is>
          <t>Latin America &amp; Caribbean</t>
        </is>
      </c>
      <c r="D373" s="7" t="inlineStr">
        <is>
          <t>Upper middle income</t>
        </is>
      </c>
      <c r="E373" s="7" t="b">
        <v>1</v>
      </c>
      <c r="F373" s="7" t="inlineStr">
        <is>
          <t>em_coal_mt</t>
        </is>
      </c>
      <c r="G373" s="7" t="n">
        <v>14.13</v>
      </c>
      <c r="H373" s="7" t="n">
        <v>2024</v>
      </c>
      <c r="I373" s="7" t="inlineStr">
        <is>
          <t>release_generation_yearly_global.csv (Ember)</t>
        </is>
      </c>
    </row>
    <row r="374">
      <c r="A374" s="7" t="inlineStr">
        <is>
          <t>BRA</t>
        </is>
      </c>
      <c r="B374" s="7" t="inlineStr">
        <is>
          <t>Brazil</t>
        </is>
      </c>
      <c r="C374" s="7" t="inlineStr">
        <is>
          <t>Latin America &amp; Caribbean</t>
        </is>
      </c>
      <c r="D374" s="7" t="inlineStr">
        <is>
          <t>Upper middle income</t>
        </is>
      </c>
      <c r="E374" s="7" t="b">
        <v>1</v>
      </c>
      <c r="F374" s="7" t="inlineStr">
        <is>
          <t>em_gas_mt</t>
        </is>
      </c>
      <c r="G374" s="7" t="n">
        <v>29.236</v>
      </c>
      <c r="H374" s="7" t="n">
        <v>2024</v>
      </c>
      <c r="I374" s="7" t="inlineStr">
        <is>
          <t>release_generation_yearly_global.csv (Ember)</t>
        </is>
      </c>
    </row>
    <row r="375">
      <c r="A375" s="7" t="inlineStr">
        <is>
          <t>BRA</t>
        </is>
      </c>
      <c r="B375" s="7" t="inlineStr">
        <is>
          <t>Brazil</t>
        </is>
      </c>
      <c r="C375" s="7" t="inlineStr">
        <is>
          <t>Latin America &amp; Caribbean</t>
        </is>
      </c>
      <c r="D375" s="7" t="inlineStr">
        <is>
          <t>Upper middle income</t>
        </is>
      </c>
      <c r="E375" s="7" t="b">
        <v>1</v>
      </c>
      <c r="F375" s="7" t="inlineStr">
        <is>
          <t>em_oil_mt</t>
        </is>
      </c>
      <c r="G375" s="7" t="n">
        <v>9.021000000000001</v>
      </c>
      <c r="H375" s="7" t="n">
        <v>2024</v>
      </c>
      <c r="I375" s="7" t="inlineStr">
        <is>
          <t>release_generation_yearly_global.csv (Ember)</t>
        </is>
      </c>
    </row>
    <row r="376">
      <c r="A376" s="7" t="inlineStr">
        <is>
          <t>BRA</t>
        </is>
      </c>
      <c r="B376" s="7" t="inlineStr">
        <is>
          <t>Brazil</t>
        </is>
      </c>
      <c r="C376" s="7" t="inlineStr">
        <is>
          <t>Latin America &amp; Caribbean</t>
        </is>
      </c>
      <c r="D376" s="7" t="inlineStr">
        <is>
          <t>Upper middle income</t>
        </is>
      </c>
      <c r="E376" s="7" t="b">
        <v>1</v>
      </c>
      <c r="F376" s="7" t="inlineStr">
        <is>
          <t>ff_subsidy_explicit_pct_gdp</t>
        </is>
      </c>
      <c r="G376" s="7" t="n">
        <v>0.146</v>
      </c>
      <c r="H376" s="7" t="inlineStr">
        <is>
          <t>2024</t>
        </is>
      </c>
      <c r="I376" s="7" t="inlineStr">
        <is>
          <t>imffossilfuelsubsidiesdata.xlsb</t>
        </is>
      </c>
    </row>
    <row r="377">
      <c r="A377" s="7" t="inlineStr">
        <is>
          <t>BRA</t>
        </is>
      </c>
      <c r="B377" s="7" t="inlineStr">
        <is>
          <t>Brazil</t>
        </is>
      </c>
      <c r="C377" s="7" t="inlineStr">
        <is>
          <t>Latin America &amp; Caribbean</t>
        </is>
      </c>
      <c r="D377" s="7" t="inlineStr">
        <is>
          <t>Upper middle income</t>
        </is>
      </c>
      <c r="E377" s="7" t="b">
        <v>1</v>
      </c>
      <c r="F377" s="7" t="inlineStr">
        <is>
          <t>fuel_exports_pct_merch</t>
        </is>
      </c>
      <c r="G377" s="7" t="n">
        <v>16.117</v>
      </c>
      <c r="H377" s="7" t="inlineStr">
        <is>
          <t>2025</t>
        </is>
      </c>
      <c r="I377" s="7" t="inlineStr">
        <is>
          <t>API_TX_VAL_FUEL_ZS_UN_DS2_en_csv_v2_33055.zip</t>
        </is>
      </c>
    </row>
    <row r="378">
      <c r="A378" s="7" t="inlineStr">
        <is>
          <t>BRA</t>
        </is>
      </c>
      <c r="B378" s="7" t="inlineStr">
        <is>
          <t>Brazil</t>
        </is>
      </c>
      <c r="C378" s="7" t="inlineStr">
        <is>
          <t>Latin America &amp; Caribbean</t>
        </is>
      </c>
      <c r="D378" s="7" t="inlineStr">
        <is>
          <t>Upper middle income</t>
        </is>
      </c>
      <c r="E378" s="7" t="b">
        <v>1</v>
      </c>
      <c r="F378" s="7" t="inlineStr">
        <is>
          <t>gen_coal_twh</t>
        </is>
      </c>
      <c r="G378" s="7" t="n">
        <v>16.21</v>
      </c>
      <c r="H378" s="7" t="n">
        <v>2024</v>
      </c>
      <c r="I378" s="7" t="inlineStr">
        <is>
          <t>release_generation_yearly_global.csv (Ember)</t>
        </is>
      </c>
    </row>
    <row r="379">
      <c r="A379" s="7" t="inlineStr">
        <is>
          <t>BRA</t>
        </is>
      </c>
      <c r="B379" s="7" t="inlineStr">
        <is>
          <t>Brazil</t>
        </is>
      </c>
      <c r="C379" s="7" t="inlineStr">
        <is>
          <t>Latin America &amp; Caribbean</t>
        </is>
      </c>
      <c r="D379" s="7" t="inlineStr">
        <is>
          <t>Upper middle income</t>
        </is>
      </c>
      <c r="E379" s="7" t="b">
        <v>1</v>
      </c>
      <c r="F379" s="7" t="inlineStr">
        <is>
          <t>gen_gas_twh</t>
        </is>
      </c>
      <c r="G379" s="7" t="n">
        <v>48.76</v>
      </c>
      <c r="H379" s="7" t="n">
        <v>2024</v>
      </c>
      <c r="I379" s="7" t="inlineStr">
        <is>
          <t>release_generation_yearly_global.csv (Ember)</t>
        </is>
      </c>
    </row>
    <row r="380">
      <c r="A380" s="7" t="inlineStr">
        <is>
          <t>BRA</t>
        </is>
      </c>
      <c r="B380" s="7" t="inlineStr">
        <is>
          <t>Brazil</t>
        </is>
      </c>
      <c r="C380" s="7" t="inlineStr">
        <is>
          <t>Latin America &amp; Caribbean</t>
        </is>
      </c>
      <c r="D380" s="7" t="inlineStr">
        <is>
          <t>Upper middle income</t>
        </is>
      </c>
      <c r="E380" s="7" t="b">
        <v>1</v>
      </c>
      <c r="F380" s="7" t="inlineStr">
        <is>
          <t>gen_oil_twh</t>
        </is>
      </c>
      <c r="G380" s="7" t="n">
        <v>13.71</v>
      </c>
      <c r="H380" s="7" t="n">
        <v>2024</v>
      </c>
      <c r="I380" s="7" t="inlineStr">
        <is>
          <t>release_generation_yearly_global.csv (Ember)</t>
        </is>
      </c>
    </row>
    <row r="381">
      <c r="A381" s="7" t="inlineStr">
        <is>
          <t>BRA</t>
        </is>
      </c>
      <c r="B381" s="7" t="inlineStr">
        <is>
          <t>Brazil</t>
        </is>
      </c>
      <c r="C381" s="7" t="inlineStr">
        <is>
          <t>Latin America &amp; Caribbean</t>
        </is>
      </c>
      <c r="D381" s="7" t="inlineStr">
        <is>
          <t>Upper middle income</t>
        </is>
      </c>
      <c r="E381" s="7" t="b">
        <v>1</v>
      </c>
      <c r="F381" s="7" t="inlineStr">
        <is>
          <t>gen_total_twh</t>
        </is>
      </c>
      <c r="G381" s="7" t="n">
        <v>745.72</v>
      </c>
      <c r="H381" s="7" t="n">
        <v>2024</v>
      </c>
      <c r="I381" s="7" t="inlineStr">
        <is>
          <t>release_generation_yearly_global.csv (Ember)</t>
        </is>
      </c>
    </row>
    <row r="382">
      <c r="A382" s="7" t="inlineStr">
        <is>
          <t>BRA</t>
        </is>
      </c>
      <c r="B382" s="7" t="inlineStr">
        <is>
          <t>Brazil</t>
        </is>
      </c>
      <c r="C382" s="7" t="inlineStr">
        <is>
          <t>Latin America &amp; Caribbean</t>
        </is>
      </c>
      <c r="D382" s="7" t="inlineStr">
        <is>
          <t>Upper middle income</t>
        </is>
      </c>
      <c r="E382" s="7" t="b">
        <v>1</v>
      </c>
      <c r="F382" s="7" t="inlineStr">
        <is>
          <t>power_market_structure</t>
        </is>
      </c>
      <c r="G382" s="7" t="n">
        <v>3</v>
      </c>
      <c r="H382" s="7" t="inlineStr">
        <is>
          <t>2013</t>
        </is>
      </c>
      <c r="I382" s="7" t="inlineStr">
        <is>
          <t>dataverse_files.zip</t>
        </is>
      </c>
    </row>
    <row r="383">
      <c r="A383" s="7" t="inlineStr">
        <is>
          <t>BRA</t>
        </is>
      </c>
      <c r="B383" s="7" t="inlineStr">
        <is>
          <t>Brazil</t>
        </is>
      </c>
      <c r="C383" s="7" t="inlineStr">
        <is>
          <t>Latin America &amp; Caribbean</t>
        </is>
      </c>
      <c r="D383" s="7" t="inlineStr">
        <is>
          <t>Upper middle income</t>
        </is>
      </c>
      <c r="E383" s="7" t="b">
        <v>1</v>
      </c>
      <c r="F383" s="7" t="inlineStr">
        <is>
          <t>price_coal_power_usd_gj</t>
        </is>
      </c>
      <c r="G383" s="7" t="n">
        <v>6.222</v>
      </c>
      <c r="H383" s="7" t="inlineStr">
        <is>
          <t>2024</t>
        </is>
      </c>
      <c r="I383" s="7" t="inlineStr">
        <is>
          <t>imffossilfuelsubsidiesdata.xlsb</t>
        </is>
      </c>
    </row>
    <row r="384">
      <c r="A384" s="7" t="inlineStr">
        <is>
          <t>BRA</t>
        </is>
      </c>
      <c r="B384" s="7" t="inlineStr">
        <is>
          <t>Brazil</t>
        </is>
      </c>
      <c r="C384" s="7" t="inlineStr">
        <is>
          <t>Latin America &amp; Caribbean</t>
        </is>
      </c>
      <c r="D384" s="7" t="inlineStr">
        <is>
          <t>Upper middle income</t>
        </is>
      </c>
      <c r="E384" s="7" t="b">
        <v>1</v>
      </c>
      <c r="F384" s="7" t="inlineStr">
        <is>
          <t>price_electricity_residential_usd_kwh</t>
        </is>
      </c>
      <c r="G384" s="7" t="n">
        <v>0.16</v>
      </c>
      <c r="H384" s="7" t="inlineStr">
        <is>
          <t>2024</t>
        </is>
      </c>
      <c r="I384" s="7" t="inlineStr">
        <is>
          <t>imffossilfuelsubsidiesdata.xlsb</t>
        </is>
      </c>
    </row>
    <row r="385">
      <c r="A385" s="7" t="inlineStr">
        <is>
          <t>BRA</t>
        </is>
      </c>
      <c r="B385" s="7" t="inlineStr">
        <is>
          <t>Brazil</t>
        </is>
      </c>
      <c r="C385" s="7" t="inlineStr">
        <is>
          <t>Latin America &amp; Caribbean</t>
        </is>
      </c>
      <c r="D385" s="7" t="inlineStr">
        <is>
          <t>Upper middle income</t>
        </is>
      </c>
      <c r="E385" s="7" t="b">
        <v>1</v>
      </c>
      <c r="F385" s="7" t="inlineStr">
        <is>
          <t>price_gas_industry_usd_gj</t>
        </is>
      </c>
      <c r="G385" s="7" t="n">
        <v>20.98</v>
      </c>
      <c r="H385" s="7" t="inlineStr">
        <is>
          <t>2023</t>
        </is>
      </c>
      <c r="I385" s="7" t="inlineStr">
        <is>
          <t>imffossilfuelsubsidiesdata.xlsb</t>
        </is>
      </c>
    </row>
    <row r="386">
      <c r="A386" s="7" t="inlineStr">
        <is>
          <t>BRA</t>
        </is>
      </c>
      <c r="B386" s="7" t="inlineStr">
        <is>
          <t>Brazil</t>
        </is>
      </c>
      <c r="C386" s="7" t="inlineStr">
        <is>
          <t>Latin America &amp; Caribbean</t>
        </is>
      </c>
      <c r="D386" s="7" t="inlineStr">
        <is>
          <t>Upper middle income</t>
        </is>
      </c>
      <c r="E386" s="7" t="b">
        <v>1</v>
      </c>
      <c r="F386" s="7" t="inlineStr">
        <is>
          <t>price_gas_power_usd_gj</t>
        </is>
      </c>
      <c r="G386" s="7" t="n">
        <v>17.367</v>
      </c>
      <c r="H386" s="7" t="inlineStr">
        <is>
          <t>2024</t>
        </is>
      </c>
      <c r="I386" s="7" t="inlineStr">
        <is>
          <t>imffossilfuelsubsidiesdata.xlsb</t>
        </is>
      </c>
    </row>
    <row r="387">
      <c r="A387" s="7" t="inlineStr">
        <is>
          <t>BRA</t>
        </is>
      </c>
      <c r="B387" s="7" t="inlineStr">
        <is>
          <t>Brazil</t>
        </is>
      </c>
      <c r="C387" s="7" t="inlineStr">
        <is>
          <t>Latin America &amp; Caribbean</t>
        </is>
      </c>
      <c r="D387" s="7" t="inlineStr">
        <is>
          <t>Upper middle income</t>
        </is>
      </c>
      <c r="E387" s="7" t="b">
        <v>1</v>
      </c>
      <c r="F387" s="7" t="inlineStr">
        <is>
          <t>rise_renewable_energy_score</t>
        </is>
      </c>
      <c r="G387" s="7" t="n">
        <v>65.093</v>
      </c>
      <c r="H387" s="7" t="inlineStr">
        <is>
          <t>2023</t>
        </is>
      </c>
      <c r="I387" s="7" t="inlineStr">
        <is>
          <t>WB_RISE_WIDEF.csv</t>
        </is>
      </c>
    </row>
    <row r="388">
      <c r="A388" s="7" t="inlineStr">
        <is>
          <t>BRB</t>
        </is>
      </c>
      <c r="B388" s="7" t="inlineStr">
        <is>
          <t>Barbados</t>
        </is>
      </c>
      <c r="C388" s="7" t="inlineStr">
        <is>
          <t>Latin America &amp; Caribbean</t>
        </is>
      </c>
      <c r="D388" s="7" t="inlineStr">
        <is>
          <t>High income</t>
        </is>
      </c>
      <c r="E388" s="7" t="b">
        <v>0</v>
      </c>
      <c r="F388" s="7" t="inlineStr">
        <is>
          <t>coal_rents_pct_gdp</t>
        </is>
      </c>
      <c r="G388" s="7" t="n">
        <v>0</v>
      </c>
      <c r="H388" s="7" t="inlineStr">
        <is>
          <t>2021</t>
        </is>
      </c>
      <c r="I388" s="7" t="inlineStr">
        <is>
          <t>API_NY_GDP_COAL_RT_ZS_DS2_en_csv_v2_35370.zip</t>
        </is>
      </c>
    </row>
    <row r="389">
      <c r="A389" s="7" t="inlineStr">
        <is>
          <t>BRB</t>
        </is>
      </c>
      <c r="B389" s="7" t="inlineStr">
        <is>
          <t>Barbados</t>
        </is>
      </c>
      <c r="C389" s="7" t="inlineStr">
        <is>
          <t>Latin America &amp; Caribbean</t>
        </is>
      </c>
      <c r="D389" s="7" t="inlineStr">
        <is>
          <t>High income</t>
        </is>
      </c>
      <c r="E389" s="7" t="b">
        <v>0</v>
      </c>
      <c r="F389" s="7" t="inlineStr">
        <is>
          <t>em_coal_mt</t>
        </is>
      </c>
      <c r="G389" s="7" t="n">
        <v>0</v>
      </c>
      <c r="H389" s="7" t="n">
        <v>2024</v>
      </c>
      <c r="I389" s="7" t="inlineStr">
        <is>
          <t>release_generation_yearly_global.csv (Ember)</t>
        </is>
      </c>
    </row>
    <row r="390">
      <c r="A390" s="7" t="inlineStr">
        <is>
          <t>BRB</t>
        </is>
      </c>
      <c r="B390" s="7" t="inlineStr">
        <is>
          <t>Barbados</t>
        </is>
      </c>
      <c r="C390" s="7" t="inlineStr">
        <is>
          <t>Latin America &amp; Caribbean</t>
        </is>
      </c>
      <c r="D390" s="7" t="inlineStr">
        <is>
          <t>High income</t>
        </is>
      </c>
      <c r="E390" s="7" t="b">
        <v>0</v>
      </c>
      <c r="F390" s="7" t="inlineStr">
        <is>
          <t>em_gas_mt</t>
        </is>
      </c>
      <c r="G390" s="7" t="n">
        <v>0.017</v>
      </c>
      <c r="H390" s="7" t="n">
        <v>2024</v>
      </c>
      <c r="I390" s="7" t="inlineStr">
        <is>
          <t>release_generation_yearly_global.csv (Ember)</t>
        </is>
      </c>
    </row>
    <row r="391">
      <c r="A391" s="7" t="inlineStr">
        <is>
          <t>BRB</t>
        </is>
      </c>
      <c r="B391" s="7" t="inlineStr">
        <is>
          <t>Barbados</t>
        </is>
      </c>
      <c r="C391" s="7" t="inlineStr">
        <is>
          <t>Latin America &amp; Caribbean</t>
        </is>
      </c>
      <c r="D391" s="7" t="inlineStr">
        <is>
          <t>High income</t>
        </is>
      </c>
      <c r="E391" s="7" t="b">
        <v>0</v>
      </c>
      <c r="F391" s="7" t="inlineStr">
        <is>
          <t>em_oil_mt</t>
        </is>
      </c>
      <c r="G391" s="7" t="n">
        <v>0.645</v>
      </c>
      <c r="H391" s="7" t="n">
        <v>2024</v>
      </c>
      <c r="I391" s="7" t="inlineStr">
        <is>
          <t>release_generation_yearly_global.csv (Ember)</t>
        </is>
      </c>
    </row>
    <row r="392">
      <c r="A392" s="7" t="inlineStr">
        <is>
          <t>BRB</t>
        </is>
      </c>
      <c r="B392" s="7" t="inlineStr">
        <is>
          <t>Barbados</t>
        </is>
      </c>
      <c r="C392" s="7" t="inlineStr">
        <is>
          <t>Latin America &amp; Caribbean</t>
        </is>
      </c>
      <c r="D392" s="7" t="inlineStr">
        <is>
          <t>High income</t>
        </is>
      </c>
      <c r="E392" s="7" t="b">
        <v>0</v>
      </c>
      <c r="F392" s="7" t="inlineStr">
        <is>
          <t>ff_subsidy_explicit_pct_gdp</t>
        </is>
      </c>
      <c r="G392" s="7" t="n">
        <v>0.282</v>
      </c>
      <c r="H392" s="7" t="inlineStr">
        <is>
          <t>2024</t>
        </is>
      </c>
      <c r="I392" s="7" t="inlineStr">
        <is>
          <t>imffossilfuelsubsidiesdata.xlsb</t>
        </is>
      </c>
    </row>
    <row r="393">
      <c r="A393" s="7" t="inlineStr">
        <is>
          <t>BRB</t>
        </is>
      </c>
      <c r="B393" s="7" t="inlineStr">
        <is>
          <t>Barbados</t>
        </is>
      </c>
      <c r="C393" s="7" t="inlineStr">
        <is>
          <t>Latin America &amp; Caribbean</t>
        </is>
      </c>
      <c r="D393" s="7" t="inlineStr">
        <is>
          <t>High income</t>
        </is>
      </c>
      <c r="E393" s="7" t="b">
        <v>0</v>
      </c>
      <c r="F393" s="7" t="inlineStr">
        <is>
          <t>fuel_exports_pct_merch</t>
        </is>
      </c>
      <c r="G393" s="7" t="n">
        <v>8.01</v>
      </c>
      <c r="H393" s="7" t="inlineStr">
        <is>
          <t>2024</t>
        </is>
      </c>
      <c r="I393" s="7" t="inlineStr">
        <is>
          <t>API_TX_VAL_FUEL_ZS_UN_DS2_en_csv_v2_33055.zip</t>
        </is>
      </c>
    </row>
    <row r="394">
      <c r="A394" s="7" t="inlineStr">
        <is>
          <t>BRB</t>
        </is>
      </c>
      <c r="B394" s="7" t="inlineStr">
        <is>
          <t>Barbados</t>
        </is>
      </c>
      <c r="C394" s="7" t="inlineStr">
        <is>
          <t>Latin America &amp; Caribbean</t>
        </is>
      </c>
      <c r="D394" s="7" t="inlineStr">
        <is>
          <t>High income</t>
        </is>
      </c>
      <c r="E394" s="7" t="b">
        <v>0</v>
      </c>
      <c r="F394" s="7" t="inlineStr">
        <is>
          <t>gen_coal_twh</t>
        </is>
      </c>
      <c r="G394" s="7" t="n">
        <v>0</v>
      </c>
      <c r="H394" s="7" t="n">
        <v>2024</v>
      </c>
      <c r="I394" s="7" t="inlineStr">
        <is>
          <t>release_generation_yearly_global.csv (Ember)</t>
        </is>
      </c>
    </row>
    <row r="395">
      <c r="A395" s="7" t="inlineStr">
        <is>
          <t>BRB</t>
        </is>
      </c>
      <c r="B395" s="7" t="inlineStr">
        <is>
          <t>Barbados</t>
        </is>
      </c>
      <c r="C395" s="7" t="inlineStr">
        <is>
          <t>Latin America &amp; Caribbean</t>
        </is>
      </c>
      <c r="D395" s="7" t="inlineStr">
        <is>
          <t>High income</t>
        </is>
      </c>
      <c r="E395" s="7" t="b">
        <v>0</v>
      </c>
      <c r="F395" s="7" t="inlineStr">
        <is>
          <t>gen_gas_twh</t>
        </is>
      </c>
      <c r="G395" s="7" t="n">
        <v>0.03</v>
      </c>
      <c r="H395" s="7" t="n">
        <v>2024</v>
      </c>
      <c r="I395" s="7" t="inlineStr">
        <is>
          <t>release_generation_yearly_global.csv (Ember)</t>
        </is>
      </c>
    </row>
    <row r="396">
      <c r="A396" s="7" t="inlineStr">
        <is>
          <t>BRB</t>
        </is>
      </c>
      <c r="B396" s="7" t="inlineStr">
        <is>
          <t>Barbados</t>
        </is>
      </c>
      <c r="C396" s="7" t="inlineStr">
        <is>
          <t>Latin America &amp; Caribbean</t>
        </is>
      </c>
      <c r="D396" s="7" t="inlineStr">
        <is>
          <t>High income</t>
        </is>
      </c>
      <c r="E396" s="7" t="b">
        <v>0</v>
      </c>
      <c r="F396" s="7" t="inlineStr">
        <is>
          <t>gen_oil_twh</t>
        </is>
      </c>
      <c r="G396" s="7" t="n">
        <v>0.98</v>
      </c>
      <c r="H396" s="7" t="n">
        <v>2024</v>
      </c>
      <c r="I396" s="7" t="inlineStr">
        <is>
          <t>release_generation_yearly_global.csv (Ember)</t>
        </is>
      </c>
    </row>
    <row r="397">
      <c r="A397" s="7" t="inlineStr">
        <is>
          <t>BRB</t>
        </is>
      </c>
      <c r="B397" s="7" t="inlineStr">
        <is>
          <t>Barbados</t>
        </is>
      </c>
      <c r="C397" s="7" t="inlineStr">
        <is>
          <t>Latin America &amp; Caribbean</t>
        </is>
      </c>
      <c r="D397" s="7" t="inlineStr">
        <is>
          <t>High income</t>
        </is>
      </c>
      <c r="E397" s="7" t="b">
        <v>0</v>
      </c>
      <c r="F397" s="7" t="inlineStr">
        <is>
          <t>gen_total_twh</t>
        </is>
      </c>
      <c r="G397" s="7" t="n">
        <v>1.11</v>
      </c>
      <c r="H397" s="7" t="n">
        <v>2024</v>
      </c>
      <c r="I397" s="7" t="inlineStr">
        <is>
          <t>release_generation_yearly_global.csv (Ember)</t>
        </is>
      </c>
    </row>
    <row r="398">
      <c r="A398" s="7" t="inlineStr">
        <is>
          <t>BRB</t>
        </is>
      </c>
      <c r="B398" s="7" t="inlineStr">
        <is>
          <t>Barbados</t>
        </is>
      </c>
      <c r="C398" s="7" t="inlineStr">
        <is>
          <t>Latin America &amp; Caribbean</t>
        </is>
      </c>
      <c r="D398" s="7" t="inlineStr">
        <is>
          <t>High income</t>
        </is>
      </c>
      <c r="E398" s="7" t="b">
        <v>0</v>
      </c>
      <c r="F398" s="7" t="inlineStr">
        <is>
          <t>price_coal_power_usd_gj</t>
        </is>
      </c>
      <c r="G398" s="7" t="n">
        <v>5.575</v>
      </c>
      <c r="H398" s="7" t="inlineStr">
        <is>
          <t>2024</t>
        </is>
      </c>
      <c r="I398" s="7" t="inlineStr">
        <is>
          <t>imffossilfuelsubsidiesdata.xlsb</t>
        </is>
      </c>
    </row>
    <row r="399">
      <c r="A399" s="7" t="inlineStr">
        <is>
          <t>BRB</t>
        </is>
      </c>
      <c r="B399" s="7" t="inlineStr">
        <is>
          <t>Barbados</t>
        </is>
      </c>
      <c r="C399" s="7" t="inlineStr">
        <is>
          <t>Latin America &amp; Caribbean</t>
        </is>
      </c>
      <c r="D399" s="7" t="inlineStr">
        <is>
          <t>High income</t>
        </is>
      </c>
      <c r="E399" s="7" t="b">
        <v>0</v>
      </c>
      <c r="F399" s="7" t="inlineStr">
        <is>
          <t>price_electricity_residential_usd_kwh</t>
        </is>
      </c>
      <c r="G399" s="7" t="n">
        <v>0.344</v>
      </c>
      <c r="H399" s="7" t="inlineStr">
        <is>
          <t>2024</t>
        </is>
      </c>
      <c r="I399" s="7" t="inlineStr">
        <is>
          <t>imffossilfuelsubsidiesdata.xlsb</t>
        </is>
      </c>
    </row>
    <row r="400">
      <c r="A400" s="7" t="inlineStr">
        <is>
          <t>BRB</t>
        </is>
      </c>
      <c r="B400" s="7" t="inlineStr">
        <is>
          <t>Barbados</t>
        </is>
      </c>
      <c r="C400" s="7" t="inlineStr">
        <is>
          <t>Latin America &amp; Caribbean</t>
        </is>
      </c>
      <c r="D400" s="7" t="inlineStr">
        <is>
          <t>High income</t>
        </is>
      </c>
      <c r="E400" s="7" t="b">
        <v>0</v>
      </c>
      <c r="F400" s="7" t="inlineStr">
        <is>
          <t>price_gas_industry_usd_gj</t>
        </is>
      </c>
      <c r="G400" s="7" t="n">
        <v>33.116</v>
      </c>
      <c r="H400" s="7" t="inlineStr">
        <is>
          <t>2024</t>
        </is>
      </c>
      <c r="I400" s="7" t="inlineStr">
        <is>
          <t>imffossilfuelsubsidiesdata.xlsb</t>
        </is>
      </c>
    </row>
    <row r="401">
      <c r="A401" s="7" t="inlineStr">
        <is>
          <t>BRB</t>
        </is>
      </c>
      <c r="B401" s="7" t="inlineStr">
        <is>
          <t>Barbados</t>
        </is>
      </c>
      <c r="C401" s="7" t="inlineStr">
        <is>
          <t>Latin America &amp; Caribbean</t>
        </is>
      </c>
      <c r="D401" s="7" t="inlineStr">
        <is>
          <t>High income</t>
        </is>
      </c>
      <c r="E401" s="7" t="b">
        <v>0</v>
      </c>
      <c r="F401" s="7" t="inlineStr">
        <is>
          <t>price_gas_power_usd_gj</t>
        </is>
      </c>
      <c r="G401" s="7" t="n">
        <v>33.116</v>
      </c>
      <c r="H401" s="7" t="inlineStr">
        <is>
          <t>2024</t>
        </is>
      </c>
      <c r="I401" s="7" t="inlineStr">
        <is>
          <t>imffossilfuelsubsidiesdata.xlsb</t>
        </is>
      </c>
    </row>
    <row r="402">
      <c r="A402" s="7" t="inlineStr">
        <is>
          <t>BRN</t>
        </is>
      </c>
      <c r="B402" s="7" t="inlineStr">
        <is>
          <t>Brunei Darussalam</t>
        </is>
      </c>
      <c r="C402" s="7" t="inlineStr">
        <is>
          <t>East Asia &amp; Pacific</t>
        </is>
      </c>
      <c r="D402" s="7" t="inlineStr">
        <is>
          <t>High income</t>
        </is>
      </c>
      <c r="E402" s="7" t="b">
        <v>0</v>
      </c>
      <c r="F402" s="7" t="inlineStr">
        <is>
          <t>coal_rents_pct_gdp</t>
        </is>
      </c>
      <c r="G402" s="7" t="n">
        <v>0</v>
      </c>
      <c r="H402" s="7" t="inlineStr">
        <is>
          <t>2021</t>
        </is>
      </c>
      <c r="I402" s="7" t="inlineStr">
        <is>
          <t>API_NY_GDP_COAL_RT_ZS_DS2_en_csv_v2_35370.zip</t>
        </is>
      </c>
    </row>
    <row r="403">
      <c r="A403" s="7" t="inlineStr">
        <is>
          <t>BRN</t>
        </is>
      </c>
      <c r="B403" s="7" t="inlineStr">
        <is>
          <t>Brunei Darussalam</t>
        </is>
      </c>
      <c r="C403" s="7" t="inlineStr">
        <is>
          <t>East Asia &amp; Pacific</t>
        </is>
      </c>
      <c r="D403" s="7" t="inlineStr">
        <is>
          <t>High income</t>
        </is>
      </c>
      <c r="E403" s="7" t="b">
        <v>0</v>
      </c>
      <c r="F403" s="7" t="inlineStr">
        <is>
          <t>em_coal_mt</t>
        </is>
      </c>
      <c r="G403" s="7" t="n">
        <v>0.95</v>
      </c>
      <c r="H403" s="7" t="n">
        <v>2024</v>
      </c>
      <c r="I403" s="7" t="inlineStr">
        <is>
          <t>release_generation_yearly_global.csv (Ember)</t>
        </is>
      </c>
    </row>
    <row r="404">
      <c r="A404" s="7" t="inlineStr">
        <is>
          <t>BRN</t>
        </is>
      </c>
      <c r="B404" s="7" t="inlineStr">
        <is>
          <t>Brunei Darussalam</t>
        </is>
      </c>
      <c r="C404" s="7" t="inlineStr">
        <is>
          <t>East Asia &amp; Pacific</t>
        </is>
      </c>
      <c r="D404" s="7" t="inlineStr">
        <is>
          <t>High income</t>
        </is>
      </c>
      <c r="E404" s="7" t="b">
        <v>0</v>
      </c>
      <c r="F404" s="7" t="inlineStr">
        <is>
          <t>em_gas_mt</t>
        </is>
      </c>
      <c r="G404" s="7" t="n">
        <v>3.982</v>
      </c>
      <c r="H404" s="7" t="n">
        <v>2024</v>
      </c>
      <c r="I404" s="7" t="inlineStr">
        <is>
          <t>release_generation_yearly_global.csv (Ember)</t>
        </is>
      </c>
    </row>
    <row r="405">
      <c r="A405" s="7" t="inlineStr">
        <is>
          <t>BRN</t>
        </is>
      </c>
      <c r="B405" s="7" t="inlineStr">
        <is>
          <t>Brunei Darussalam</t>
        </is>
      </c>
      <c r="C405" s="7" t="inlineStr">
        <is>
          <t>East Asia &amp; Pacific</t>
        </is>
      </c>
      <c r="D405" s="7" t="inlineStr">
        <is>
          <t>High income</t>
        </is>
      </c>
      <c r="E405" s="7" t="b">
        <v>0</v>
      </c>
      <c r="F405" s="7" t="inlineStr">
        <is>
          <t>em_oil_mt</t>
        </is>
      </c>
      <c r="G405" s="7" t="n">
        <v>0.033</v>
      </c>
      <c r="H405" s="7" t="n">
        <v>2024</v>
      </c>
      <c r="I405" s="7" t="inlineStr">
        <is>
          <t>release_generation_yearly_global.csv (Ember)</t>
        </is>
      </c>
    </row>
    <row r="406">
      <c r="A406" s="7" t="inlineStr">
        <is>
          <t>BRN</t>
        </is>
      </c>
      <c r="B406" s="7" t="inlineStr">
        <is>
          <t>Brunei Darussalam</t>
        </is>
      </c>
      <c r="C406" s="7" t="inlineStr">
        <is>
          <t>East Asia &amp; Pacific</t>
        </is>
      </c>
      <c r="D406" s="7" t="inlineStr">
        <is>
          <t>High income</t>
        </is>
      </c>
      <c r="E406" s="7" t="b">
        <v>0</v>
      </c>
      <c r="F406" s="7" t="inlineStr">
        <is>
          <t>ff_subsidy_explicit_pct_gdp</t>
        </is>
      </c>
      <c r="G406" s="7" t="n">
        <v>2.549</v>
      </c>
      <c r="H406" s="7" t="inlineStr">
        <is>
          <t>2024</t>
        </is>
      </c>
      <c r="I406" s="7" t="inlineStr">
        <is>
          <t>imffossilfuelsubsidiesdata.xlsb</t>
        </is>
      </c>
    </row>
    <row r="407">
      <c r="A407" s="7" t="inlineStr">
        <is>
          <t>BRN</t>
        </is>
      </c>
      <c r="B407" s="7" t="inlineStr">
        <is>
          <t>Brunei Darussalam</t>
        </is>
      </c>
      <c r="C407" s="7" t="inlineStr">
        <is>
          <t>East Asia &amp; Pacific</t>
        </is>
      </c>
      <c r="D407" s="7" t="inlineStr">
        <is>
          <t>High income</t>
        </is>
      </c>
      <c r="E407" s="7" t="b">
        <v>0</v>
      </c>
      <c r="F407" s="7" t="inlineStr">
        <is>
          <t>fuel_exports_pct_merch</t>
        </is>
      </c>
      <c r="G407" s="7" t="n">
        <v>75.47199999999999</v>
      </c>
      <c r="H407" s="7" t="inlineStr">
        <is>
          <t>2024</t>
        </is>
      </c>
      <c r="I407" s="7" t="inlineStr">
        <is>
          <t>API_TX_VAL_FUEL_ZS_UN_DS2_en_csv_v2_33055.zip</t>
        </is>
      </c>
    </row>
    <row r="408">
      <c r="A408" s="7" t="inlineStr">
        <is>
          <t>BRN</t>
        </is>
      </c>
      <c r="B408" s="7" t="inlineStr">
        <is>
          <t>Brunei Darussalam</t>
        </is>
      </c>
      <c r="C408" s="7" t="inlineStr">
        <is>
          <t>East Asia &amp; Pacific</t>
        </is>
      </c>
      <c r="D408" s="7" t="inlineStr">
        <is>
          <t>High income</t>
        </is>
      </c>
      <c r="E408" s="7" t="b">
        <v>0</v>
      </c>
      <c r="F408" s="7" t="inlineStr">
        <is>
          <t>gen_coal_twh</t>
        </is>
      </c>
      <c r="G408" s="7" t="n">
        <v>1.1</v>
      </c>
      <c r="H408" s="7" t="n">
        <v>2024</v>
      </c>
      <c r="I408" s="7" t="inlineStr">
        <is>
          <t>release_generation_yearly_global.csv (Ember)</t>
        </is>
      </c>
    </row>
    <row r="409">
      <c r="A409" s="7" t="inlineStr">
        <is>
          <t>BRN</t>
        </is>
      </c>
      <c r="B409" s="7" t="inlineStr">
        <is>
          <t>Brunei Darussalam</t>
        </is>
      </c>
      <c r="C409" s="7" t="inlineStr">
        <is>
          <t>East Asia &amp; Pacific</t>
        </is>
      </c>
      <c r="D409" s="7" t="inlineStr">
        <is>
          <t>High income</t>
        </is>
      </c>
      <c r="E409" s="7" t="b">
        <v>0</v>
      </c>
      <c r="F409" s="7" t="inlineStr">
        <is>
          <t>gen_gas_twh</t>
        </is>
      </c>
      <c r="G409" s="7" t="n">
        <v>4.4</v>
      </c>
      <c r="H409" s="7" t="n">
        <v>2024</v>
      </c>
      <c r="I409" s="7" t="inlineStr">
        <is>
          <t>release_generation_yearly_global.csv (Ember)</t>
        </is>
      </c>
    </row>
    <row r="410">
      <c r="A410" s="7" t="inlineStr">
        <is>
          <t>BRN</t>
        </is>
      </c>
      <c r="B410" s="7" t="inlineStr">
        <is>
          <t>Brunei Darussalam</t>
        </is>
      </c>
      <c r="C410" s="7" t="inlineStr">
        <is>
          <t>East Asia &amp; Pacific</t>
        </is>
      </c>
      <c r="D410" s="7" t="inlineStr">
        <is>
          <t>High income</t>
        </is>
      </c>
      <c r="E410" s="7" t="b">
        <v>0</v>
      </c>
      <c r="F410" s="7" t="inlineStr">
        <is>
          <t>gen_oil_twh</t>
        </is>
      </c>
      <c r="G410" s="7" t="n">
        <v>0.05</v>
      </c>
      <c r="H410" s="7" t="n">
        <v>2024</v>
      </c>
      <c r="I410" s="7" t="inlineStr">
        <is>
          <t>release_generation_yearly_global.csv (Ember)</t>
        </is>
      </c>
    </row>
    <row r="411">
      <c r="A411" s="7" t="inlineStr">
        <is>
          <t>BRN</t>
        </is>
      </c>
      <c r="B411" s="7" t="inlineStr">
        <is>
          <t>Brunei Darussalam</t>
        </is>
      </c>
      <c r="C411" s="7" t="inlineStr">
        <is>
          <t>East Asia &amp; Pacific</t>
        </is>
      </c>
      <c r="D411" s="7" t="inlineStr">
        <is>
          <t>High income</t>
        </is>
      </c>
      <c r="E411" s="7" t="b">
        <v>0</v>
      </c>
      <c r="F411" s="7" t="inlineStr">
        <is>
          <t>gen_total_twh</t>
        </is>
      </c>
      <c r="G411" s="7" t="n">
        <v>5.56</v>
      </c>
      <c r="H411" s="7" t="n">
        <v>2024</v>
      </c>
      <c r="I411" s="7" t="inlineStr">
        <is>
          <t>release_generation_yearly_global.csv (Ember)</t>
        </is>
      </c>
    </row>
    <row r="412">
      <c r="A412" s="7" t="inlineStr">
        <is>
          <t>BRN</t>
        </is>
      </c>
      <c r="B412" s="7" t="inlineStr">
        <is>
          <t>Brunei Darussalam</t>
        </is>
      </c>
      <c r="C412" s="7" t="inlineStr">
        <is>
          <t>East Asia &amp; Pacific</t>
        </is>
      </c>
      <c r="D412" s="7" t="inlineStr">
        <is>
          <t>High income</t>
        </is>
      </c>
      <c r="E412" s="7" t="b">
        <v>0</v>
      </c>
      <c r="F412" s="7" t="inlineStr">
        <is>
          <t>power_market_structure</t>
        </is>
      </c>
      <c r="G412" s="7" t="n">
        <v>1</v>
      </c>
      <c r="H412" s="7" t="inlineStr">
        <is>
          <t>2013</t>
        </is>
      </c>
      <c r="I412" s="7" t="inlineStr">
        <is>
          <t>dataverse_files.zip</t>
        </is>
      </c>
    </row>
    <row r="413">
      <c r="A413" s="7" t="inlineStr">
        <is>
          <t>BRN</t>
        </is>
      </c>
      <c r="B413" s="7" t="inlineStr">
        <is>
          <t>Brunei Darussalam</t>
        </is>
      </c>
      <c r="C413" s="7" t="inlineStr">
        <is>
          <t>East Asia &amp; Pacific</t>
        </is>
      </c>
      <c r="D413" s="7" t="inlineStr">
        <is>
          <t>High income</t>
        </is>
      </c>
      <c r="E413" s="7" t="b">
        <v>0</v>
      </c>
      <c r="F413" s="7" t="inlineStr">
        <is>
          <t>price_coal_power_usd_gj</t>
        </is>
      </c>
      <c r="G413" s="7" t="n">
        <v>4.833</v>
      </c>
      <c r="H413" s="7" t="inlineStr">
        <is>
          <t>2024</t>
        </is>
      </c>
      <c r="I413" s="7" t="inlineStr">
        <is>
          <t>imffossilfuelsubsidiesdata.xlsb</t>
        </is>
      </c>
    </row>
    <row r="414">
      <c r="A414" s="7" t="inlineStr">
        <is>
          <t>BRN</t>
        </is>
      </c>
      <c r="B414" s="7" t="inlineStr">
        <is>
          <t>Brunei Darussalam</t>
        </is>
      </c>
      <c r="C414" s="7" t="inlineStr">
        <is>
          <t>East Asia &amp; Pacific</t>
        </is>
      </c>
      <c r="D414" s="7" t="inlineStr">
        <is>
          <t>High income</t>
        </is>
      </c>
      <c r="E414" s="7" t="b">
        <v>0</v>
      </c>
      <c r="F414" s="7" t="inlineStr">
        <is>
          <t>price_electricity_residential_usd_kwh</t>
        </is>
      </c>
      <c r="G414" s="7" t="n">
        <v>0.08799999999999999</v>
      </c>
      <c r="H414" s="7" t="inlineStr">
        <is>
          <t>2024</t>
        </is>
      </c>
      <c r="I414" s="7" t="inlineStr">
        <is>
          <t>imffossilfuelsubsidiesdata.xlsb</t>
        </is>
      </c>
    </row>
    <row r="415">
      <c r="A415" s="7" t="inlineStr">
        <is>
          <t>BRN</t>
        </is>
      </c>
      <c r="B415" s="7" t="inlineStr">
        <is>
          <t>Brunei Darussalam</t>
        </is>
      </c>
      <c r="C415" s="7" t="inlineStr">
        <is>
          <t>East Asia &amp; Pacific</t>
        </is>
      </c>
      <c r="D415" s="7" t="inlineStr">
        <is>
          <t>High income</t>
        </is>
      </c>
      <c r="E415" s="7" t="b">
        <v>0</v>
      </c>
      <c r="F415" s="7" t="inlineStr">
        <is>
          <t>price_gas_industry_usd_gj</t>
        </is>
      </c>
      <c r="G415" s="7" t="n">
        <v>4.924</v>
      </c>
      <c r="H415" s="7" t="inlineStr">
        <is>
          <t>2024</t>
        </is>
      </c>
      <c r="I415" s="7" t="inlineStr">
        <is>
          <t>imffossilfuelsubsidiesdata.xlsb</t>
        </is>
      </c>
    </row>
    <row r="416">
      <c r="A416" s="7" t="inlineStr">
        <is>
          <t>BRN</t>
        </is>
      </c>
      <c r="B416" s="7" t="inlineStr">
        <is>
          <t>Brunei Darussalam</t>
        </is>
      </c>
      <c r="C416" s="7" t="inlineStr">
        <is>
          <t>East Asia &amp; Pacific</t>
        </is>
      </c>
      <c r="D416" s="7" t="inlineStr">
        <is>
          <t>High income</t>
        </is>
      </c>
      <c r="E416" s="7" t="b">
        <v>0</v>
      </c>
      <c r="F416" s="7" t="inlineStr">
        <is>
          <t>price_gas_power_usd_gj</t>
        </is>
      </c>
      <c r="G416" s="7" t="n">
        <v>4.924</v>
      </c>
      <c r="H416" s="7" t="inlineStr">
        <is>
          <t>2024</t>
        </is>
      </c>
      <c r="I416" s="7" t="inlineStr">
        <is>
          <t>imffossilfuelsubsidiesdata.xlsb</t>
        </is>
      </c>
    </row>
    <row r="417">
      <c r="A417" s="7" t="inlineStr">
        <is>
          <t>BTN</t>
        </is>
      </c>
      <c r="B417" s="7" t="inlineStr">
        <is>
          <t>Bhutan</t>
        </is>
      </c>
      <c r="C417" s="7" t="inlineStr">
        <is>
          <t>South Asia</t>
        </is>
      </c>
      <c r="D417" s="7" t="inlineStr">
        <is>
          <t>Lower middle income</t>
        </is>
      </c>
      <c r="E417" s="7" t="b">
        <v>1</v>
      </c>
      <c r="F417" s="7" t="inlineStr">
        <is>
          <t>coal_rents_pct_gdp</t>
        </is>
      </c>
      <c r="G417" s="7" t="n">
        <v>0</v>
      </c>
      <c r="H417" s="7" t="inlineStr">
        <is>
          <t>2021</t>
        </is>
      </c>
      <c r="I417" s="7" t="inlineStr">
        <is>
          <t>API_NY_GDP_COAL_RT_ZS_DS2_en_csv_v2_35370.zip</t>
        </is>
      </c>
    </row>
    <row r="418">
      <c r="A418" s="7" t="inlineStr">
        <is>
          <t>BTN</t>
        </is>
      </c>
      <c r="B418" s="7" t="inlineStr">
        <is>
          <t>Bhutan</t>
        </is>
      </c>
      <c r="C418" s="7" t="inlineStr">
        <is>
          <t>South Asia</t>
        </is>
      </c>
      <c r="D418" s="7" t="inlineStr">
        <is>
          <t>Lower middle income</t>
        </is>
      </c>
      <c r="E418" s="7" t="b">
        <v>1</v>
      </c>
      <c r="F418" s="7" t="inlineStr">
        <is>
          <t>em_coal_mt</t>
        </is>
      </c>
      <c r="G418" s="7" t="n">
        <v>0</v>
      </c>
      <c r="H418" s="7" t="n">
        <v>2024</v>
      </c>
      <c r="I418" s="7" t="inlineStr">
        <is>
          <t>release_generation_yearly_global.csv (Ember)</t>
        </is>
      </c>
    </row>
    <row r="419">
      <c r="A419" s="7" t="inlineStr">
        <is>
          <t>BTN</t>
        </is>
      </c>
      <c r="B419" s="7" t="inlineStr">
        <is>
          <t>Bhutan</t>
        </is>
      </c>
      <c r="C419" s="7" t="inlineStr">
        <is>
          <t>South Asia</t>
        </is>
      </c>
      <c r="D419" s="7" t="inlineStr">
        <is>
          <t>Lower middle income</t>
        </is>
      </c>
      <c r="E419" s="7" t="b">
        <v>1</v>
      </c>
      <c r="F419" s="7" t="inlineStr">
        <is>
          <t>em_gas_mt</t>
        </is>
      </c>
      <c r="G419" s="7" t="n">
        <v>0</v>
      </c>
      <c r="H419" s="7" t="n">
        <v>2024</v>
      </c>
      <c r="I419" s="7" t="inlineStr">
        <is>
          <t>release_generation_yearly_global.csv (Ember)</t>
        </is>
      </c>
    </row>
    <row r="420">
      <c r="A420" s="7" t="inlineStr">
        <is>
          <t>BTN</t>
        </is>
      </c>
      <c r="B420" s="7" t="inlineStr">
        <is>
          <t>Bhutan</t>
        </is>
      </c>
      <c r="C420" s="7" t="inlineStr">
        <is>
          <t>South Asia</t>
        </is>
      </c>
      <c r="D420" s="7" t="inlineStr">
        <is>
          <t>Lower middle income</t>
        </is>
      </c>
      <c r="E420" s="7" t="b">
        <v>1</v>
      </c>
      <c r="F420" s="7" t="inlineStr">
        <is>
          <t>em_oil_mt</t>
        </is>
      </c>
      <c r="G420" s="7" t="n">
        <v>0</v>
      </c>
      <c r="H420" s="7" t="n">
        <v>2024</v>
      </c>
      <c r="I420" s="7" t="inlineStr">
        <is>
          <t>release_generation_yearly_global.csv (Ember)</t>
        </is>
      </c>
    </row>
    <row r="421">
      <c r="A421" s="7" t="inlineStr">
        <is>
          <t>BTN</t>
        </is>
      </c>
      <c r="B421" s="7" t="inlineStr">
        <is>
          <t>Bhutan</t>
        </is>
      </c>
      <c r="C421" s="7" t="inlineStr">
        <is>
          <t>South Asia</t>
        </is>
      </c>
      <c r="D421" s="7" t="inlineStr">
        <is>
          <t>Lower middle income</t>
        </is>
      </c>
      <c r="E421" s="7" t="b">
        <v>1</v>
      </c>
      <c r="F421" s="7" t="inlineStr">
        <is>
          <t>ff_subsidy_explicit_pct_gdp</t>
        </is>
      </c>
      <c r="G421" s="7" t="n">
        <v>0.038</v>
      </c>
      <c r="H421" s="7" t="inlineStr">
        <is>
          <t>2024</t>
        </is>
      </c>
      <c r="I421" s="7" t="inlineStr">
        <is>
          <t>imffossilfuelsubsidiesdata.xlsb</t>
        </is>
      </c>
    </row>
    <row r="422">
      <c r="A422" s="7" t="inlineStr">
        <is>
          <t>BTN</t>
        </is>
      </c>
      <c r="B422" s="7" t="inlineStr">
        <is>
          <t>Bhutan</t>
        </is>
      </c>
      <c r="C422" s="7" t="inlineStr">
        <is>
          <t>South Asia</t>
        </is>
      </c>
      <c r="D422" s="7" t="inlineStr">
        <is>
          <t>Lower middle income</t>
        </is>
      </c>
      <c r="E422" s="7" t="b">
        <v>1</v>
      </c>
      <c r="F422" s="7" t="inlineStr">
        <is>
          <t>fuel_exports_pct_merch</t>
        </is>
      </c>
      <c r="G422" s="7" t="n">
        <v>0</v>
      </c>
      <c r="H422" s="7" t="inlineStr">
        <is>
          <t>2025</t>
        </is>
      </c>
      <c r="I422" s="7" t="inlineStr">
        <is>
          <t>API_TX_VAL_FUEL_ZS_UN_DS2_en_csv_v2_33055.zip</t>
        </is>
      </c>
    </row>
    <row r="423">
      <c r="A423" s="7" t="inlineStr">
        <is>
          <t>BTN</t>
        </is>
      </c>
      <c r="B423" s="7" t="inlineStr">
        <is>
          <t>Bhutan</t>
        </is>
      </c>
      <c r="C423" s="7" t="inlineStr">
        <is>
          <t>South Asia</t>
        </is>
      </c>
      <c r="D423" s="7" t="inlineStr">
        <is>
          <t>Lower middle income</t>
        </is>
      </c>
      <c r="E423" s="7" t="b">
        <v>1</v>
      </c>
      <c r="F423" s="7" t="inlineStr">
        <is>
          <t>gen_coal_twh</t>
        </is>
      </c>
      <c r="G423" s="7" t="n">
        <v>0</v>
      </c>
      <c r="H423" s="7" t="n">
        <v>2024</v>
      </c>
      <c r="I423" s="7" t="inlineStr">
        <is>
          <t>release_generation_yearly_global.csv (Ember)</t>
        </is>
      </c>
    </row>
    <row r="424">
      <c r="A424" s="7" t="inlineStr">
        <is>
          <t>BTN</t>
        </is>
      </c>
      <c r="B424" s="7" t="inlineStr">
        <is>
          <t>Bhutan</t>
        </is>
      </c>
      <c r="C424" s="7" t="inlineStr">
        <is>
          <t>South Asia</t>
        </is>
      </c>
      <c r="D424" s="7" t="inlineStr">
        <is>
          <t>Lower middle income</t>
        </is>
      </c>
      <c r="E424" s="7" t="b">
        <v>1</v>
      </c>
      <c r="F424" s="7" t="inlineStr">
        <is>
          <t>gen_gas_twh</t>
        </is>
      </c>
      <c r="G424" s="7" t="n">
        <v>0</v>
      </c>
      <c r="H424" s="7" t="n">
        <v>2024</v>
      </c>
      <c r="I424" s="7" t="inlineStr">
        <is>
          <t>release_generation_yearly_global.csv (Ember)</t>
        </is>
      </c>
    </row>
    <row r="425">
      <c r="A425" s="7" t="inlineStr">
        <is>
          <t>BTN</t>
        </is>
      </c>
      <c r="B425" s="7" t="inlineStr">
        <is>
          <t>Bhutan</t>
        </is>
      </c>
      <c r="C425" s="7" t="inlineStr">
        <is>
          <t>South Asia</t>
        </is>
      </c>
      <c r="D425" s="7" t="inlineStr">
        <is>
          <t>Lower middle income</t>
        </is>
      </c>
      <c r="E425" s="7" t="b">
        <v>1</v>
      </c>
      <c r="F425" s="7" t="inlineStr">
        <is>
          <t>gen_oil_twh</t>
        </is>
      </c>
      <c r="G425" s="7" t="n">
        <v>0</v>
      </c>
      <c r="H425" s="7" t="n">
        <v>2024</v>
      </c>
      <c r="I425" s="7" t="inlineStr">
        <is>
          <t>release_generation_yearly_global.csv (Ember)</t>
        </is>
      </c>
    </row>
    <row r="426">
      <c r="A426" s="7" t="inlineStr">
        <is>
          <t>BTN</t>
        </is>
      </c>
      <c r="B426" s="7" t="inlineStr">
        <is>
          <t>Bhutan</t>
        </is>
      </c>
      <c r="C426" s="7" t="inlineStr">
        <is>
          <t>South Asia</t>
        </is>
      </c>
      <c r="D426" s="7" t="inlineStr">
        <is>
          <t>Lower middle income</t>
        </is>
      </c>
      <c r="E426" s="7" t="b">
        <v>1</v>
      </c>
      <c r="F426" s="7" t="inlineStr">
        <is>
          <t>gen_total_twh</t>
        </is>
      </c>
      <c r="G426" s="7" t="n">
        <v>11</v>
      </c>
      <c r="H426" s="7" t="n">
        <v>2024</v>
      </c>
      <c r="I426" s="7" t="inlineStr">
        <is>
          <t>release_generation_yearly_global.csv (Ember)</t>
        </is>
      </c>
    </row>
    <row r="427">
      <c r="A427" s="7" t="inlineStr">
        <is>
          <t>BTN</t>
        </is>
      </c>
      <c r="B427" s="7" t="inlineStr">
        <is>
          <t>Bhutan</t>
        </is>
      </c>
      <c r="C427" s="7" t="inlineStr">
        <is>
          <t>South Asia</t>
        </is>
      </c>
      <c r="D427" s="7" t="inlineStr">
        <is>
          <t>Lower middle income</t>
        </is>
      </c>
      <c r="E427" s="7" t="b">
        <v>1</v>
      </c>
      <c r="F427" s="7" t="inlineStr">
        <is>
          <t>power_market_structure</t>
        </is>
      </c>
      <c r="G427" s="7" t="n">
        <v>1</v>
      </c>
      <c r="H427" s="7" t="inlineStr">
        <is>
          <t>2013</t>
        </is>
      </c>
      <c r="I427" s="7" t="inlineStr">
        <is>
          <t>dataverse_files.zip</t>
        </is>
      </c>
    </row>
    <row r="428">
      <c r="A428" s="7" t="inlineStr">
        <is>
          <t>BTN</t>
        </is>
      </c>
      <c r="B428" s="7" t="inlineStr">
        <is>
          <t>Bhutan</t>
        </is>
      </c>
      <c r="C428" s="7" t="inlineStr">
        <is>
          <t>South Asia</t>
        </is>
      </c>
      <c r="D428" s="7" t="inlineStr">
        <is>
          <t>Lower middle income</t>
        </is>
      </c>
      <c r="E428" s="7" t="b">
        <v>1</v>
      </c>
      <c r="F428" s="7" t="inlineStr">
        <is>
          <t>price_coal_power_usd_gj</t>
        </is>
      </c>
      <c r="G428" s="7" t="n">
        <v>4.833</v>
      </c>
      <c r="H428" s="7" t="inlineStr">
        <is>
          <t>2024</t>
        </is>
      </c>
      <c r="I428" s="7" t="inlineStr">
        <is>
          <t>imffossilfuelsubsidiesdata.xlsb</t>
        </is>
      </c>
    </row>
    <row r="429">
      <c r="A429" s="7" t="inlineStr">
        <is>
          <t>BTN</t>
        </is>
      </c>
      <c r="B429" s="7" t="inlineStr">
        <is>
          <t>Bhutan</t>
        </is>
      </c>
      <c r="C429" s="7" t="inlineStr">
        <is>
          <t>South Asia</t>
        </is>
      </c>
      <c r="D429" s="7" t="inlineStr">
        <is>
          <t>Lower middle income</t>
        </is>
      </c>
      <c r="E429" s="7" t="b">
        <v>1</v>
      </c>
      <c r="F429" s="7" t="inlineStr">
        <is>
          <t>price_electricity_residential_usd_kwh</t>
        </is>
      </c>
      <c r="G429" s="7" t="n">
        <v>0.015</v>
      </c>
      <c r="H429" s="7" t="inlineStr">
        <is>
          <t>2024</t>
        </is>
      </c>
      <c r="I429" s="7" t="inlineStr">
        <is>
          <t>imffossilfuelsubsidiesdata.xlsb</t>
        </is>
      </c>
    </row>
    <row r="430">
      <c r="A430" s="7" t="inlineStr">
        <is>
          <t>BTN</t>
        </is>
      </c>
      <c r="B430" s="7" t="inlineStr">
        <is>
          <t>Bhutan</t>
        </is>
      </c>
      <c r="C430" s="7" t="inlineStr">
        <is>
          <t>South Asia</t>
        </is>
      </c>
      <c r="D430" s="7" t="inlineStr">
        <is>
          <t>Lower middle income</t>
        </is>
      </c>
      <c r="E430" s="7" t="b">
        <v>1</v>
      </c>
      <c r="F430" s="7" t="inlineStr">
        <is>
          <t>price_gas_industry_usd_gj</t>
        </is>
      </c>
      <c r="G430" s="7" t="n">
        <v>13.439</v>
      </c>
      <c r="H430" s="7" t="inlineStr">
        <is>
          <t>2024</t>
        </is>
      </c>
      <c r="I430" s="7" t="inlineStr">
        <is>
          <t>imffossilfuelsubsidiesdata.xlsb</t>
        </is>
      </c>
    </row>
    <row r="431">
      <c r="A431" s="7" t="inlineStr">
        <is>
          <t>BTN</t>
        </is>
      </c>
      <c r="B431" s="7" t="inlineStr">
        <is>
          <t>Bhutan</t>
        </is>
      </c>
      <c r="C431" s="7" t="inlineStr">
        <is>
          <t>South Asia</t>
        </is>
      </c>
      <c r="D431" s="7" t="inlineStr">
        <is>
          <t>Lower middle income</t>
        </is>
      </c>
      <c r="E431" s="7" t="b">
        <v>1</v>
      </c>
      <c r="F431" s="7" t="inlineStr">
        <is>
          <t>price_gas_power_usd_gj</t>
        </is>
      </c>
      <c r="G431" s="7" t="n">
        <v>12.116</v>
      </c>
      <c r="H431" s="7" t="inlineStr">
        <is>
          <t>2024</t>
        </is>
      </c>
      <c r="I431" s="7" t="inlineStr">
        <is>
          <t>imffossilfuelsubsidiesdata.xlsb</t>
        </is>
      </c>
    </row>
    <row r="432">
      <c r="A432" s="7" t="inlineStr">
        <is>
          <t>BWA</t>
        </is>
      </c>
      <c r="B432" s="7" t="inlineStr">
        <is>
          <t>Botswana</t>
        </is>
      </c>
      <c r="C432" s="7" t="inlineStr">
        <is>
          <t>Sub-Saharan Africa</t>
        </is>
      </c>
      <c r="D432" s="7" t="inlineStr">
        <is>
          <t>Upper middle income</t>
        </is>
      </c>
      <c r="E432" s="7" t="b">
        <v>1</v>
      </c>
      <c r="F432" s="7" t="inlineStr">
        <is>
          <t>coal_rents_pct_gdp</t>
        </is>
      </c>
      <c r="G432" s="7" t="n">
        <v>0.5</v>
      </c>
      <c r="H432" s="7" t="inlineStr">
        <is>
          <t>2021</t>
        </is>
      </c>
      <c r="I432" s="7" t="inlineStr">
        <is>
          <t>API_NY_GDP_COAL_RT_ZS_DS2_en_csv_v2_35370.zip</t>
        </is>
      </c>
    </row>
    <row r="433">
      <c r="A433" s="7" t="inlineStr">
        <is>
          <t>BWA</t>
        </is>
      </c>
      <c r="B433" s="7" t="inlineStr">
        <is>
          <t>Botswana</t>
        </is>
      </c>
      <c r="C433" s="7" t="inlineStr">
        <is>
          <t>Sub-Saharan Africa</t>
        </is>
      </c>
      <c r="D433" s="7" t="inlineStr">
        <is>
          <t>Upper middle income</t>
        </is>
      </c>
      <c r="E433" s="7" t="b">
        <v>1</v>
      </c>
      <c r="F433" s="7" t="inlineStr">
        <is>
          <t>em_coal_mt</t>
        </is>
      </c>
      <c r="G433" s="7" t="n">
        <v>2.891</v>
      </c>
      <c r="H433" s="7" t="n">
        <v>2024</v>
      </c>
      <c r="I433" s="7" t="inlineStr">
        <is>
          <t>release_generation_yearly_global.csv (Ember)</t>
        </is>
      </c>
    </row>
    <row r="434">
      <c r="A434" s="7" t="inlineStr">
        <is>
          <t>BWA</t>
        </is>
      </c>
      <c r="B434" s="7" t="inlineStr">
        <is>
          <t>Botswana</t>
        </is>
      </c>
      <c r="C434" s="7" t="inlineStr">
        <is>
          <t>Sub-Saharan Africa</t>
        </is>
      </c>
      <c r="D434" s="7" t="inlineStr">
        <is>
          <t>Upper middle income</t>
        </is>
      </c>
      <c r="E434" s="7" t="b">
        <v>1</v>
      </c>
      <c r="F434" s="7" t="inlineStr">
        <is>
          <t>em_gas_mt</t>
        </is>
      </c>
      <c r="G434" s="7" t="n">
        <v>0</v>
      </c>
      <c r="H434" s="7" t="n">
        <v>2024</v>
      </c>
      <c r="I434" s="7" t="inlineStr">
        <is>
          <t>release_generation_yearly_global.csv (Ember)</t>
        </is>
      </c>
    </row>
    <row r="435">
      <c r="A435" s="7" t="inlineStr">
        <is>
          <t>BWA</t>
        </is>
      </c>
      <c r="B435" s="7" t="inlineStr">
        <is>
          <t>Botswana</t>
        </is>
      </c>
      <c r="C435" s="7" t="inlineStr">
        <is>
          <t>Sub-Saharan Africa</t>
        </is>
      </c>
      <c r="D435" s="7" t="inlineStr">
        <is>
          <t>Upper middle income</t>
        </is>
      </c>
      <c r="E435" s="7" t="b">
        <v>1</v>
      </c>
      <c r="F435" s="7" t="inlineStr">
        <is>
          <t>em_oil_mt</t>
        </is>
      </c>
      <c r="G435" s="7" t="n">
        <v>0.033</v>
      </c>
      <c r="H435" s="7" t="n">
        <v>2024</v>
      </c>
      <c r="I435" s="7" t="inlineStr">
        <is>
          <t>release_generation_yearly_global.csv (Ember)</t>
        </is>
      </c>
    </row>
    <row r="436">
      <c r="A436" s="7" t="inlineStr">
        <is>
          <t>BWA</t>
        </is>
      </c>
      <c r="B436" s="7" t="inlineStr">
        <is>
          <t>Botswana</t>
        </is>
      </c>
      <c r="C436" s="7" t="inlineStr">
        <is>
          <t>Sub-Saharan Africa</t>
        </is>
      </c>
      <c r="D436" s="7" t="inlineStr">
        <is>
          <t>Upper middle income</t>
        </is>
      </c>
      <c r="E436" s="7" t="b">
        <v>1</v>
      </c>
      <c r="F436" s="7" t="inlineStr">
        <is>
          <t>ff_subsidy_explicit_pct_gdp</t>
        </is>
      </c>
      <c r="G436" s="7" t="n">
        <v>0.319</v>
      </c>
      <c r="H436" s="7" t="inlineStr">
        <is>
          <t>2024</t>
        </is>
      </c>
      <c r="I436" s="7" t="inlineStr">
        <is>
          <t>imffossilfuelsubsidiesdata.xlsb</t>
        </is>
      </c>
    </row>
    <row r="437">
      <c r="A437" s="7" t="inlineStr">
        <is>
          <t>BWA</t>
        </is>
      </c>
      <c r="B437" s="7" t="inlineStr">
        <is>
          <t>Botswana</t>
        </is>
      </c>
      <c r="C437" s="7" t="inlineStr">
        <is>
          <t>Sub-Saharan Africa</t>
        </is>
      </c>
      <c r="D437" s="7" t="inlineStr">
        <is>
          <t>Upper middle income</t>
        </is>
      </c>
      <c r="E437" s="7" t="b">
        <v>1</v>
      </c>
      <c r="F437" s="7" t="inlineStr">
        <is>
          <t>fuel_exports_pct_merch</t>
        </is>
      </c>
      <c r="G437" s="7" t="n">
        <v>0.668</v>
      </c>
      <c r="H437" s="7" t="inlineStr">
        <is>
          <t>2023</t>
        </is>
      </c>
      <c r="I437" s="7" t="inlineStr">
        <is>
          <t>API_TX_VAL_FUEL_ZS_UN_DS2_en_csv_v2_33055.zip</t>
        </is>
      </c>
    </row>
    <row r="438">
      <c r="A438" s="7" t="inlineStr">
        <is>
          <t>BWA</t>
        </is>
      </c>
      <c r="B438" s="7" t="inlineStr">
        <is>
          <t>Botswana</t>
        </is>
      </c>
      <c r="C438" s="7" t="inlineStr">
        <is>
          <t>Sub-Saharan Africa</t>
        </is>
      </c>
      <c r="D438" s="7" t="inlineStr">
        <is>
          <t>Upper middle income</t>
        </is>
      </c>
      <c r="E438" s="7" t="b">
        <v>1</v>
      </c>
      <c r="F438" s="7" t="inlineStr">
        <is>
          <t>gen_coal_twh</t>
        </is>
      </c>
      <c r="G438" s="7" t="n">
        <v>3.37</v>
      </c>
      <c r="H438" s="7" t="n">
        <v>2024</v>
      </c>
      <c r="I438" s="7" t="inlineStr">
        <is>
          <t>release_generation_yearly_global.csv (Ember)</t>
        </is>
      </c>
    </row>
    <row r="439">
      <c r="A439" s="7" t="inlineStr">
        <is>
          <t>BWA</t>
        </is>
      </c>
      <c r="B439" s="7" t="inlineStr">
        <is>
          <t>Botswana</t>
        </is>
      </c>
      <c r="C439" s="7" t="inlineStr">
        <is>
          <t>Sub-Saharan Africa</t>
        </is>
      </c>
      <c r="D439" s="7" t="inlineStr">
        <is>
          <t>Upper middle income</t>
        </is>
      </c>
      <c r="E439" s="7" t="b">
        <v>1</v>
      </c>
      <c r="F439" s="7" t="inlineStr">
        <is>
          <t>gen_gas_twh</t>
        </is>
      </c>
      <c r="G439" s="7" t="n">
        <v>0</v>
      </c>
      <c r="H439" s="7" t="n">
        <v>2024</v>
      </c>
      <c r="I439" s="7" t="inlineStr">
        <is>
          <t>release_generation_yearly_global.csv (Ember)</t>
        </is>
      </c>
    </row>
    <row r="440">
      <c r="A440" s="7" t="inlineStr">
        <is>
          <t>BWA</t>
        </is>
      </c>
      <c r="B440" s="7" t="inlineStr">
        <is>
          <t>Botswana</t>
        </is>
      </c>
      <c r="C440" s="7" t="inlineStr">
        <is>
          <t>Sub-Saharan Africa</t>
        </is>
      </c>
      <c r="D440" s="7" t="inlineStr">
        <is>
          <t>Upper middle income</t>
        </is>
      </c>
      <c r="E440" s="7" t="b">
        <v>1</v>
      </c>
      <c r="F440" s="7" t="inlineStr">
        <is>
          <t>gen_oil_twh</t>
        </is>
      </c>
      <c r="G440" s="7" t="n">
        <v>0.05</v>
      </c>
      <c r="H440" s="7" t="n">
        <v>2024</v>
      </c>
      <c r="I440" s="7" t="inlineStr">
        <is>
          <t>release_generation_yearly_global.csv (Ember)</t>
        </is>
      </c>
    </row>
    <row r="441">
      <c r="A441" s="7" t="inlineStr">
        <is>
          <t>BWA</t>
        </is>
      </c>
      <c r="B441" s="7" t="inlineStr">
        <is>
          <t>Botswana</t>
        </is>
      </c>
      <c r="C441" s="7" t="inlineStr">
        <is>
          <t>Sub-Saharan Africa</t>
        </is>
      </c>
      <c r="D441" s="7" t="inlineStr">
        <is>
          <t>Upper middle income</t>
        </is>
      </c>
      <c r="E441" s="7" t="b">
        <v>1</v>
      </c>
      <c r="F441" s="7" t="inlineStr">
        <is>
          <t>gen_total_twh</t>
        </is>
      </c>
      <c r="G441" s="7" t="n">
        <v>3.43</v>
      </c>
      <c r="H441" s="7" t="n">
        <v>2024</v>
      </c>
      <c r="I441" s="7" t="inlineStr">
        <is>
          <t>release_generation_yearly_global.csv (Ember)</t>
        </is>
      </c>
    </row>
    <row r="442">
      <c r="A442" s="7" t="inlineStr">
        <is>
          <t>BWA</t>
        </is>
      </c>
      <c r="B442" s="7" t="inlineStr">
        <is>
          <t>Botswana</t>
        </is>
      </c>
      <c r="C442" s="7" t="inlineStr">
        <is>
          <t>Sub-Saharan Africa</t>
        </is>
      </c>
      <c r="D442" s="7" t="inlineStr">
        <is>
          <t>Upper middle income</t>
        </is>
      </c>
      <c r="E442" s="7" t="b">
        <v>1</v>
      </c>
      <c r="F442" s="7" t="inlineStr">
        <is>
          <t>power_market_structure</t>
        </is>
      </c>
      <c r="G442" s="7" t="n">
        <v>2</v>
      </c>
      <c r="H442" s="7" t="inlineStr">
        <is>
          <t>2013</t>
        </is>
      </c>
      <c r="I442" s="7" t="inlineStr">
        <is>
          <t>dataverse_files.zip</t>
        </is>
      </c>
    </row>
    <row r="443">
      <c r="A443" s="7" t="inlineStr">
        <is>
          <t>BWA</t>
        </is>
      </c>
      <c r="B443" s="7" t="inlineStr">
        <is>
          <t>Botswana</t>
        </is>
      </c>
      <c r="C443" s="7" t="inlineStr">
        <is>
          <t>Sub-Saharan Africa</t>
        </is>
      </c>
      <c r="D443" s="7" t="inlineStr">
        <is>
          <t>Upper middle income</t>
        </is>
      </c>
      <c r="E443" s="7" t="b">
        <v>1</v>
      </c>
      <c r="F443" s="7" t="inlineStr">
        <is>
          <t>price_coal_power_usd_gj</t>
        </is>
      </c>
      <c r="G443" s="7" t="n">
        <v>2.049</v>
      </c>
      <c r="H443" s="7" t="inlineStr">
        <is>
          <t>2024</t>
        </is>
      </c>
      <c r="I443" s="7" t="inlineStr">
        <is>
          <t>imffossilfuelsubsidiesdata.xlsb</t>
        </is>
      </c>
    </row>
    <row r="444">
      <c r="A444" s="7" t="inlineStr">
        <is>
          <t>BWA</t>
        </is>
      </c>
      <c r="B444" s="7" t="inlineStr">
        <is>
          <t>Botswana</t>
        </is>
      </c>
      <c r="C444" s="7" t="inlineStr">
        <is>
          <t>Sub-Saharan Africa</t>
        </is>
      </c>
      <c r="D444" s="7" t="inlineStr">
        <is>
          <t>Upper middle income</t>
        </is>
      </c>
      <c r="E444" s="7" t="b">
        <v>1</v>
      </c>
      <c r="F444" s="7" t="inlineStr">
        <is>
          <t>price_electricity_residential_usd_kwh</t>
        </is>
      </c>
      <c r="G444" s="7" t="n">
        <v>0.094</v>
      </c>
      <c r="H444" s="7" t="inlineStr">
        <is>
          <t>2024</t>
        </is>
      </c>
      <c r="I444" s="7" t="inlineStr">
        <is>
          <t>imffossilfuelsubsidiesdata.xlsb</t>
        </is>
      </c>
    </row>
    <row r="445">
      <c r="A445" s="7" t="inlineStr">
        <is>
          <t>BWA</t>
        </is>
      </c>
      <c r="B445" s="7" t="inlineStr">
        <is>
          <t>Botswana</t>
        </is>
      </c>
      <c r="C445" s="7" t="inlineStr">
        <is>
          <t>Sub-Saharan Africa</t>
        </is>
      </c>
      <c r="D445" s="7" t="inlineStr">
        <is>
          <t>Upper middle income</t>
        </is>
      </c>
      <c r="E445" s="7" t="b">
        <v>1</v>
      </c>
      <c r="F445" s="7" t="inlineStr">
        <is>
          <t>price_gas_industry_usd_gj</t>
        </is>
      </c>
      <c r="G445" s="7" t="n">
        <v>12.08</v>
      </c>
      <c r="H445" s="7" t="inlineStr">
        <is>
          <t>2024</t>
        </is>
      </c>
      <c r="I445" s="7" t="inlineStr">
        <is>
          <t>imffossilfuelsubsidiesdata.xlsb</t>
        </is>
      </c>
    </row>
    <row r="446">
      <c r="A446" s="7" t="inlineStr">
        <is>
          <t>BWA</t>
        </is>
      </c>
      <c r="B446" s="7" t="inlineStr">
        <is>
          <t>Botswana</t>
        </is>
      </c>
      <c r="C446" s="7" t="inlineStr">
        <is>
          <t>Sub-Saharan Africa</t>
        </is>
      </c>
      <c r="D446" s="7" t="inlineStr">
        <is>
          <t>Upper middle income</t>
        </is>
      </c>
      <c r="E446" s="7" t="b">
        <v>1</v>
      </c>
      <c r="F446" s="7" t="inlineStr">
        <is>
          <t>price_gas_power_usd_gj</t>
        </is>
      </c>
      <c r="G446" s="7" t="n">
        <v>10.757</v>
      </c>
      <c r="H446" s="7" t="inlineStr">
        <is>
          <t>2024</t>
        </is>
      </c>
      <c r="I446" s="7" t="inlineStr">
        <is>
          <t>imffossilfuelsubsidiesdata.xlsb</t>
        </is>
      </c>
    </row>
    <row r="447">
      <c r="A447" s="7" t="inlineStr">
        <is>
          <t>CAF</t>
        </is>
      </c>
      <c r="B447" s="7" t="inlineStr">
        <is>
          <t>Central African Republic</t>
        </is>
      </c>
      <c r="C447" s="7" t="inlineStr">
        <is>
          <t>Sub-Saharan Africa</t>
        </is>
      </c>
      <c r="D447" s="7" t="inlineStr">
        <is>
          <t>Low income</t>
        </is>
      </c>
      <c r="E447" s="7" t="b">
        <v>1</v>
      </c>
      <c r="F447" s="7" t="inlineStr">
        <is>
          <t>coal_rents_pct_gdp</t>
        </is>
      </c>
      <c r="G447" s="7" t="n">
        <v>0</v>
      </c>
      <c r="H447" s="7" t="inlineStr">
        <is>
          <t>2021</t>
        </is>
      </c>
      <c r="I447" s="7" t="inlineStr">
        <is>
          <t>API_NY_GDP_COAL_RT_ZS_DS2_en_csv_v2_35370.zip</t>
        </is>
      </c>
    </row>
    <row r="448">
      <c r="A448" s="7" t="inlineStr">
        <is>
          <t>CAF</t>
        </is>
      </c>
      <c r="B448" s="7" t="inlineStr">
        <is>
          <t>Central African Republic</t>
        </is>
      </c>
      <c r="C448" s="7" t="inlineStr">
        <is>
          <t>Sub-Saharan Africa</t>
        </is>
      </c>
      <c r="D448" s="7" t="inlineStr">
        <is>
          <t>Low income</t>
        </is>
      </c>
      <c r="E448" s="7" t="b">
        <v>1</v>
      </c>
      <c r="F448" s="7" t="inlineStr">
        <is>
          <t>ff_subsidy_explicit_pct_gdp</t>
        </is>
      </c>
      <c r="G448" s="7" t="n">
        <v>0.001</v>
      </c>
      <c r="H448" s="7" t="inlineStr">
        <is>
          <t>2024</t>
        </is>
      </c>
      <c r="I448" s="7" t="inlineStr">
        <is>
          <t>imffossilfuelsubsidiesdata.xlsb</t>
        </is>
      </c>
    </row>
    <row r="449">
      <c r="A449" s="7" t="inlineStr">
        <is>
          <t>CAF</t>
        </is>
      </c>
      <c r="B449" s="7" t="inlineStr">
        <is>
          <t>Central African Republic</t>
        </is>
      </c>
      <c r="C449" s="7" t="inlineStr">
        <is>
          <t>Sub-Saharan Africa</t>
        </is>
      </c>
      <c r="D449" s="7" t="inlineStr">
        <is>
          <t>Low income</t>
        </is>
      </c>
      <c r="E449" s="7" t="b">
        <v>1</v>
      </c>
      <c r="F449" s="7" t="inlineStr">
        <is>
          <t>fuel_exports_pct_merch</t>
        </is>
      </c>
      <c r="G449" s="7" t="n">
        <v>0.032</v>
      </c>
      <c r="H449" s="7" t="inlineStr">
        <is>
          <t>2024</t>
        </is>
      </c>
      <c r="I449" s="7" t="inlineStr">
        <is>
          <t>API_TX_VAL_FUEL_ZS_UN_DS2_en_csv_v2_33055.zip</t>
        </is>
      </c>
    </row>
    <row r="450">
      <c r="A450" s="7" t="inlineStr">
        <is>
          <t>CAF</t>
        </is>
      </c>
      <c r="B450" s="7" t="inlineStr">
        <is>
          <t>Central African Republic</t>
        </is>
      </c>
      <c r="C450" s="7" t="inlineStr">
        <is>
          <t>Sub-Saharan Africa</t>
        </is>
      </c>
      <c r="D450" s="7" t="inlineStr">
        <is>
          <t>Low income</t>
        </is>
      </c>
      <c r="E450" s="7" t="b">
        <v>1</v>
      </c>
      <c r="F450" s="7" t="inlineStr">
        <is>
          <t>power_market_structure</t>
        </is>
      </c>
      <c r="G450" s="7" t="n">
        <v>2</v>
      </c>
      <c r="H450" s="7" t="inlineStr">
        <is>
          <t>2013</t>
        </is>
      </c>
      <c r="I450" s="7" t="inlineStr">
        <is>
          <t>dataverse_files.zip</t>
        </is>
      </c>
    </row>
    <row r="451">
      <c r="A451" s="7" t="inlineStr">
        <is>
          <t>CAF</t>
        </is>
      </c>
      <c r="B451" s="7" t="inlineStr">
        <is>
          <t>Central African Republic</t>
        </is>
      </c>
      <c r="C451" s="7" t="inlineStr">
        <is>
          <t>Sub-Saharan Africa</t>
        </is>
      </c>
      <c r="D451" s="7" t="inlineStr">
        <is>
          <t>Low income</t>
        </is>
      </c>
      <c r="E451" s="7" t="b">
        <v>1</v>
      </c>
      <c r="F451" s="7" t="inlineStr">
        <is>
          <t>price_coal_power_usd_gj</t>
        </is>
      </c>
      <c r="G451" s="7" t="n">
        <v>5.575</v>
      </c>
      <c r="H451" s="7" t="inlineStr">
        <is>
          <t>2024</t>
        </is>
      </c>
      <c r="I451" s="7" t="inlineStr">
        <is>
          <t>imffossilfuelsubsidiesdata.xlsb</t>
        </is>
      </c>
    </row>
    <row r="452">
      <c r="A452" s="7" t="inlineStr">
        <is>
          <t>CAF</t>
        </is>
      </c>
      <c r="B452" s="7" t="inlineStr">
        <is>
          <t>Central African Republic</t>
        </is>
      </c>
      <c r="C452" s="7" t="inlineStr">
        <is>
          <t>Sub-Saharan Africa</t>
        </is>
      </c>
      <c r="D452" s="7" t="inlineStr">
        <is>
          <t>Low income</t>
        </is>
      </c>
      <c r="E452" s="7" t="b">
        <v>1</v>
      </c>
      <c r="F452" s="7" t="inlineStr">
        <is>
          <t>price_electricity_residential_usd_kwh</t>
        </is>
      </c>
      <c r="G452" s="7" t="n">
        <v>0.143</v>
      </c>
      <c r="H452" s="7" t="inlineStr">
        <is>
          <t>2024</t>
        </is>
      </c>
      <c r="I452" s="7" t="inlineStr">
        <is>
          <t>imffossilfuelsubsidiesdata.xlsb</t>
        </is>
      </c>
    </row>
    <row r="453">
      <c r="A453" s="7" t="inlineStr">
        <is>
          <t>CAF</t>
        </is>
      </c>
      <c r="B453" s="7" t="inlineStr">
        <is>
          <t>Central African Republic</t>
        </is>
      </c>
      <c r="C453" s="7" t="inlineStr">
        <is>
          <t>Sub-Saharan Africa</t>
        </is>
      </c>
      <c r="D453" s="7" t="inlineStr">
        <is>
          <t>Low income</t>
        </is>
      </c>
      <c r="E453" s="7" t="b">
        <v>1</v>
      </c>
      <c r="F453" s="7" t="inlineStr">
        <is>
          <t>price_gas_industry_usd_gj</t>
        </is>
      </c>
      <c r="G453" s="7" t="n">
        <v>8.176</v>
      </c>
      <c r="H453" s="7" t="inlineStr">
        <is>
          <t>2024</t>
        </is>
      </c>
      <c r="I453" s="7" t="inlineStr">
        <is>
          <t>imffossilfuelsubsidiesdata.xlsb</t>
        </is>
      </c>
    </row>
    <row r="454">
      <c r="A454" s="7" t="inlineStr">
        <is>
          <t>CAF</t>
        </is>
      </c>
      <c r="B454" s="7" t="inlineStr">
        <is>
          <t>Central African Republic</t>
        </is>
      </c>
      <c r="C454" s="7" t="inlineStr">
        <is>
          <t>Sub-Saharan Africa</t>
        </is>
      </c>
      <c r="D454" s="7" t="inlineStr">
        <is>
          <t>Low income</t>
        </is>
      </c>
      <c r="E454" s="7" t="b">
        <v>1</v>
      </c>
      <c r="F454" s="7" t="inlineStr">
        <is>
          <t>price_gas_power_usd_gj</t>
        </is>
      </c>
      <c r="G454" s="7" t="n">
        <v>6.853</v>
      </c>
      <c r="H454" s="7" t="inlineStr">
        <is>
          <t>2024</t>
        </is>
      </c>
      <c r="I454" s="7" t="inlineStr">
        <is>
          <t>imffossilfuelsubsidiesdata.xlsb</t>
        </is>
      </c>
    </row>
    <row r="455">
      <c r="A455" s="7" t="inlineStr">
        <is>
          <t>CAF</t>
        </is>
      </c>
      <c r="B455" s="7" t="inlineStr">
        <is>
          <t>Central African Republic</t>
        </is>
      </c>
      <c r="C455" s="7" t="inlineStr">
        <is>
          <t>Sub-Saharan Africa</t>
        </is>
      </c>
      <c r="D455" s="7" t="inlineStr">
        <is>
          <t>Low income</t>
        </is>
      </c>
      <c r="E455" s="7" t="b">
        <v>1</v>
      </c>
      <c r="F455" s="7" t="inlineStr">
        <is>
          <t>rise_renewable_energy_score</t>
        </is>
      </c>
      <c r="G455" s="7" t="n">
        <v>8.333</v>
      </c>
      <c r="H455" s="7" t="inlineStr">
        <is>
          <t>2023</t>
        </is>
      </c>
      <c r="I455" s="7" t="inlineStr">
        <is>
          <t>WB_RISE_WIDEF.csv</t>
        </is>
      </c>
    </row>
    <row r="456">
      <c r="A456" s="7" t="inlineStr">
        <is>
          <t>CAN</t>
        </is>
      </c>
      <c r="B456" s="7" t="inlineStr">
        <is>
          <t>Canada</t>
        </is>
      </c>
      <c r="C456" s="7" t="inlineStr">
        <is>
          <t>North America</t>
        </is>
      </c>
      <c r="D456" s="7" t="inlineStr">
        <is>
          <t>High income</t>
        </is>
      </c>
      <c r="E456" s="7" t="b">
        <v>0</v>
      </c>
      <c r="F456" s="7" t="inlineStr">
        <is>
          <t>coal_rents_pct_gdp</t>
        </is>
      </c>
      <c r="G456" s="7" t="n">
        <v>0.073</v>
      </c>
      <c r="H456" s="7" t="inlineStr">
        <is>
          <t>2021</t>
        </is>
      </c>
      <c r="I456" s="7" t="inlineStr">
        <is>
          <t>API_NY_GDP_COAL_RT_ZS_DS2_en_csv_v2_35370.zip</t>
        </is>
      </c>
    </row>
    <row r="457">
      <c r="A457" s="7" t="inlineStr">
        <is>
          <t>CAN</t>
        </is>
      </c>
      <c r="B457" s="7" t="inlineStr">
        <is>
          <t>Canada</t>
        </is>
      </c>
      <c r="C457" s="7" t="inlineStr">
        <is>
          <t>North America</t>
        </is>
      </c>
      <c r="D457" s="7" t="inlineStr">
        <is>
          <t>High income</t>
        </is>
      </c>
      <c r="E457" s="7" t="b">
        <v>0</v>
      </c>
      <c r="F457" s="7" t="inlineStr">
        <is>
          <t>em_coal_mt</t>
        </is>
      </c>
      <c r="G457" s="7" t="n">
        <v>22.578</v>
      </c>
      <c r="H457" s="7" t="n">
        <v>2024</v>
      </c>
      <c r="I457" s="7" t="inlineStr">
        <is>
          <t>release_generation_yearly_global.csv (Ember)</t>
        </is>
      </c>
    </row>
    <row r="458">
      <c r="A458" s="7" t="inlineStr">
        <is>
          <t>CAN</t>
        </is>
      </c>
      <c r="B458" s="7" t="inlineStr">
        <is>
          <t>Canada</t>
        </is>
      </c>
      <c r="C458" s="7" t="inlineStr">
        <is>
          <t>North America</t>
        </is>
      </c>
      <c r="D458" s="7" t="inlineStr">
        <is>
          <t>High income</t>
        </is>
      </c>
      <c r="E458" s="7" t="b">
        <v>0</v>
      </c>
      <c r="F458" s="7" t="inlineStr">
        <is>
          <t>em_gas_mt</t>
        </is>
      </c>
      <c r="G458" s="7" t="n">
        <v>79.10899999999999</v>
      </c>
      <c r="H458" s="7" t="n">
        <v>2024</v>
      </c>
      <c r="I458" s="7" t="inlineStr">
        <is>
          <t>release_generation_yearly_global.csv (Ember)</t>
        </is>
      </c>
    </row>
    <row r="459">
      <c r="A459" s="7" t="inlineStr">
        <is>
          <t>CAN</t>
        </is>
      </c>
      <c r="B459" s="7" t="inlineStr">
        <is>
          <t>Canada</t>
        </is>
      </c>
      <c r="C459" s="7" t="inlineStr">
        <is>
          <t>North America</t>
        </is>
      </c>
      <c r="D459" s="7" t="inlineStr">
        <is>
          <t>High income</t>
        </is>
      </c>
      <c r="E459" s="7" t="b">
        <v>0</v>
      </c>
      <c r="F459" s="7" t="inlineStr">
        <is>
          <t>em_oil_mt</t>
        </is>
      </c>
      <c r="G459" s="7" t="n">
        <v>4.803</v>
      </c>
      <c r="H459" s="7" t="n">
        <v>2024</v>
      </c>
      <c r="I459" s="7" t="inlineStr">
        <is>
          <t>release_generation_yearly_global.csv (Ember)</t>
        </is>
      </c>
    </row>
    <row r="460">
      <c r="A460" s="7" t="inlineStr">
        <is>
          <t>CAN</t>
        </is>
      </c>
      <c r="B460" s="7" t="inlineStr">
        <is>
          <t>Canada</t>
        </is>
      </c>
      <c r="C460" s="7" t="inlineStr">
        <is>
          <t>North America</t>
        </is>
      </c>
      <c r="D460" s="7" t="inlineStr">
        <is>
          <t>High income</t>
        </is>
      </c>
      <c r="E460" s="7" t="b">
        <v>0</v>
      </c>
      <c r="F460" s="7" t="inlineStr">
        <is>
          <t>ff_subsidy_explicit_pct_gdp</t>
        </is>
      </c>
      <c r="G460" s="7" t="n">
        <v>0.082</v>
      </c>
      <c r="H460" s="7" t="inlineStr">
        <is>
          <t>2024</t>
        </is>
      </c>
      <c r="I460" s="7" t="inlineStr">
        <is>
          <t>imffossilfuelsubsidiesdata.xlsb</t>
        </is>
      </c>
    </row>
    <row r="461">
      <c r="A461" s="7" t="inlineStr">
        <is>
          <t>CAN</t>
        </is>
      </c>
      <c r="B461" s="7" t="inlineStr">
        <is>
          <t>Canada</t>
        </is>
      </c>
      <c r="C461" s="7" t="inlineStr">
        <is>
          <t>North America</t>
        </is>
      </c>
      <c r="D461" s="7" t="inlineStr">
        <is>
          <t>High income</t>
        </is>
      </c>
      <c r="E461" s="7" t="b">
        <v>0</v>
      </c>
      <c r="F461" s="7" t="inlineStr">
        <is>
          <t>fuel_exports_pct_merch</t>
        </is>
      </c>
      <c r="G461" s="7" t="n">
        <v>27.697</v>
      </c>
      <c r="H461" s="7" t="inlineStr">
        <is>
          <t>2024</t>
        </is>
      </c>
      <c r="I461" s="7" t="inlineStr">
        <is>
          <t>API_TX_VAL_FUEL_ZS_UN_DS2_en_csv_v2_33055.zip</t>
        </is>
      </c>
    </row>
    <row r="462">
      <c r="A462" s="7" t="inlineStr">
        <is>
          <t>CAN</t>
        </is>
      </c>
      <c r="B462" s="7" t="inlineStr">
        <is>
          <t>Canada</t>
        </is>
      </c>
      <c r="C462" s="7" t="inlineStr">
        <is>
          <t>North America</t>
        </is>
      </c>
      <c r="D462" s="7" t="inlineStr">
        <is>
          <t>High income</t>
        </is>
      </c>
      <c r="E462" s="7" t="b">
        <v>0</v>
      </c>
      <c r="F462" s="7" t="inlineStr">
        <is>
          <t>gen_coal_twh</t>
        </is>
      </c>
      <c r="G462" s="7" t="n">
        <v>25.14</v>
      </c>
      <c r="H462" s="7" t="n">
        <v>2024</v>
      </c>
      <c r="I462" s="7" t="inlineStr">
        <is>
          <t>release_generation_yearly_global.csv (Ember)</t>
        </is>
      </c>
    </row>
    <row r="463">
      <c r="A463" s="7" t="inlineStr">
        <is>
          <t>CAN</t>
        </is>
      </c>
      <c r="B463" s="7" t="inlineStr">
        <is>
          <t>Canada</t>
        </is>
      </c>
      <c r="C463" s="7" t="inlineStr">
        <is>
          <t>North America</t>
        </is>
      </c>
      <c r="D463" s="7" t="inlineStr">
        <is>
          <t>High income</t>
        </is>
      </c>
      <c r="E463" s="7" t="b">
        <v>0</v>
      </c>
      <c r="F463" s="7" t="inlineStr">
        <is>
          <t>gen_gas_twh</t>
        </is>
      </c>
      <c r="G463" s="7" t="n">
        <v>109.6</v>
      </c>
      <c r="H463" s="7" t="n">
        <v>2024</v>
      </c>
      <c r="I463" s="7" t="inlineStr">
        <is>
          <t>release_generation_yearly_global.csv (Ember)</t>
        </is>
      </c>
    </row>
    <row r="464">
      <c r="A464" s="7" t="inlineStr">
        <is>
          <t>CAN</t>
        </is>
      </c>
      <c r="B464" s="7" t="inlineStr">
        <is>
          <t>Canada</t>
        </is>
      </c>
      <c r="C464" s="7" t="inlineStr">
        <is>
          <t>North America</t>
        </is>
      </c>
      <c r="D464" s="7" t="inlineStr">
        <is>
          <t>High income</t>
        </is>
      </c>
      <c r="E464" s="7" t="b">
        <v>0</v>
      </c>
      <c r="F464" s="7" t="inlineStr">
        <is>
          <t>gen_oil_twh</t>
        </is>
      </c>
      <c r="G464" s="7" t="n">
        <v>7.3</v>
      </c>
      <c r="H464" s="7" t="n">
        <v>2024</v>
      </c>
      <c r="I464" s="7" t="inlineStr">
        <is>
          <t>release_generation_yearly_global.csv (Ember)</t>
        </is>
      </c>
    </row>
    <row r="465">
      <c r="A465" s="7" t="inlineStr">
        <is>
          <t>CAN</t>
        </is>
      </c>
      <c r="B465" s="7" t="inlineStr">
        <is>
          <t>Canada</t>
        </is>
      </c>
      <c r="C465" s="7" t="inlineStr">
        <is>
          <t>North America</t>
        </is>
      </c>
      <c r="D465" s="7" t="inlineStr">
        <is>
          <t>High income</t>
        </is>
      </c>
      <c r="E465" s="7" t="b">
        <v>0</v>
      </c>
      <c r="F465" s="7" t="inlineStr">
        <is>
          <t>gen_total_twh</t>
        </is>
      </c>
      <c r="G465" s="7" t="n">
        <v>636.79</v>
      </c>
      <c r="H465" s="7" t="n">
        <v>2024</v>
      </c>
      <c r="I465" s="7" t="inlineStr">
        <is>
          <t>release_generation_yearly_global.csv (Ember)</t>
        </is>
      </c>
    </row>
    <row r="466">
      <c r="A466" s="7" t="inlineStr">
        <is>
          <t>CAN</t>
        </is>
      </c>
      <c r="B466" s="7" t="inlineStr">
        <is>
          <t>Canada</t>
        </is>
      </c>
      <c r="C466" s="7" t="inlineStr">
        <is>
          <t>North America</t>
        </is>
      </c>
      <c r="D466" s="7" t="inlineStr">
        <is>
          <t>High income</t>
        </is>
      </c>
      <c r="E466" s="7" t="b">
        <v>0</v>
      </c>
      <c r="F466" s="7" t="inlineStr">
        <is>
          <t>price_coal_power_usd_gj</t>
        </is>
      </c>
      <c r="G466" s="7" t="n">
        <v>10.078</v>
      </c>
      <c r="H466" s="7" t="inlineStr">
        <is>
          <t>2024</t>
        </is>
      </c>
      <c r="I466" s="7" t="inlineStr">
        <is>
          <t>imffossilfuelsubsidiesdata.xlsb</t>
        </is>
      </c>
    </row>
    <row r="467">
      <c r="A467" s="7" t="inlineStr">
        <is>
          <t>CAN</t>
        </is>
      </c>
      <c r="B467" s="7" t="inlineStr">
        <is>
          <t>Canada</t>
        </is>
      </c>
      <c r="C467" s="7" t="inlineStr">
        <is>
          <t>North America</t>
        </is>
      </c>
      <c r="D467" s="7" t="inlineStr">
        <is>
          <t>High income</t>
        </is>
      </c>
      <c r="E467" s="7" t="b">
        <v>0</v>
      </c>
      <c r="F467" s="7" t="inlineStr">
        <is>
          <t>price_electricity_residential_usd_kwh</t>
        </is>
      </c>
      <c r="G467" s="7" t="n">
        <v>0.122</v>
      </c>
      <c r="H467" s="7" t="inlineStr">
        <is>
          <t>2024</t>
        </is>
      </c>
      <c r="I467" s="7" t="inlineStr">
        <is>
          <t>imffossilfuelsubsidiesdata.xlsb</t>
        </is>
      </c>
    </row>
    <row r="468">
      <c r="A468" s="7" t="inlineStr">
        <is>
          <t>CAN</t>
        </is>
      </c>
      <c r="B468" s="7" t="inlineStr">
        <is>
          <t>Canada</t>
        </is>
      </c>
      <c r="C468" s="7" t="inlineStr">
        <is>
          <t>North America</t>
        </is>
      </c>
      <c r="D468" s="7" t="inlineStr">
        <is>
          <t>High income</t>
        </is>
      </c>
      <c r="E468" s="7" t="b">
        <v>0</v>
      </c>
      <c r="F468" s="7" t="inlineStr">
        <is>
          <t>price_gas_industry_usd_gj</t>
        </is>
      </c>
      <c r="G468" s="7" t="n">
        <v>8.749000000000001</v>
      </c>
      <c r="H468" s="7" t="inlineStr">
        <is>
          <t>2024</t>
        </is>
      </c>
      <c r="I468" s="7" t="inlineStr">
        <is>
          <t>imffossilfuelsubsidiesdata.xlsb</t>
        </is>
      </c>
    </row>
    <row r="469">
      <c r="A469" s="7" t="inlineStr">
        <is>
          <t>CAN</t>
        </is>
      </c>
      <c r="B469" s="7" t="inlineStr">
        <is>
          <t>Canada</t>
        </is>
      </c>
      <c r="C469" s="7" t="inlineStr">
        <is>
          <t>North America</t>
        </is>
      </c>
      <c r="D469" s="7" t="inlineStr">
        <is>
          <t>High income</t>
        </is>
      </c>
      <c r="E469" s="7" t="b">
        <v>0</v>
      </c>
      <c r="F469" s="7" t="inlineStr">
        <is>
          <t>price_gas_power_usd_gj</t>
        </is>
      </c>
      <c r="G469" s="7" t="n">
        <v>8.749000000000001</v>
      </c>
      <c r="H469" s="7" t="inlineStr">
        <is>
          <t>2024</t>
        </is>
      </c>
      <c r="I469" s="7" t="inlineStr">
        <is>
          <t>imffossilfuelsubsidiesdata.xlsb</t>
        </is>
      </c>
    </row>
    <row r="470">
      <c r="A470" s="7" t="inlineStr">
        <is>
          <t>CAN</t>
        </is>
      </c>
      <c r="B470" s="7" t="inlineStr">
        <is>
          <t>Canada</t>
        </is>
      </c>
      <c r="C470" s="7" t="inlineStr">
        <is>
          <t>North America</t>
        </is>
      </c>
      <c r="D470" s="7" t="inlineStr">
        <is>
          <t>High income</t>
        </is>
      </c>
      <c r="E470" s="7" t="b">
        <v>0</v>
      </c>
      <c r="F470" s="7" t="inlineStr">
        <is>
          <t>rise_renewable_energy_score</t>
        </is>
      </c>
      <c r="G470" s="7" t="n">
        <v>66.87</v>
      </c>
      <c r="H470" s="7" t="inlineStr">
        <is>
          <t>2023</t>
        </is>
      </c>
      <c r="I470" s="7" t="inlineStr">
        <is>
          <t>WB_RISE_WIDEF.csv</t>
        </is>
      </c>
    </row>
    <row r="471">
      <c r="A471" s="7" t="inlineStr">
        <is>
          <t>CHE</t>
        </is>
      </c>
      <c r="B471" s="7" t="inlineStr">
        <is>
          <t>Switzerland</t>
        </is>
      </c>
      <c r="C471" s="7" t="inlineStr">
        <is>
          <t>Europe &amp; Central Asia</t>
        </is>
      </c>
      <c r="D471" s="7" t="inlineStr">
        <is>
          <t>High income</t>
        </is>
      </c>
      <c r="E471" s="7" t="b">
        <v>0</v>
      </c>
      <c r="F471" s="7" t="inlineStr">
        <is>
          <t>coal_rents_pct_gdp</t>
        </is>
      </c>
      <c r="G471" s="7" t="n">
        <v>0</v>
      </c>
      <c r="H471" s="7" t="inlineStr">
        <is>
          <t>2021</t>
        </is>
      </c>
      <c r="I471" s="7" t="inlineStr">
        <is>
          <t>API_NY_GDP_COAL_RT_ZS_DS2_en_csv_v2_35370.zip</t>
        </is>
      </c>
    </row>
    <row r="472">
      <c r="A472" s="7" t="inlineStr">
        <is>
          <t>CHE</t>
        </is>
      </c>
      <c r="B472" s="7" t="inlineStr">
        <is>
          <t>Switzerland</t>
        </is>
      </c>
      <c r="C472" s="7" t="inlineStr">
        <is>
          <t>Europe &amp; Central Asia</t>
        </is>
      </c>
      <c r="D472" s="7" t="inlineStr">
        <is>
          <t>High income</t>
        </is>
      </c>
      <c r="E472" s="7" t="b">
        <v>0</v>
      </c>
      <c r="F472" s="7" t="inlineStr">
        <is>
          <t>em_gas_mt</t>
        </is>
      </c>
      <c r="G472" s="7" t="n">
        <v>0.109</v>
      </c>
      <c r="H472" s="7" t="n">
        <v>2024</v>
      </c>
      <c r="I472" s="7" t="inlineStr">
        <is>
          <t>release_generation_yearly_global.csv (Ember)</t>
        </is>
      </c>
    </row>
    <row r="473">
      <c r="A473" s="7" t="inlineStr">
        <is>
          <t>CHE</t>
        </is>
      </c>
      <c r="B473" s="7" t="inlineStr">
        <is>
          <t>Switzerland</t>
        </is>
      </c>
      <c r="C473" s="7" t="inlineStr">
        <is>
          <t>Europe &amp; Central Asia</t>
        </is>
      </c>
      <c r="D473" s="7" t="inlineStr">
        <is>
          <t>High income</t>
        </is>
      </c>
      <c r="E473" s="7" t="b">
        <v>0</v>
      </c>
      <c r="F473" s="7" t="inlineStr">
        <is>
          <t>em_oil_mt</t>
        </is>
      </c>
      <c r="G473" s="7" t="n">
        <v>0.854</v>
      </c>
      <c r="H473" s="7" t="n">
        <v>2024</v>
      </c>
      <c r="I473" s="7" t="inlineStr">
        <is>
          <t>release_generation_yearly_global.csv (Ember)</t>
        </is>
      </c>
    </row>
    <row r="474">
      <c r="A474" s="7" t="inlineStr">
        <is>
          <t>CHE</t>
        </is>
      </c>
      <c r="B474" s="7" t="inlineStr">
        <is>
          <t>Switzerland</t>
        </is>
      </c>
      <c r="C474" s="7" t="inlineStr">
        <is>
          <t>Europe &amp; Central Asia</t>
        </is>
      </c>
      <c r="D474" s="7" t="inlineStr">
        <is>
          <t>High income</t>
        </is>
      </c>
      <c r="E474" s="7" t="b">
        <v>0</v>
      </c>
      <c r="F474" s="7" t="inlineStr">
        <is>
          <t>ff_subsidy_explicit_pct_gdp</t>
        </is>
      </c>
      <c r="G474" s="7" t="n">
        <v>0.002</v>
      </c>
      <c r="H474" s="7" t="inlineStr">
        <is>
          <t>2024</t>
        </is>
      </c>
      <c r="I474" s="7" t="inlineStr">
        <is>
          <t>imffossilfuelsubsidiesdata.xlsb</t>
        </is>
      </c>
    </row>
    <row r="475">
      <c r="A475" s="7" t="inlineStr">
        <is>
          <t>CHE</t>
        </is>
      </c>
      <c r="B475" s="7" t="inlineStr">
        <is>
          <t>Switzerland</t>
        </is>
      </c>
      <c r="C475" s="7" t="inlineStr">
        <is>
          <t>Europe &amp; Central Asia</t>
        </is>
      </c>
      <c r="D475" s="7" t="inlineStr">
        <is>
          <t>High income</t>
        </is>
      </c>
      <c r="E475" s="7" t="b">
        <v>0</v>
      </c>
      <c r="F475" s="7" t="inlineStr">
        <is>
          <t>fuel_exports_pct_merch</t>
        </is>
      </c>
      <c r="G475" s="7" t="n">
        <v>1.208</v>
      </c>
      <c r="H475" s="7" t="inlineStr">
        <is>
          <t>2024</t>
        </is>
      </c>
      <c r="I475" s="7" t="inlineStr">
        <is>
          <t>API_TX_VAL_FUEL_ZS_UN_DS2_en_csv_v2_33055.zip</t>
        </is>
      </c>
    </row>
    <row r="476">
      <c r="A476" s="7" t="inlineStr">
        <is>
          <t>CHE</t>
        </is>
      </c>
      <c r="B476" s="7" t="inlineStr">
        <is>
          <t>Switzerland</t>
        </is>
      </c>
      <c r="C476" s="7" t="inlineStr">
        <is>
          <t>Europe &amp; Central Asia</t>
        </is>
      </c>
      <c r="D476" s="7" t="inlineStr">
        <is>
          <t>High income</t>
        </is>
      </c>
      <c r="E476" s="7" t="b">
        <v>0</v>
      </c>
      <c r="F476" s="7" t="inlineStr">
        <is>
          <t>gen_gas_twh</t>
        </is>
      </c>
      <c r="G476" s="7" t="n">
        <v>0.27</v>
      </c>
      <c r="H476" s="7" t="n">
        <v>2024</v>
      </c>
      <c r="I476" s="7" t="inlineStr">
        <is>
          <t>release_generation_yearly_global.csv (Ember)</t>
        </is>
      </c>
    </row>
    <row r="477">
      <c r="A477" s="7" t="inlineStr">
        <is>
          <t>CHE</t>
        </is>
      </c>
      <c r="B477" s="7" t="inlineStr">
        <is>
          <t>Switzerland</t>
        </is>
      </c>
      <c r="C477" s="7" t="inlineStr">
        <is>
          <t>Europe &amp; Central Asia</t>
        </is>
      </c>
      <c r="D477" s="7" t="inlineStr">
        <is>
          <t>High income</t>
        </is>
      </c>
      <c r="E477" s="7" t="b">
        <v>0</v>
      </c>
      <c r="F477" s="7" t="inlineStr">
        <is>
          <t>gen_oil_twh</t>
        </is>
      </c>
      <c r="G477" s="7" t="n">
        <v>1.22</v>
      </c>
      <c r="H477" s="7" t="n">
        <v>2024</v>
      </c>
      <c r="I477" s="7" t="inlineStr">
        <is>
          <t>release_generation_yearly_global.csv (Ember)</t>
        </is>
      </c>
    </row>
    <row r="478">
      <c r="A478" s="7" t="inlineStr">
        <is>
          <t>CHE</t>
        </is>
      </c>
      <c r="B478" s="7" t="inlineStr">
        <is>
          <t>Switzerland</t>
        </is>
      </c>
      <c r="C478" s="7" t="inlineStr">
        <is>
          <t>Europe &amp; Central Asia</t>
        </is>
      </c>
      <c r="D478" s="7" t="inlineStr">
        <is>
          <t>High income</t>
        </is>
      </c>
      <c r="E478" s="7" t="b">
        <v>0</v>
      </c>
      <c r="F478" s="7" t="inlineStr">
        <is>
          <t>gen_total_twh</t>
        </is>
      </c>
      <c r="G478" s="7" t="n">
        <v>78.37</v>
      </c>
      <c r="H478" s="7" t="n">
        <v>2024</v>
      </c>
      <c r="I478" s="7" t="inlineStr">
        <is>
          <t>release_generation_yearly_global.csv (Ember)</t>
        </is>
      </c>
    </row>
    <row r="479">
      <c r="A479" s="7" t="inlineStr">
        <is>
          <t>CHE</t>
        </is>
      </c>
      <c r="B479" s="7" t="inlineStr">
        <is>
          <t>Switzerland</t>
        </is>
      </c>
      <c r="C479" s="7" t="inlineStr">
        <is>
          <t>Europe &amp; Central Asia</t>
        </is>
      </c>
      <c r="D479" s="7" t="inlineStr">
        <is>
          <t>High income</t>
        </is>
      </c>
      <c r="E479" s="7" t="b">
        <v>0</v>
      </c>
      <c r="F479" s="7" t="inlineStr">
        <is>
          <t>price_coal_power_usd_gj</t>
        </is>
      </c>
      <c r="G479" s="7" t="n">
        <v>11.669</v>
      </c>
      <c r="H479" s="7" t="inlineStr">
        <is>
          <t>2024</t>
        </is>
      </c>
      <c r="I479" s="7" t="inlineStr">
        <is>
          <t>imffossilfuelsubsidiesdata.xlsb</t>
        </is>
      </c>
    </row>
    <row r="480">
      <c r="A480" s="7" t="inlineStr">
        <is>
          <t>CHE</t>
        </is>
      </c>
      <c r="B480" s="7" t="inlineStr">
        <is>
          <t>Switzerland</t>
        </is>
      </c>
      <c r="C480" s="7" t="inlineStr">
        <is>
          <t>Europe &amp; Central Asia</t>
        </is>
      </c>
      <c r="D480" s="7" t="inlineStr">
        <is>
          <t>High income</t>
        </is>
      </c>
      <c r="E480" s="7" t="b">
        <v>0</v>
      </c>
      <c r="F480" s="7" t="inlineStr">
        <is>
          <t>price_electricity_residential_usd_kwh</t>
        </is>
      </c>
      <c r="G480" s="7" t="n">
        <v>0.382</v>
      </c>
      <c r="H480" s="7" t="inlineStr">
        <is>
          <t>2024</t>
        </is>
      </c>
      <c r="I480" s="7" t="inlineStr">
        <is>
          <t>imffossilfuelsubsidiesdata.xlsb</t>
        </is>
      </c>
    </row>
    <row r="481">
      <c r="A481" s="7" t="inlineStr">
        <is>
          <t>CHE</t>
        </is>
      </c>
      <c r="B481" s="7" t="inlineStr">
        <is>
          <t>Switzerland</t>
        </is>
      </c>
      <c r="C481" s="7" t="inlineStr">
        <is>
          <t>Europe &amp; Central Asia</t>
        </is>
      </c>
      <c r="D481" s="7" t="inlineStr">
        <is>
          <t>High income</t>
        </is>
      </c>
      <c r="E481" s="7" t="b">
        <v>0</v>
      </c>
      <c r="F481" s="7" t="inlineStr">
        <is>
          <t>price_gas_industry_usd_gj</t>
        </is>
      </c>
      <c r="G481" s="7" t="n">
        <v>43.845</v>
      </c>
      <c r="H481" s="7" t="inlineStr">
        <is>
          <t>2024</t>
        </is>
      </c>
      <c r="I481" s="7" t="inlineStr">
        <is>
          <t>imffossilfuelsubsidiesdata.xlsb</t>
        </is>
      </c>
    </row>
    <row r="482">
      <c r="A482" s="7" t="inlineStr">
        <is>
          <t>CHE</t>
        </is>
      </c>
      <c r="B482" s="7" t="inlineStr">
        <is>
          <t>Switzerland</t>
        </is>
      </c>
      <c r="C482" s="7" t="inlineStr">
        <is>
          <t>Europe &amp; Central Asia</t>
        </is>
      </c>
      <c r="D482" s="7" t="inlineStr">
        <is>
          <t>High income</t>
        </is>
      </c>
      <c r="E482" s="7" t="b">
        <v>0</v>
      </c>
      <c r="F482" s="7" t="inlineStr">
        <is>
          <t>price_gas_power_usd_gj</t>
        </is>
      </c>
      <c r="G482" s="7" t="n">
        <v>43.845</v>
      </c>
      <c r="H482" s="7" t="inlineStr">
        <is>
          <t>2024</t>
        </is>
      </c>
      <c r="I482" s="7" t="inlineStr">
        <is>
          <t>imffossilfuelsubsidiesdata.xlsb</t>
        </is>
      </c>
    </row>
    <row r="483">
      <c r="A483" s="7" t="inlineStr">
        <is>
          <t>CHE</t>
        </is>
      </c>
      <c r="B483" s="7" t="inlineStr">
        <is>
          <t>Switzerland</t>
        </is>
      </c>
      <c r="C483" s="7" t="inlineStr">
        <is>
          <t>Europe &amp; Central Asia</t>
        </is>
      </c>
      <c r="D483" s="7" t="inlineStr">
        <is>
          <t>High income</t>
        </is>
      </c>
      <c r="E483" s="7" t="b">
        <v>0</v>
      </c>
      <c r="F483" s="7" t="inlineStr">
        <is>
          <t>rise_renewable_energy_score</t>
        </is>
      </c>
      <c r="G483" s="7" t="n">
        <v>76.307</v>
      </c>
      <c r="H483" s="7" t="inlineStr">
        <is>
          <t>2023</t>
        </is>
      </c>
      <c r="I483" s="7" t="inlineStr">
        <is>
          <t>WB_RISE_WIDEF.csv</t>
        </is>
      </c>
    </row>
    <row r="484">
      <c r="A484" s="7" t="inlineStr">
        <is>
          <t>CHL</t>
        </is>
      </c>
      <c r="B484" s="7" t="inlineStr">
        <is>
          <t>Chile</t>
        </is>
      </c>
      <c r="C484" s="7" t="inlineStr">
        <is>
          <t>Latin America &amp; Caribbean</t>
        </is>
      </c>
      <c r="D484" s="7" t="inlineStr">
        <is>
          <t>High income</t>
        </is>
      </c>
      <c r="E484" s="7" t="b">
        <v>0</v>
      </c>
      <c r="F484" s="7" t="inlineStr">
        <is>
          <t>coal_rents_pct_gdp</t>
        </is>
      </c>
      <c r="G484" s="7" t="n">
        <v>0</v>
      </c>
      <c r="H484" s="7" t="inlineStr">
        <is>
          <t>2021</t>
        </is>
      </c>
      <c r="I484" s="7" t="inlineStr">
        <is>
          <t>API_NY_GDP_COAL_RT_ZS_DS2_en_csv_v2_35370.zip</t>
        </is>
      </c>
    </row>
    <row r="485">
      <c r="A485" s="7" t="inlineStr">
        <is>
          <t>CHL</t>
        </is>
      </c>
      <c r="B485" s="7" t="inlineStr">
        <is>
          <t>Chile</t>
        </is>
      </c>
      <c r="C485" s="7" t="inlineStr">
        <is>
          <t>Latin America &amp; Caribbean</t>
        </is>
      </c>
      <c r="D485" s="7" t="inlineStr">
        <is>
          <t>High income</t>
        </is>
      </c>
      <c r="E485" s="7" t="b">
        <v>0</v>
      </c>
      <c r="F485" s="7" t="inlineStr">
        <is>
          <t>em_coal_mt</t>
        </is>
      </c>
      <c r="G485" s="7" t="n">
        <v>12.606</v>
      </c>
      <c r="H485" s="7" t="n">
        <v>2024</v>
      </c>
      <c r="I485" s="7" t="inlineStr">
        <is>
          <t>release_generation_yearly_global.csv (Ember)</t>
        </is>
      </c>
    </row>
    <row r="486">
      <c r="A486" s="7" t="inlineStr">
        <is>
          <t>CHL</t>
        </is>
      </c>
      <c r="B486" s="7" t="inlineStr">
        <is>
          <t>Chile</t>
        </is>
      </c>
      <c r="C486" s="7" t="inlineStr">
        <is>
          <t>Latin America &amp; Caribbean</t>
        </is>
      </c>
      <c r="D486" s="7" t="inlineStr">
        <is>
          <t>High income</t>
        </is>
      </c>
      <c r="E486" s="7" t="b">
        <v>0</v>
      </c>
      <c r="F486" s="7" t="inlineStr">
        <is>
          <t>em_gas_mt</t>
        </is>
      </c>
      <c r="G486" s="7" t="n">
        <v>7.451</v>
      </c>
      <c r="H486" s="7" t="n">
        <v>2024</v>
      </c>
      <c r="I486" s="7" t="inlineStr">
        <is>
          <t>release_generation_yearly_global.csv (Ember)</t>
        </is>
      </c>
    </row>
    <row r="487">
      <c r="A487" s="7" t="inlineStr">
        <is>
          <t>CHL</t>
        </is>
      </c>
      <c r="B487" s="7" t="inlineStr">
        <is>
          <t>Chile</t>
        </is>
      </c>
      <c r="C487" s="7" t="inlineStr">
        <is>
          <t>Latin America &amp; Caribbean</t>
        </is>
      </c>
      <c r="D487" s="7" t="inlineStr">
        <is>
          <t>High income</t>
        </is>
      </c>
      <c r="E487" s="7" t="b">
        <v>0</v>
      </c>
      <c r="F487" s="7" t="inlineStr">
        <is>
          <t>em_oil_mt</t>
        </is>
      </c>
      <c r="G487" s="7" t="n">
        <v>0.224</v>
      </c>
      <c r="H487" s="7" t="n">
        <v>2024</v>
      </c>
      <c r="I487" s="7" t="inlineStr">
        <is>
          <t>release_generation_yearly_global.csv (Ember)</t>
        </is>
      </c>
    </row>
    <row r="488">
      <c r="A488" s="7" t="inlineStr">
        <is>
          <t>CHL</t>
        </is>
      </c>
      <c r="B488" s="7" t="inlineStr">
        <is>
          <t>Chile</t>
        </is>
      </c>
      <c r="C488" s="7" t="inlineStr">
        <is>
          <t>Latin America &amp; Caribbean</t>
        </is>
      </c>
      <c r="D488" s="7" t="inlineStr">
        <is>
          <t>High income</t>
        </is>
      </c>
      <c r="E488" s="7" t="b">
        <v>0</v>
      </c>
      <c r="F488" s="7" t="inlineStr">
        <is>
          <t>ff_subsidy_explicit_pct_gdp</t>
        </is>
      </c>
      <c r="G488" s="7" t="n">
        <v>0.083</v>
      </c>
      <c r="H488" s="7" t="inlineStr">
        <is>
          <t>2024</t>
        </is>
      </c>
      <c r="I488" s="7" t="inlineStr">
        <is>
          <t>imffossilfuelsubsidiesdata.xlsb</t>
        </is>
      </c>
    </row>
    <row r="489">
      <c r="A489" s="7" t="inlineStr">
        <is>
          <t>CHL</t>
        </is>
      </c>
      <c r="B489" s="7" t="inlineStr">
        <is>
          <t>Chile</t>
        </is>
      </c>
      <c r="C489" s="7" t="inlineStr">
        <is>
          <t>Latin America &amp; Caribbean</t>
        </is>
      </c>
      <c r="D489" s="7" t="inlineStr">
        <is>
          <t>High income</t>
        </is>
      </c>
      <c r="E489" s="7" t="b">
        <v>0</v>
      </c>
      <c r="F489" s="7" t="inlineStr">
        <is>
          <t>fuel_exports_pct_merch</t>
        </is>
      </c>
      <c r="G489" s="7" t="n">
        <v>0.891</v>
      </c>
      <c r="H489" s="7" t="inlineStr">
        <is>
          <t>2025</t>
        </is>
      </c>
      <c r="I489" s="7" t="inlineStr">
        <is>
          <t>API_TX_VAL_FUEL_ZS_UN_DS2_en_csv_v2_33055.zip</t>
        </is>
      </c>
    </row>
    <row r="490">
      <c r="A490" s="7" t="inlineStr">
        <is>
          <t>CHL</t>
        </is>
      </c>
      <c r="B490" s="7" t="inlineStr">
        <is>
          <t>Chile</t>
        </is>
      </c>
      <c r="C490" s="7" t="inlineStr">
        <is>
          <t>Latin America &amp; Caribbean</t>
        </is>
      </c>
      <c r="D490" s="7" t="inlineStr">
        <is>
          <t>High income</t>
        </is>
      </c>
      <c r="E490" s="7" t="b">
        <v>0</v>
      </c>
      <c r="F490" s="7" t="inlineStr">
        <is>
          <t>gen_coal_twh</t>
        </is>
      </c>
      <c r="G490" s="7" t="n">
        <v>13.56</v>
      </c>
      <c r="H490" s="7" t="n">
        <v>2024</v>
      </c>
      <c r="I490" s="7" t="inlineStr">
        <is>
          <t>release_generation_yearly_global.csv (Ember)</t>
        </is>
      </c>
    </row>
    <row r="491">
      <c r="A491" s="7" t="inlineStr">
        <is>
          <t>CHL</t>
        </is>
      </c>
      <c r="B491" s="7" t="inlineStr">
        <is>
          <t>Chile</t>
        </is>
      </c>
      <c r="C491" s="7" t="inlineStr">
        <is>
          <t>Latin America &amp; Caribbean</t>
        </is>
      </c>
      <c r="D491" s="7" t="inlineStr">
        <is>
          <t>High income</t>
        </is>
      </c>
      <c r="E491" s="7" t="b">
        <v>0</v>
      </c>
      <c r="F491" s="7" t="inlineStr">
        <is>
          <t>gen_gas_twh</t>
        </is>
      </c>
      <c r="G491" s="7" t="n">
        <v>12.67</v>
      </c>
      <c r="H491" s="7" t="n">
        <v>2024</v>
      </c>
      <c r="I491" s="7" t="inlineStr">
        <is>
          <t>release_generation_yearly_global.csv (Ember)</t>
        </is>
      </c>
    </row>
    <row r="492">
      <c r="A492" s="7" t="inlineStr">
        <is>
          <t>CHL</t>
        </is>
      </c>
      <c r="B492" s="7" t="inlineStr">
        <is>
          <t>Chile</t>
        </is>
      </c>
      <c r="C492" s="7" t="inlineStr">
        <is>
          <t>Latin America &amp; Caribbean</t>
        </is>
      </c>
      <c r="D492" s="7" t="inlineStr">
        <is>
          <t>High income</t>
        </is>
      </c>
      <c r="E492" s="7" t="b">
        <v>0</v>
      </c>
      <c r="F492" s="7" t="inlineStr">
        <is>
          <t>gen_oil_twh</t>
        </is>
      </c>
      <c r="G492" s="7" t="n">
        <v>0.32</v>
      </c>
      <c r="H492" s="7" t="n">
        <v>2024</v>
      </c>
      <c r="I492" s="7" t="inlineStr">
        <is>
          <t>release_generation_yearly_global.csv (Ember)</t>
        </is>
      </c>
    </row>
    <row r="493">
      <c r="A493" s="7" t="inlineStr">
        <is>
          <t>CHL</t>
        </is>
      </c>
      <c r="B493" s="7" t="inlineStr">
        <is>
          <t>Chile</t>
        </is>
      </c>
      <c r="C493" s="7" t="inlineStr">
        <is>
          <t>Latin America &amp; Caribbean</t>
        </is>
      </c>
      <c r="D493" s="7" t="inlineStr">
        <is>
          <t>High income</t>
        </is>
      </c>
      <c r="E493" s="7" t="b">
        <v>0</v>
      </c>
      <c r="F493" s="7" t="inlineStr">
        <is>
          <t>gen_total_twh</t>
        </is>
      </c>
      <c r="G493" s="7" t="n">
        <v>88.62</v>
      </c>
      <c r="H493" s="7" t="n">
        <v>2024</v>
      </c>
      <c r="I493" s="7" t="inlineStr">
        <is>
          <t>release_generation_yearly_global.csv (Ember)</t>
        </is>
      </c>
    </row>
    <row r="494">
      <c r="A494" s="7" t="inlineStr">
        <is>
          <t>CHL</t>
        </is>
      </c>
      <c r="B494" s="7" t="inlineStr">
        <is>
          <t>Chile</t>
        </is>
      </c>
      <c r="C494" s="7" t="inlineStr">
        <is>
          <t>Latin America &amp; Caribbean</t>
        </is>
      </c>
      <c r="D494" s="7" t="inlineStr">
        <is>
          <t>High income</t>
        </is>
      </c>
      <c r="E494" s="7" t="b">
        <v>0</v>
      </c>
      <c r="F494" s="7" t="inlineStr">
        <is>
          <t>price_coal_power_usd_gj</t>
        </is>
      </c>
      <c r="G494" s="7" t="n">
        <v>4.546</v>
      </c>
      <c r="H494" s="7" t="inlineStr">
        <is>
          <t>2024</t>
        </is>
      </c>
      <c r="I494" s="7" t="inlineStr">
        <is>
          <t>imffossilfuelsubsidiesdata.xlsb</t>
        </is>
      </c>
    </row>
    <row r="495">
      <c r="A495" s="7" t="inlineStr">
        <is>
          <t>CHL</t>
        </is>
      </c>
      <c r="B495" s="7" t="inlineStr">
        <is>
          <t>Chile</t>
        </is>
      </c>
      <c r="C495" s="7" t="inlineStr">
        <is>
          <t>Latin America &amp; Caribbean</t>
        </is>
      </c>
      <c r="D495" s="7" t="inlineStr">
        <is>
          <t>High income</t>
        </is>
      </c>
      <c r="E495" s="7" t="b">
        <v>0</v>
      </c>
      <c r="F495" s="7" t="inlineStr">
        <is>
          <t>price_electricity_residential_usd_kwh</t>
        </is>
      </c>
      <c r="G495" s="7" t="n">
        <v>0.182</v>
      </c>
      <c r="H495" s="7" t="inlineStr">
        <is>
          <t>2024</t>
        </is>
      </c>
      <c r="I495" s="7" t="inlineStr">
        <is>
          <t>imffossilfuelsubsidiesdata.xlsb</t>
        </is>
      </c>
    </row>
    <row r="496">
      <c r="A496" s="7" t="inlineStr">
        <is>
          <t>CHL</t>
        </is>
      </c>
      <c r="B496" s="7" t="inlineStr">
        <is>
          <t>Chile</t>
        </is>
      </c>
      <c r="C496" s="7" t="inlineStr">
        <is>
          <t>Latin America &amp; Caribbean</t>
        </is>
      </c>
      <c r="D496" s="7" t="inlineStr">
        <is>
          <t>High income</t>
        </is>
      </c>
      <c r="E496" s="7" t="b">
        <v>0</v>
      </c>
      <c r="F496" s="7" t="inlineStr">
        <is>
          <t>price_gas_industry_usd_gj</t>
        </is>
      </c>
      <c r="G496" s="7" t="n">
        <v>14.738</v>
      </c>
      <c r="H496" s="7" t="inlineStr">
        <is>
          <t>2024</t>
        </is>
      </c>
      <c r="I496" s="7" t="inlineStr">
        <is>
          <t>imffossilfuelsubsidiesdata.xlsb</t>
        </is>
      </c>
    </row>
    <row r="497">
      <c r="A497" s="7" t="inlineStr">
        <is>
          <t>CHL</t>
        </is>
      </c>
      <c r="B497" s="7" t="inlineStr">
        <is>
          <t>Chile</t>
        </is>
      </c>
      <c r="C497" s="7" t="inlineStr">
        <is>
          <t>Latin America &amp; Caribbean</t>
        </is>
      </c>
      <c r="D497" s="7" t="inlineStr">
        <is>
          <t>High income</t>
        </is>
      </c>
      <c r="E497" s="7" t="b">
        <v>0</v>
      </c>
      <c r="F497" s="7" t="inlineStr">
        <is>
          <t>price_gas_power_usd_gj</t>
        </is>
      </c>
      <c r="G497" s="7" t="n">
        <v>14.738</v>
      </c>
      <c r="H497" s="7" t="inlineStr">
        <is>
          <t>2024</t>
        </is>
      </c>
      <c r="I497" s="7" t="inlineStr">
        <is>
          <t>imffossilfuelsubsidiesdata.xlsb</t>
        </is>
      </c>
    </row>
    <row r="498">
      <c r="A498" s="7" t="inlineStr">
        <is>
          <t>CHL</t>
        </is>
      </c>
      <c r="B498" s="7" t="inlineStr">
        <is>
          <t>Chile</t>
        </is>
      </c>
      <c r="C498" s="7" t="inlineStr">
        <is>
          <t>Latin America &amp; Caribbean</t>
        </is>
      </c>
      <c r="D498" s="7" t="inlineStr">
        <is>
          <t>High income</t>
        </is>
      </c>
      <c r="E498" s="7" t="b">
        <v>0</v>
      </c>
      <c r="F498" s="7" t="inlineStr">
        <is>
          <t>rise_renewable_energy_score</t>
        </is>
      </c>
      <c r="G498" s="7" t="n">
        <v>67.056</v>
      </c>
      <c r="H498" s="7" t="inlineStr">
        <is>
          <t>2023</t>
        </is>
      </c>
      <c r="I498" s="7" t="inlineStr">
        <is>
          <t>WB_RISE_WIDEF.csv</t>
        </is>
      </c>
    </row>
    <row r="499">
      <c r="A499" s="7" t="inlineStr">
        <is>
          <t>CHN</t>
        </is>
      </c>
      <c r="B499" s="7" t="inlineStr">
        <is>
          <t>China</t>
        </is>
      </c>
      <c r="C499" s="7" t="inlineStr">
        <is>
          <t>East Asia &amp; Pacific</t>
        </is>
      </c>
      <c r="D499" s="7" t="inlineStr">
        <is>
          <t>Upper middle income</t>
        </is>
      </c>
      <c r="E499" s="7" t="b">
        <v>1</v>
      </c>
      <c r="F499" s="7" t="inlineStr">
        <is>
          <t>coal_rents_pct_gdp</t>
        </is>
      </c>
      <c r="G499" s="7" t="n">
        <v>0.608</v>
      </c>
      <c r="H499" s="7" t="inlineStr">
        <is>
          <t>2021</t>
        </is>
      </c>
      <c r="I499" s="7" t="inlineStr">
        <is>
          <t>API_NY_GDP_COAL_RT_ZS_DS2_en_csv_v2_35370.zip</t>
        </is>
      </c>
    </row>
    <row r="500">
      <c r="A500" s="7" t="inlineStr">
        <is>
          <t>CHN</t>
        </is>
      </c>
      <c r="B500" s="7" t="inlineStr">
        <is>
          <t>China</t>
        </is>
      </c>
      <c r="C500" s="7" t="inlineStr">
        <is>
          <t>East Asia &amp; Pacific</t>
        </is>
      </c>
      <c r="D500" s="7" t="inlineStr">
        <is>
          <t>Upper middle income</t>
        </is>
      </c>
      <c r="E500" s="7" t="b">
        <v>1</v>
      </c>
      <c r="F500" s="7" t="inlineStr">
        <is>
          <t>em_coal_mt</t>
        </is>
      </c>
      <c r="G500" s="7" t="n">
        <v>5277.23</v>
      </c>
      <c r="H500" s="7" t="n">
        <v>2024</v>
      </c>
      <c r="I500" s="7" t="inlineStr">
        <is>
          <t>release_generation_yearly_global.csv (Ember)</t>
        </is>
      </c>
    </row>
    <row r="501">
      <c r="A501" s="7" t="inlineStr">
        <is>
          <t>CHN</t>
        </is>
      </c>
      <c r="B501" s="7" t="inlineStr">
        <is>
          <t>China</t>
        </is>
      </c>
      <c r="C501" s="7" t="inlineStr">
        <is>
          <t>East Asia &amp; Pacific</t>
        </is>
      </c>
      <c r="D501" s="7" t="inlineStr">
        <is>
          <t>Upper middle income</t>
        </is>
      </c>
      <c r="E501" s="7" t="b">
        <v>1</v>
      </c>
      <c r="F501" s="7" t="inlineStr">
        <is>
          <t>em_gas_mt</t>
        </is>
      </c>
      <c r="G501" s="7" t="n">
        <v>142.491</v>
      </c>
      <c r="H501" s="7" t="n">
        <v>2024</v>
      </c>
      <c r="I501" s="7" t="inlineStr">
        <is>
          <t>release_generation_yearly_global.csv (Ember)</t>
        </is>
      </c>
    </row>
    <row r="502">
      <c r="A502" s="7" t="inlineStr">
        <is>
          <t>CHN</t>
        </is>
      </c>
      <c r="B502" s="7" t="inlineStr">
        <is>
          <t>China</t>
        </is>
      </c>
      <c r="C502" s="7" t="inlineStr">
        <is>
          <t>East Asia &amp; Pacific</t>
        </is>
      </c>
      <c r="D502" s="7" t="inlineStr">
        <is>
          <t>Upper middle income</t>
        </is>
      </c>
      <c r="E502" s="7" t="b">
        <v>1</v>
      </c>
      <c r="F502" s="7" t="inlineStr">
        <is>
          <t>em_oil_mt</t>
        </is>
      </c>
      <c r="G502" s="7" t="n">
        <v>58.483</v>
      </c>
      <c r="H502" s="7" t="n">
        <v>2024</v>
      </c>
      <c r="I502" s="7" t="inlineStr">
        <is>
          <t>release_generation_yearly_global.csv (Ember)</t>
        </is>
      </c>
    </row>
    <row r="503">
      <c r="A503" s="7" t="inlineStr">
        <is>
          <t>CHN</t>
        </is>
      </c>
      <c r="B503" s="7" t="inlineStr">
        <is>
          <t>China</t>
        </is>
      </c>
      <c r="C503" s="7" t="inlineStr">
        <is>
          <t>East Asia &amp; Pacific</t>
        </is>
      </c>
      <c r="D503" s="7" t="inlineStr">
        <is>
          <t>Upper middle income</t>
        </is>
      </c>
      <c r="E503" s="7" t="b">
        <v>1</v>
      </c>
      <c r="F503" s="7" t="inlineStr">
        <is>
          <t>ff_subsidy_explicit_pct_gdp</t>
        </is>
      </c>
      <c r="G503" s="7" t="n">
        <v>0.243</v>
      </c>
      <c r="H503" s="7" t="inlineStr">
        <is>
          <t>2024</t>
        </is>
      </c>
      <c r="I503" s="7" t="inlineStr">
        <is>
          <t>imffossilfuelsubsidiesdata.xlsb</t>
        </is>
      </c>
    </row>
    <row r="504">
      <c r="A504" s="7" t="inlineStr">
        <is>
          <t>CHN</t>
        </is>
      </c>
      <c r="B504" s="7" t="inlineStr">
        <is>
          <t>China</t>
        </is>
      </c>
      <c r="C504" s="7" t="inlineStr">
        <is>
          <t>East Asia &amp; Pacific</t>
        </is>
      </c>
      <c r="D504" s="7" t="inlineStr">
        <is>
          <t>Upper middle income</t>
        </is>
      </c>
      <c r="E504" s="7" t="b">
        <v>1</v>
      </c>
      <c r="F504" s="7" t="inlineStr">
        <is>
          <t>fuel_exports_pct_merch</t>
        </is>
      </c>
      <c r="G504" s="7" t="n">
        <v>1.498</v>
      </c>
      <c r="H504" s="7" t="inlineStr">
        <is>
          <t>2024</t>
        </is>
      </c>
      <c r="I504" s="7" t="inlineStr">
        <is>
          <t>API_TX_VAL_FUEL_ZS_UN_DS2_en_csv_v2_33055.zip</t>
        </is>
      </c>
    </row>
    <row r="505">
      <c r="A505" s="7" t="inlineStr">
        <is>
          <t>CHN</t>
        </is>
      </c>
      <c r="B505" s="7" t="inlineStr">
        <is>
          <t>China</t>
        </is>
      </c>
      <c r="C505" s="7" t="inlineStr">
        <is>
          <t>East Asia &amp; Pacific</t>
        </is>
      </c>
      <c r="D505" s="7" t="inlineStr">
        <is>
          <t>Upper middle income</t>
        </is>
      </c>
      <c r="E505" s="7" t="b">
        <v>1</v>
      </c>
      <c r="F505" s="7" t="inlineStr">
        <is>
          <t>gen_coal_twh</t>
        </is>
      </c>
      <c r="G505" s="7" t="n">
        <v>5827.6</v>
      </c>
      <c r="H505" s="7" t="n">
        <v>2024</v>
      </c>
      <c r="I505" s="7" t="inlineStr">
        <is>
          <t>release_generation_yearly_global.csv (Ember)</t>
        </is>
      </c>
    </row>
    <row r="506">
      <c r="A506" s="7" t="inlineStr">
        <is>
          <t>CHN</t>
        </is>
      </c>
      <c r="B506" s="7" t="inlineStr">
        <is>
          <t>China</t>
        </is>
      </c>
      <c r="C506" s="7" t="inlineStr">
        <is>
          <t>East Asia &amp; Pacific</t>
        </is>
      </c>
      <c r="D506" s="7" t="inlineStr">
        <is>
          <t>Upper middle income</t>
        </is>
      </c>
      <c r="E506" s="7" t="b">
        <v>1</v>
      </c>
      <c r="F506" s="7" t="inlineStr">
        <is>
          <t>gen_gas_twh</t>
        </is>
      </c>
      <c r="G506" s="7" t="n">
        <v>320.72</v>
      </c>
      <c r="H506" s="7" t="n">
        <v>2024</v>
      </c>
      <c r="I506" s="7" t="inlineStr">
        <is>
          <t>release_generation_yearly_global.csv (Ember)</t>
        </is>
      </c>
    </row>
    <row r="507">
      <c r="A507" s="7" t="inlineStr">
        <is>
          <t>CHN</t>
        </is>
      </c>
      <c r="B507" s="7" t="inlineStr">
        <is>
          <t>China</t>
        </is>
      </c>
      <c r="C507" s="7" t="inlineStr">
        <is>
          <t>East Asia &amp; Pacific</t>
        </is>
      </c>
      <c r="D507" s="7" t="inlineStr">
        <is>
          <t>Upper middle income</t>
        </is>
      </c>
      <c r="E507" s="7" t="b">
        <v>1</v>
      </c>
      <c r="F507" s="7" t="inlineStr">
        <is>
          <t>gen_oil_twh</t>
        </is>
      </c>
      <c r="G507" s="7" t="n">
        <v>88.88</v>
      </c>
      <c r="H507" s="7" t="n">
        <v>2024</v>
      </c>
      <c r="I507" s="7" t="inlineStr">
        <is>
          <t>release_generation_yearly_global.csv (Ember)</t>
        </is>
      </c>
    </row>
    <row r="508">
      <c r="A508" s="7" t="inlineStr">
        <is>
          <t>CHN</t>
        </is>
      </c>
      <c r="B508" s="7" t="inlineStr">
        <is>
          <t>China</t>
        </is>
      </c>
      <c r="C508" s="7" t="inlineStr">
        <is>
          <t>East Asia &amp; Pacific</t>
        </is>
      </c>
      <c r="D508" s="7" t="inlineStr">
        <is>
          <t>Upper middle income</t>
        </is>
      </c>
      <c r="E508" s="7" t="b">
        <v>1</v>
      </c>
      <c r="F508" s="7" t="inlineStr">
        <is>
          <t>gen_total_twh</t>
        </is>
      </c>
      <c r="G508" s="7" t="n">
        <v>10086.88</v>
      </c>
      <c r="H508" s="7" t="n">
        <v>2024</v>
      </c>
      <c r="I508" s="7" t="inlineStr">
        <is>
          <t>release_generation_yearly_global.csv (Ember)</t>
        </is>
      </c>
    </row>
    <row r="509">
      <c r="A509" s="7" t="inlineStr">
        <is>
          <t>CHN</t>
        </is>
      </c>
      <c r="B509" s="7" t="inlineStr">
        <is>
          <t>China</t>
        </is>
      </c>
      <c r="C509" s="7" t="inlineStr">
        <is>
          <t>East Asia &amp; Pacific</t>
        </is>
      </c>
      <c r="D509" s="7" t="inlineStr">
        <is>
          <t>Upper middle income</t>
        </is>
      </c>
      <c r="E509" s="7" t="b">
        <v>1</v>
      </c>
      <c r="F509" s="7" t="inlineStr">
        <is>
          <t>power_market_structure</t>
        </is>
      </c>
      <c r="G509" s="7" t="n">
        <v>2</v>
      </c>
      <c r="H509" s="7" t="inlineStr">
        <is>
          <t>2013</t>
        </is>
      </c>
      <c r="I509" s="7" t="inlineStr">
        <is>
          <t>dataverse_files.zip</t>
        </is>
      </c>
    </row>
    <row r="510">
      <c r="A510" s="7" t="inlineStr">
        <is>
          <t>CHN</t>
        </is>
      </c>
      <c r="B510" s="7" t="inlineStr">
        <is>
          <t>China</t>
        </is>
      </c>
      <c r="C510" s="7" t="inlineStr">
        <is>
          <t>East Asia &amp; Pacific</t>
        </is>
      </c>
      <c r="D510" s="7" t="inlineStr">
        <is>
          <t>Upper middle income</t>
        </is>
      </c>
      <c r="E510" s="7" t="b">
        <v>1</v>
      </c>
      <c r="F510" s="7" t="inlineStr">
        <is>
          <t>price_coal_power_usd_gj</t>
        </is>
      </c>
      <c r="G510" s="7" t="n">
        <v>5.389</v>
      </c>
      <c r="H510" s="7" t="inlineStr">
        <is>
          <t>2024</t>
        </is>
      </c>
      <c r="I510" s="7" t="inlineStr">
        <is>
          <t>imffossilfuelsubsidiesdata.xlsb</t>
        </is>
      </c>
    </row>
    <row r="511">
      <c r="A511" s="7" t="inlineStr">
        <is>
          <t>CHN</t>
        </is>
      </c>
      <c r="B511" s="7" t="inlineStr">
        <is>
          <t>China</t>
        </is>
      </c>
      <c r="C511" s="7" t="inlineStr">
        <is>
          <t>East Asia &amp; Pacific</t>
        </is>
      </c>
      <c r="D511" s="7" t="inlineStr">
        <is>
          <t>Upper middle income</t>
        </is>
      </c>
      <c r="E511" s="7" t="b">
        <v>1</v>
      </c>
      <c r="F511" s="7" t="inlineStr">
        <is>
          <t>price_electricity_residential_usd_kwh</t>
        </is>
      </c>
      <c r="G511" s="7" t="n">
        <v>0.07199999999999999</v>
      </c>
      <c r="H511" s="7" t="inlineStr">
        <is>
          <t>2024</t>
        </is>
      </c>
      <c r="I511" s="7" t="inlineStr">
        <is>
          <t>imffossilfuelsubsidiesdata.xlsb</t>
        </is>
      </c>
    </row>
    <row r="512">
      <c r="A512" s="7" t="inlineStr">
        <is>
          <t>CHN</t>
        </is>
      </c>
      <c r="B512" s="7" t="inlineStr">
        <is>
          <t>China</t>
        </is>
      </c>
      <c r="C512" s="7" t="inlineStr">
        <is>
          <t>East Asia &amp; Pacific</t>
        </is>
      </c>
      <c r="D512" s="7" t="inlineStr">
        <is>
          <t>Upper middle income</t>
        </is>
      </c>
      <c r="E512" s="7" t="b">
        <v>1</v>
      </c>
      <c r="F512" s="7" t="inlineStr">
        <is>
          <t>price_gas_industry_usd_gj</t>
        </is>
      </c>
      <c r="G512" s="7" t="n">
        <v>13.944</v>
      </c>
      <c r="H512" s="7" t="inlineStr">
        <is>
          <t>2024</t>
        </is>
      </c>
      <c r="I512" s="7" t="inlineStr">
        <is>
          <t>imffossilfuelsubsidiesdata.xlsb</t>
        </is>
      </c>
    </row>
    <row r="513">
      <c r="A513" s="7" t="inlineStr">
        <is>
          <t>CHN</t>
        </is>
      </c>
      <c r="B513" s="7" t="inlineStr">
        <is>
          <t>China</t>
        </is>
      </c>
      <c r="C513" s="7" t="inlineStr">
        <is>
          <t>East Asia &amp; Pacific</t>
        </is>
      </c>
      <c r="D513" s="7" t="inlineStr">
        <is>
          <t>Upper middle income</t>
        </is>
      </c>
      <c r="E513" s="7" t="b">
        <v>1</v>
      </c>
      <c r="F513" s="7" t="inlineStr">
        <is>
          <t>price_gas_power_usd_gj</t>
        </is>
      </c>
      <c r="G513" s="7" t="n">
        <v>13.944</v>
      </c>
      <c r="H513" s="7" t="inlineStr">
        <is>
          <t>2024</t>
        </is>
      </c>
      <c r="I513" s="7" t="inlineStr">
        <is>
          <t>imffossilfuelsubsidiesdata.xlsb</t>
        </is>
      </c>
    </row>
    <row r="514">
      <c r="A514" s="7" t="inlineStr">
        <is>
          <t>CHN</t>
        </is>
      </c>
      <c r="B514" s="7" t="inlineStr">
        <is>
          <t>China</t>
        </is>
      </c>
      <c r="C514" s="7" t="inlineStr">
        <is>
          <t>East Asia &amp; Pacific</t>
        </is>
      </c>
      <c r="D514" s="7" t="inlineStr">
        <is>
          <t>Upper middle income</t>
        </is>
      </c>
      <c r="E514" s="7" t="b">
        <v>1</v>
      </c>
      <c r="F514" s="7" t="inlineStr">
        <is>
          <t>rise_renewable_energy_score</t>
        </is>
      </c>
      <c r="G514" s="7" t="n">
        <v>58.41</v>
      </c>
      <c r="H514" s="7" t="inlineStr">
        <is>
          <t>2023</t>
        </is>
      </c>
      <c r="I514" s="7" t="inlineStr">
        <is>
          <t>WB_RISE_WIDEF.csv</t>
        </is>
      </c>
    </row>
    <row r="515">
      <c r="A515" s="7" t="inlineStr">
        <is>
          <t>CIV</t>
        </is>
      </c>
      <c r="B515" s="7" t="inlineStr">
        <is>
          <t>Côte d'Ivoire</t>
        </is>
      </c>
      <c r="C515" s="7" t="inlineStr">
        <is>
          <t>Sub-Saharan Africa</t>
        </is>
      </c>
      <c r="D515" s="7" t="inlineStr">
        <is>
          <t>Lower middle income</t>
        </is>
      </c>
      <c r="E515" s="7" t="b">
        <v>1</v>
      </c>
      <c r="F515" s="7" t="inlineStr">
        <is>
          <t>coal_rents_pct_gdp</t>
        </is>
      </c>
      <c r="G515" s="7" t="n">
        <v>0</v>
      </c>
      <c r="H515" s="7" t="inlineStr">
        <is>
          <t>2021</t>
        </is>
      </c>
      <c r="I515" s="7" t="inlineStr">
        <is>
          <t>API_NY_GDP_COAL_RT_ZS_DS2_en_csv_v2_35370.zip</t>
        </is>
      </c>
    </row>
    <row r="516">
      <c r="A516" s="7" t="inlineStr">
        <is>
          <t>CIV</t>
        </is>
      </c>
      <c r="B516" s="7" t="inlineStr">
        <is>
          <t>Côte d'Ivoire</t>
        </is>
      </c>
      <c r="C516" s="7" t="inlineStr">
        <is>
          <t>Sub-Saharan Africa</t>
        </is>
      </c>
      <c r="D516" s="7" t="inlineStr">
        <is>
          <t>Lower middle income</t>
        </is>
      </c>
      <c r="E516" s="7" t="b">
        <v>1</v>
      </c>
      <c r="F516" s="7" t="inlineStr">
        <is>
          <t>em_coal_mt</t>
        </is>
      </c>
      <c r="G516" s="7" t="n">
        <v>0</v>
      </c>
      <c r="H516" s="7" t="n">
        <v>2024</v>
      </c>
      <c r="I516" s="7" t="inlineStr">
        <is>
          <t>release_generation_yearly_global.csv (Ember)</t>
        </is>
      </c>
    </row>
    <row r="517">
      <c r="A517" s="7" t="inlineStr">
        <is>
          <t>CIV</t>
        </is>
      </c>
      <c r="B517" s="7" t="inlineStr">
        <is>
          <t>Côte d'Ivoire</t>
        </is>
      </c>
      <c r="C517" s="7" t="inlineStr">
        <is>
          <t>Sub-Saharan Africa</t>
        </is>
      </c>
      <c r="D517" s="7" t="inlineStr">
        <is>
          <t>Lower middle income</t>
        </is>
      </c>
      <c r="E517" s="7" t="b">
        <v>1</v>
      </c>
      <c r="F517" s="7" t="inlineStr">
        <is>
          <t>em_gas_mt</t>
        </is>
      </c>
      <c r="G517" s="7" t="n">
        <v>4.269</v>
      </c>
      <c r="H517" s="7" t="n">
        <v>2024</v>
      </c>
      <c r="I517" s="7" t="inlineStr">
        <is>
          <t>release_generation_yearly_global.csv (Ember)</t>
        </is>
      </c>
    </row>
    <row r="518">
      <c r="A518" s="7" t="inlineStr">
        <is>
          <t>CIV</t>
        </is>
      </c>
      <c r="B518" s="7" t="inlineStr">
        <is>
          <t>Côte d'Ivoire</t>
        </is>
      </c>
      <c r="C518" s="7" t="inlineStr">
        <is>
          <t>Sub-Saharan Africa</t>
        </is>
      </c>
      <c r="D518" s="7" t="inlineStr">
        <is>
          <t>Lower middle income</t>
        </is>
      </c>
      <c r="E518" s="7" t="b">
        <v>1</v>
      </c>
      <c r="F518" s="7" t="inlineStr">
        <is>
          <t>em_oil_mt</t>
        </is>
      </c>
      <c r="G518" s="7" t="n">
        <v>0.013</v>
      </c>
      <c r="H518" s="7" t="n">
        <v>2024</v>
      </c>
      <c r="I518" s="7" t="inlineStr">
        <is>
          <t>release_generation_yearly_global.csv (Ember)</t>
        </is>
      </c>
    </row>
    <row r="519">
      <c r="A519" s="7" t="inlineStr">
        <is>
          <t>CIV</t>
        </is>
      </c>
      <c r="B519" s="7" t="inlineStr">
        <is>
          <t>Côte d'Ivoire</t>
        </is>
      </c>
      <c r="C519" s="7" t="inlineStr">
        <is>
          <t>Sub-Saharan Africa</t>
        </is>
      </c>
      <c r="D519" s="7" t="inlineStr">
        <is>
          <t>Lower middle income</t>
        </is>
      </c>
      <c r="E519" s="7" t="b">
        <v>1</v>
      </c>
      <c r="F519" s="7" t="inlineStr">
        <is>
          <t>ff_subsidy_explicit_pct_gdp</t>
        </is>
      </c>
      <c r="G519" s="7" t="n">
        <v>0.338</v>
      </c>
      <c r="H519" s="7" t="inlineStr">
        <is>
          <t>2024</t>
        </is>
      </c>
      <c r="I519" s="7" t="inlineStr">
        <is>
          <t>imffossilfuelsubsidiesdata.xlsb</t>
        </is>
      </c>
    </row>
    <row r="520">
      <c r="A520" s="7" t="inlineStr">
        <is>
          <t>CIV</t>
        </is>
      </c>
      <c r="B520" s="7" t="inlineStr">
        <is>
          <t>Côte d'Ivoire</t>
        </is>
      </c>
      <c r="C520" s="7" t="inlineStr">
        <is>
          <t>Sub-Saharan Africa</t>
        </is>
      </c>
      <c r="D520" s="7" t="inlineStr">
        <is>
          <t>Lower middle income</t>
        </is>
      </c>
      <c r="E520" s="7" t="b">
        <v>1</v>
      </c>
      <c r="F520" s="7" t="inlineStr">
        <is>
          <t>fuel_exports_pct_merch</t>
        </is>
      </c>
      <c r="G520" s="7" t="n">
        <v>15.122</v>
      </c>
      <c r="H520" s="7" t="inlineStr">
        <is>
          <t>2024</t>
        </is>
      </c>
      <c r="I520" s="7" t="inlineStr">
        <is>
          <t>API_TX_VAL_FUEL_ZS_UN_DS2_en_csv_v2_33055.zip</t>
        </is>
      </c>
    </row>
    <row r="521">
      <c r="A521" s="7" t="inlineStr">
        <is>
          <t>CIV</t>
        </is>
      </c>
      <c r="B521" s="7" t="inlineStr">
        <is>
          <t>Côte d'Ivoire</t>
        </is>
      </c>
      <c r="C521" s="7" t="inlineStr">
        <is>
          <t>Sub-Saharan Africa</t>
        </is>
      </c>
      <c r="D521" s="7" t="inlineStr">
        <is>
          <t>Lower middle income</t>
        </is>
      </c>
      <c r="E521" s="7" t="b">
        <v>1</v>
      </c>
      <c r="F521" s="7" t="inlineStr">
        <is>
          <t>gen_coal_twh</t>
        </is>
      </c>
      <c r="G521" s="7" t="n">
        <v>0</v>
      </c>
      <c r="H521" s="7" t="n">
        <v>2024</v>
      </c>
      <c r="I521" s="7" t="inlineStr">
        <is>
          <t>release_generation_yearly_global.csv (Ember)</t>
        </is>
      </c>
    </row>
    <row r="522">
      <c r="A522" s="7" t="inlineStr">
        <is>
          <t>CIV</t>
        </is>
      </c>
      <c r="B522" s="7" t="inlineStr">
        <is>
          <t>Côte d'Ivoire</t>
        </is>
      </c>
      <c r="C522" s="7" t="inlineStr">
        <is>
          <t>Sub-Saharan Africa</t>
        </is>
      </c>
      <c r="D522" s="7" t="inlineStr">
        <is>
          <t>Lower middle income</t>
        </is>
      </c>
      <c r="E522" s="7" t="b">
        <v>1</v>
      </c>
      <c r="F522" s="7" t="inlineStr">
        <is>
          <t>gen_gas_twh</t>
        </is>
      </c>
      <c r="G522" s="7" t="n">
        <v>7.65</v>
      </c>
      <c r="H522" s="7" t="n">
        <v>2024</v>
      </c>
      <c r="I522" s="7" t="inlineStr">
        <is>
          <t>release_generation_yearly_global.csv (Ember)</t>
        </is>
      </c>
    </row>
    <row r="523">
      <c r="A523" s="7" t="inlineStr">
        <is>
          <t>CIV</t>
        </is>
      </c>
      <c r="B523" s="7" t="inlineStr">
        <is>
          <t>Côte d'Ivoire</t>
        </is>
      </c>
      <c r="C523" s="7" t="inlineStr">
        <is>
          <t>Sub-Saharan Africa</t>
        </is>
      </c>
      <c r="D523" s="7" t="inlineStr">
        <is>
          <t>Lower middle income</t>
        </is>
      </c>
      <c r="E523" s="7" t="b">
        <v>1</v>
      </c>
      <c r="F523" s="7" t="inlineStr">
        <is>
          <t>gen_oil_twh</t>
        </is>
      </c>
      <c r="G523" s="7" t="n">
        <v>0.02</v>
      </c>
      <c r="H523" s="7" t="n">
        <v>2024</v>
      </c>
      <c r="I523" s="7" t="inlineStr">
        <is>
          <t>release_generation_yearly_global.csv (Ember)</t>
        </is>
      </c>
    </row>
    <row r="524">
      <c r="A524" s="7" t="inlineStr">
        <is>
          <t>CIV</t>
        </is>
      </c>
      <c r="B524" s="7" t="inlineStr">
        <is>
          <t>Côte d'Ivoire</t>
        </is>
      </c>
      <c r="C524" s="7" t="inlineStr">
        <is>
          <t>Sub-Saharan Africa</t>
        </is>
      </c>
      <c r="D524" s="7" t="inlineStr">
        <is>
          <t>Lower middle income</t>
        </is>
      </c>
      <c r="E524" s="7" t="b">
        <v>1</v>
      </c>
      <c r="F524" s="7" t="inlineStr">
        <is>
          <t>gen_total_twh</t>
        </is>
      </c>
      <c r="G524" s="7" t="n">
        <v>10.79</v>
      </c>
      <c r="H524" s="7" t="n">
        <v>2024</v>
      </c>
      <c r="I524" s="7" t="inlineStr">
        <is>
          <t>release_generation_yearly_global.csv (Ember)</t>
        </is>
      </c>
    </row>
    <row r="525">
      <c r="A525" s="7" t="inlineStr">
        <is>
          <t>CIV</t>
        </is>
      </c>
      <c r="B525" s="7" t="inlineStr">
        <is>
          <t>Côte d'Ivoire</t>
        </is>
      </c>
      <c r="C525" s="7" t="inlineStr">
        <is>
          <t>Sub-Saharan Africa</t>
        </is>
      </c>
      <c r="D525" s="7" t="inlineStr">
        <is>
          <t>Lower middle income</t>
        </is>
      </c>
      <c r="E525" s="7" t="b">
        <v>1</v>
      </c>
      <c r="F525" s="7" t="inlineStr">
        <is>
          <t>power_market_structure</t>
        </is>
      </c>
      <c r="G525" s="7" t="n">
        <v>2</v>
      </c>
      <c r="H525" s="7" t="inlineStr">
        <is>
          <t>2013</t>
        </is>
      </c>
      <c r="I525" s="7" t="inlineStr">
        <is>
          <t>dataverse_files.zip</t>
        </is>
      </c>
    </row>
    <row r="526">
      <c r="A526" s="7" t="inlineStr">
        <is>
          <t>CIV</t>
        </is>
      </c>
      <c r="B526" s="7" t="inlineStr">
        <is>
          <t>Côte d'Ivoire</t>
        </is>
      </c>
      <c r="C526" s="7" t="inlineStr">
        <is>
          <t>Sub-Saharan Africa</t>
        </is>
      </c>
      <c r="D526" s="7" t="inlineStr">
        <is>
          <t>Lower middle income</t>
        </is>
      </c>
      <c r="E526" s="7" t="b">
        <v>1</v>
      </c>
      <c r="F526" s="7" t="inlineStr">
        <is>
          <t>price_coal_power_usd_gj</t>
        </is>
      </c>
      <c r="G526" s="7" t="n">
        <v>5.575</v>
      </c>
      <c r="H526" s="7" t="inlineStr">
        <is>
          <t>2024</t>
        </is>
      </c>
      <c r="I526" s="7" t="inlineStr">
        <is>
          <t>imffossilfuelsubsidiesdata.xlsb</t>
        </is>
      </c>
    </row>
    <row r="527">
      <c r="A527" s="7" t="inlineStr">
        <is>
          <t>CIV</t>
        </is>
      </c>
      <c r="B527" s="7" t="inlineStr">
        <is>
          <t>Côte d'Ivoire</t>
        </is>
      </c>
      <c r="C527" s="7" t="inlineStr">
        <is>
          <t>Sub-Saharan Africa</t>
        </is>
      </c>
      <c r="D527" s="7" t="inlineStr">
        <is>
          <t>Lower middle income</t>
        </is>
      </c>
      <c r="E527" s="7" t="b">
        <v>1</v>
      </c>
      <c r="F527" s="7" t="inlineStr">
        <is>
          <t>price_electricity_residential_usd_kwh</t>
        </is>
      </c>
      <c r="G527" s="7" t="n">
        <v>0.131</v>
      </c>
      <c r="H527" s="7" t="inlineStr">
        <is>
          <t>2024</t>
        </is>
      </c>
      <c r="I527" s="7" t="inlineStr">
        <is>
          <t>imffossilfuelsubsidiesdata.xlsb</t>
        </is>
      </c>
    </row>
    <row r="528">
      <c r="A528" s="7" t="inlineStr">
        <is>
          <t>CIV</t>
        </is>
      </c>
      <c r="B528" s="7" t="inlineStr">
        <is>
          <t>Côte d'Ivoire</t>
        </is>
      </c>
      <c r="C528" s="7" t="inlineStr">
        <is>
          <t>Sub-Saharan Africa</t>
        </is>
      </c>
      <c r="D528" s="7" t="inlineStr">
        <is>
          <t>Lower middle income</t>
        </is>
      </c>
      <c r="E528" s="7" t="b">
        <v>1</v>
      </c>
      <c r="F528" s="7" t="inlineStr">
        <is>
          <t>price_gas_industry_usd_gj</t>
        </is>
      </c>
      <c r="G528" s="7" t="n">
        <v>9.010999999999999</v>
      </c>
      <c r="H528" s="7" t="inlineStr">
        <is>
          <t>2024</t>
        </is>
      </c>
      <c r="I528" s="7" t="inlineStr">
        <is>
          <t>imffossilfuelsubsidiesdata.xlsb</t>
        </is>
      </c>
    </row>
    <row r="529">
      <c r="A529" s="7" t="inlineStr">
        <is>
          <t>CIV</t>
        </is>
      </c>
      <c r="B529" s="7" t="inlineStr">
        <is>
          <t>Côte d'Ivoire</t>
        </is>
      </c>
      <c r="C529" s="7" t="inlineStr">
        <is>
          <t>Sub-Saharan Africa</t>
        </is>
      </c>
      <c r="D529" s="7" t="inlineStr">
        <is>
          <t>Lower middle income</t>
        </is>
      </c>
      <c r="E529" s="7" t="b">
        <v>1</v>
      </c>
      <c r="F529" s="7" t="inlineStr">
        <is>
          <t>price_gas_power_usd_gj</t>
        </is>
      </c>
      <c r="G529" s="7" t="n">
        <v>6.224</v>
      </c>
      <c r="H529" s="7" t="inlineStr">
        <is>
          <t>2024</t>
        </is>
      </c>
      <c r="I529" s="7" t="inlineStr">
        <is>
          <t>imffossilfuelsubsidiesdata.xlsb</t>
        </is>
      </c>
    </row>
    <row r="530">
      <c r="A530" s="7" t="inlineStr">
        <is>
          <t>CIV</t>
        </is>
      </c>
      <c r="B530" s="7" t="inlineStr">
        <is>
          <t>Côte d'Ivoire</t>
        </is>
      </c>
      <c r="C530" s="7" t="inlineStr">
        <is>
          <t>Sub-Saharan Africa</t>
        </is>
      </c>
      <c r="D530" s="7" t="inlineStr">
        <is>
          <t>Lower middle income</t>
        </is>
      </c>
      <c r="E530" s="7" t="b">
        <v>1</v>
      </c>
      <c r="F530" s="7" t="inlineStr">
        <is>
          <t>rise_renewable_energy_score</t>
        </is>
      </c>
      <c r="G530" s="7" t="n">
        <v>28.407</v>
      </c>
      <c r="H530" s="7" t="inlineStr">
        <is>
          <t>2023</t>
        </is>
      </c>
      <c r="I530" s="7" t="inlineStr">
        <is>
          <t>WB_RISE_WIDEF.csv</t>
        </is>
      </c>
    </row>
    <row r="531">
      <c r="A531" s="7" t="inlineStr">
        <is>
          <t>CMR</t>
        </is>
      </c>
      <c r="B531" s="7" t="inlineStr">
        <is>
          <t>Cameroon</t>
        </is>
      </c>
      <c r="C531" s="7" t="inlineStr">
        <is>
          <t>Sub-Saharan Africa</t>
        </is>
      </c>
      <c r="D531" s="7" t="inlineStr">
        <is>
          <t>Lower middle income</t>
        </is>
      </c>
      <c r="E531" s="7" t="b">
        <v>1</v>
      </c>
      <c r="F531" s="7" t="inlineStr">
        <is>
          <t>coal_rents_pct_gdp</t>
        </is>
      </c>
      <c r="G531" s="7" t="n">
        <v>0</v>
      </c>
      <c r="H531" s="7" t="inlineStr">
        <is>
          <t>2021</t>
        </is>
      </c>
      <c r="I531" s="7" t="inlineStr">
        <is>
          <t>API_NY_GDP_COAL_RT_ZS_DS2_en_csv_v2_35370.zip</t>
        </is>
      </c>
    </row>
    <row r="532">
      <c r="A532" s="7" t="inlineStr">
        <is>
          <t>CMR</t>
        </is>
      </c>
      <c r="B532" s="7" t="inlineStr">
        <is>
          <t>Cameroon</t>
        </is>
      </c>
      <c r="C532" s="7" t="inlineStr">
        <is>
          <t>Sub-Saharan Africa</t>
        </is>
      </c>
      <c r="D532" s="7" t="inlineStr">
        <is>
          <t>Lower middle income</t>
        </is>
      </c>
      <c r="E532" s="7" t="b">
        <v>1</v>
      </c>
      <c r="F532" s="7" t="inlineStr">
        <is>
          <t>em_coal_mt</t>
        </is>
      </c>
      <c r="G532" s="7" t="n">
        <v>0</v>
      </c>
      <c r="H532" s="7" t="n">
        <v>2024</v>
      </c>
      <c r="I532" s="7" t="inlineStr">
        <is>
          <t>release_generation_yearly_global.csv (Ember)</t>
        </is>
      </c>
    </row>
    <row r="533">
      <c r="A533" s="7" t="inlineStr">
        <is>
          <t>CMR</t>
        </is>
      </c>
      <c r="B533" s="7" t="inlineStr">
        <is>
          <t>Cameroon</t>
        </is>
      </c>
      <c r="C533" s="7" t="inlineStr">
        <is>
          <t>Sub-Saharan Africa</t>
        </is>
      </c>
      <c r="D533" s="7" t="inlineStr">
        <is>
          <t>Lower middle income</t>
        </is>
      </c>
      <c r="E533" s="7" t="b">
        <v>1</v>
      </c>
      <c r="F533" s="7" t="inlineStr">
        <is>
          <t>em_gas_mt</t>
        </is>
      </c>
      <c r="G533" s="7" t="n">
        <v>1.277</v>
      </c>
      <c r="H533" s="7" t="n">
        <v>2024</v>
      </c>
      <c r="I533" s="7" t="inlineStr">
        <is>
          <t>release_generation_yearly_global.csv (Ember)</t>
        </is>
      </c>
    </row>
    <row r="534">
      <c r="A534" s="7" t="inlineStr">
        <is>
          <t>CMR</t>
        </is>
      </c>
      <c r="B534" s="7" t="inlineStr">
        <is>
          <t>Cameroon</t>
        </is>
      </c>
      <c r="C534" s="7" t="inlineStr">
        <is>
          <t>Sub-Saharan Africa</t>
        </is>
      </c>
      <c r="D534" s="7" t="inlineStr">
        <is>
          <t>Lower middle income</t>
        </is>
      </c>
      <c r="E534" s="7" t="b">
        <v>1</v>
      </c>
      <c r="F534" s="7" t="inlineStr">
        <is>
          <t>em_oil_mt</t>
        </is>
      </c>
      <c r="G534" s="7" t="n">
        <v>0.23</v>
      </c>
      <c r="H534" s="7" t="n">
        <v>2024</v>
      </c>
      <c r="I534" s="7" t="inlineStr">
        <is>
          <t>release_generation_yearly_global.csv (Ember)</t>
        </is>
      </c>
    </row>
    <row r="535">
      <c r="A535" s="7" t="inlineStr">
        <is>
          <t>CMR</t>
        </is>
      </c>
      <c r="B535" s="7" t="inlineStr">
        <is>
          <t>Cameroon</t>
        </is>
      </c>
      <c r="C535" s="7" t="inlineStr">
        <is>
          <t>Sub-Saharan Africa</t>
        </is>
      </c>
      <c r="D535" s="7" t="inlineStr">
        <is>
          <t>Lower middle income</t>
        </is>
      </c>
      <c r="E535" s="7" t="b">
        <v>1</v>
      </c>
      <c r="F535" s="7" t="inlineStr">
        <is>
          <t>ff_subsidy_explicit_pct_gdp</t>
        </is>
      </c>
      <c r="G535" s="7" t="n">
        <v>0.105</v>
      </c>
      <c r="H535" s="7" t="inlineStr">
        <is>
          <t>2024</t>
        </is>
      </c>
      <c r="I535" s="7" t="inlineStr">
        <is>
          <t>imffossilfuelsubsidiesdata.xlsb</t>
        </is>
      </c>
    </row>
    <row r="536">
      <c r="A536" s="7" t="inlineStr">
        <is>
          <t>CMR</t>
        </is>
      </c>
      <c r="B536" s="7" t="inlineStr">
        <is>
          <t>Cameroon</t>
        </is>
      </c>
      <c r="C536" s="7" t="inlineStr">
        <is>
          <t>Sub-Saharan Africa</t>
        </is>
      </c>
      <c r="D536" s="7" t="inlineStr">
        <is>
          <t>Lower middle income</t>
        </is>
      </c>
      <c r="E536" s="7" t="b">
        <v>1</v>
      </c>
      <c r="F536" s="7" t="inlineStr">
        <is>
          <t>fuel_exports_pct_merch</t>
        </is>
      </c>
      <c r="G536" s="7" t="n">
        <v>54.071</v>
      </c>
      <c r="H536" s="7" t="inlineStr">
        <is>
          <t>2023</t>
        </is>
      </c>
      <c r="I536" s="7" t="inlineStr">
        <is>
          <t>API_TX_VAL_FUEL_ZS_UN_DS2_en_csv_v2_33055.zip</t>
        </is>
      </c>
    </row>
    <row r="537">
      <c r="A537" s="7" t="inlineStr">
        <is>
          <t>CMR</t>
        </is>
      </c>
      <c r="B537" s="7" t="inlineStr">
        <is>
          <t>Cameroon</t>
        </is>
      </c>
      <c r="C537" s="7" t="inlineStr">
        <is>
          <t>Sub-Saharan Africa</t>
        </is>
      </c>
      <c r="D537" s="7" t="inlineStr">
        <is>
          <t>Lower middle income</t>
        </is>
      </c>
      <c r="E537" s="7" t="b">
        <v>1</v>
      </c>
      <c r="F537" s="7" t="inlineStr">
        <is>
          <t>gen_coal_twh</t>
        </is>
      </c>
      <c r="G537" s="7" t="n">
        <v>0</v>
      </c>
      <c r="H537" s="7" t="n">
        <v>2024</v>
      </c>
      <c r="I537" s="7" t="inlineStr">
        <is>
          <t>release_generation_yearly_global.csv (Ember)</t>
        </is>
      </c>
    </row>
    <row r="538">
      <c r="A538" s="7" t="inlineStr">
        <is>
          <t>CMR</t>
        </is>
      </c>
      <c r="B538" s="7" t="inlineStr">
        <is>
          <t>Cameroon</t>
        </is>
      </c>
      <c r="C538" s="7" t="inlineStr">
        <is>
          <t>Sub-Saharan Africa</t>
        </is>
      </c>
      <c r="D538" s="7" t="inlineStr">
        <is>
          <t>Lower middle income</t>
        </is>
      </c>
      <c r="E538" s="7" t="b">
        <v>1</v>
      </c>
      <c r="F538" s="7" t="inlineStr">
        <is>
          <t>gen_gas_twh</t>
        </is>
      </c>
      <c r="G538" s="7" t="n">
        <v>1.6</v>
      </c>
      <c r="H538" s="7" t="n">
        <v>2024</v>
      </c>
      <c r="I538" s="7" t="inlineStr">
        <is>
          <t>release_generation_yearly_global.csv (Ember)</t>
        </is>
      </c>
    </row>
    <row r="539">
      <c r="A539" s="7" t="inlineStr">
        <is>
          <t>CMR</t>
        </is>
      </c>
      <c r="B539" s="7" t="inlineStr">
        <is>
          <t>Cameroon</t>
        </is>
      </c>
      <c r="C539" s="7" t="inlineStr">
        <is>
          <t>Sub-Saharan Africa</t>
        </is>
      </c>
      <c r="D539" s="7" t="inlineStr">
        <is>
          <t>Lower middle income</t>
        </is>
      </c>
      <c r="E539" s="7" t="b">
        <v>1</v>
      </c>
      <c r="F539" s="7" t="inlineStr">
        <is>
          <t>gen_oil_twh</t>
        </is>
      </c>
      <c r="G539" s="7" t="n">
        <v>0.35</v>
      </c>
      <c r="H539" s="7" t="n">
        <v>2024</v>
      </c>
      <c r="I539" s="7" t="inlineStr">
        <is>
          <t>release_generation_yearly_global.csv (Ember)</t>
        </is>
      </c>
    </row>
    <row r="540">
      <c r="A540" s="7" t="inlineStr">
        <is>
          <t>CMR</t>
        </is>
      </c>
      <c r="B540" s="7" t="inlineStr">
        <is>
          <t>Cameroon</t>
        </is>
      </c>
      <c r="C540" s="7" t="inlineStr">
        <is>
          <t>Sub-Saharan Africa</t>
        </is>
      </c>
      <c r="D540" s="7" t="inlineStr">
        <is>
          <t>Lower middle income</t>
        </is>
      </c>
      <c r="E540" s="7" t="b">
        <v>1</v>
      </c>
      <c r="F540" s="7" t="inlineStr">
        <is>
          <t>gen_total_twh</t>
        </is>
      </c>
      <c r="G540" s="7" t="n">
        <v>7.26</v>
      </c>
      <c r="H540" s="7" t="n">
        <v>2024</v>
      </c>
      <c r="I540" s="7" t="inlineStr">
        <is>
          <t>release_generation_yearly_global.csv (Ember)</t>
        </is>
      </c>
    </row>
    <row r="541">
      <c r="A541" s="7" t="inlineStr">
        <is>
          <t>CMR</t>
        </is>
      </c>
      <c r="B541" s="7" t="inlineStr">
        <is>
          <t>Cameroon</t>
        </is>
      </c>
      <c r="C541" s="7" t="inlineStr">
        <is>
          <t>Sub-Saharan Africa</t>
        </is>
      </c>
      <c r="D541" s="7" t="inlineStr">
        <is>
          <t>Lower middle income</t>
        </is>
      </c>
      <c r="E541" s="7" t="b">
        <v>1</v>
      </c>
      <c r="F541" s="7" t="inlineStr">
        <is>
          <t>power_market_structure</t>
        </is>
      </c>
      <c r="G541" s="7" t="n">
        <v>1</v>
      </c>
      <c r="H541" s="7" t="inlineStr">
        <is>
          <t>2013</t>
        </is>
      </c>
      <c r="I541" s="7" t="inlineStr">
        <is>
          <t>dataverse_files.zip</t>
        </is>
      </c>
    </row>
    <row r="542">
      <c r="A542" s="7" t="inlineStr">
        <is>
          <t>CMR</t>
        </is>
      </c>
      <c r="B542" s="7" t="inlineStr">
        <is>
          <t>Cameroon</t>
        </is>
      </c>
      <c r="C542" s="7" t="inlineStr">
        <is>
          <t>Sub-Saharan Africa</t>
        </is>
      </c>
      <c r="D542" s="7" t="inlineStr">
        <is>
          <t>Lower middle income</t>
        </is>
      </c>
      <c r="E542" s="7" t="b">
        <v>1</v>
      </c>
      <c r="F542" s="7" t="inlineStr">
        <is>
          <t>price_coal_power_usd_gj</t>
        </is>
      </c>
      <c r="G542" s="7" t="n">
        <v>5.575</v>
      </c>
      <c r="H542" s="7" t="inlineStr">
        <is>
          <t>2024</t>
        </is>
      </c>
      <c r="I542" s="7" t="inlineStr">
        <is>
          <t>imffossilfuelsubsidiesdata.xlsb</t>
        </is>
      </c>
    </row>
    <row r="543">
      <c r="A543" s="7" t="inlineStr">
        <is>
          <t>CMR</t>
        </is>
      </c>
      <c r="B543" s="7" t="inlineStr">
        <is>
          <t>Cameroon</t>
        </is>
      </c>
      <c r="C543" s="7" t="inlineStr">
        <is>
          <t>Sub-Saharan Africa</t>
        </is>
      </c>
      <c r="D543" s="7" t="inlineStr">
        <is>
          <t>Lower middle income</t>
        </is>
      </c>
      <c r="E543" s="7" t="b">
        <v>1</v>
      </c>
      <c r="F543" s="7" t="inlineStr">
        <is>
          <t>price_electricity_residential_usd_kwh</t>
        </is>
      </c>
      <c r="G543" s="7" t="n">
        <v>0.108</v>
      </c>
      <c r="H543" s="7" t="inlineStr">
        <is>
          <t>2024</t>
        </is>
      </c>
      <c r="I543" s="7" t="inlineStr">
        <is>
          <t>imffossilfuelsubsidiesdata.xlsb</t>
        </is>
      </c>
    </row>
    <row r="544">
      <c r="A544" s="7" t="inlineStr">
        <is>
          <t>CMR</t>
        </is>
      </c>
      <c r="B544" s="7" t="inlineStr">
        <is>
          <t>Cameroon</t>
        </is>
      </c>
      <c r="C544" s="7" t="inlineStr">
        <is>
          <t>Sub-Saharan Africa</t>
        </is>
      </c>
      <c r="D544" s="7" t="inlineStr">
        <is>
          <t>Lower middle income</t>
        </is>
      </c>
      <c r="E544" s="7" t="b">
        <v>1</v>
      </c>
      <c r="F544" s="7" t="inlineStr">
        <is>
          <t>price_gas_industry_usd_gj</t>
        </is>
      </c>
      <c r="G544" s="7" t="n">
        <v>8.922000000000001</v>
      </c>
      <c r="H544" s="7" t="inlineStr">
        <is>
          <t>2024</t>
        </is>
      </c>
      <c r="I544" s="7" t="inlineStr">
        <is>
          <t>imffossilfuelsubsidiesdata.xlsb</t>
        </is>
      </c>
    </row>
    <row r="545">
      <c r="A545" s="7" t="inlineStr">
        <is>
          <t>CMR</t>
        </is>
      </c>
      <c r="B545" s="7" t="inlineStr">
        <is>
          <t>Cameroon</t>
        </is>
      </c>
      <c r="C545" s="7" t="inlineStr">
        <is>
          <t>Sub-Saharan Africa</t>
        </is>
      </c>
      <c r="D545" s="7" t="inlineStr">
        <is>
          <t>Lower middle income</t>
        </is>
      </c>
      <c r="E545" s="7" t="b">
        <v>1</v>
      </c>
      <c r="F545" s="7" t="inlineStr">
        <is>
          <t>price_gas_power_usd_gj</t>
        </is>
      </c>
      <c r="G545" s="7" t="n">
        <v>8.26</v>
      </c>
      <c r="H545" s="7" t="inlineStr">
        <is>
          <t>2024</t>
        </is>
      </c>
      <c r="I545" s="7" t="inlineStr">
        <is>
          <t>imffossilfuelsubsidiesdata.xlsb</t>
        </is>
      </c>
    </row>
    <row r="546">
      <c r="A546" s="7" t="inlineStr">
        <is>
          <t>CMR</t>
        </is>
      </c>
      <c r="B546" s="7" t="inlineStr">
        <is>
          <t>Cameroon</t>
        </is>
      </c>
      <c r="C546" s="7" t="inlineStr">
        <is>
          <t>Sub-Saharan Africa</t>
        </is>
      </c>
      <c r="D546" s="7" t="inlineStr">
        <is>
          <t>Lower middle income</t>
        </is>
      </c>
      <c r="E546" s="7" t="b">
        <v>1</v>
      </c>
      <c r="F546" s="7" t="inlineStr">
        <is>
          <t>rise_renewable_energy_score</t>
        </is>
      </c>
      <c r="G546" s="7" t="n">
        <v>13.854</v>
      </c>
      <c r="H546" s="7" t="inlineStr">
        <is>
          <t>2023</t>
        </is>
      </c>
      <c r="I546" s="7" t="inlineStr">
        <is>
          <t>WB_RISE_WIDEF.csv</t>
        </is>
      </c>
    </row>
    <row r="547">
      <c r="A547" s="7" t="inlineStr">
        <is>
          <t>COD</t>
        </is>
      </c>
      <c r="B547" s="7" t="inlineStr">
        <is>
          <t>Congo, Dem. Rep.</t>
        </is>
      </c>
      <c r="C547" s="7" t="inlineStr">
        <is>
          <t>Sub-Saharan Africa</t>
        </is>
      </c>
      <c r="D547" s="7" t="inlineStr">
        <is>
          <t>Low income</t>
        </is>
      </c>
      <c r="E547" s="7" t="b">
        <v>1</v>
      </c>
      <c r="F547" s="7" t="inlineStr">
        <is>
          <t>coal_rents_pct_gdp</t>
        </is>
      </c>
      <c r="G547" s="7" t="n">
        <v>0</v>
      </c>
      <c r="H547" s="7" t="inlineStr">
        <is>
          <t>2021</t>
        </is>
      </c>
      <c r="I547" s="7" t="inlineStr">
        <is>
          <t>API_NY_GDP_COAL_RT_ZS_DS2_en_csv_v2_35370.zip</t>
        </is>
      </c>
    </row>
    <row r="548">
      <c r="A548" s="7" t="inlineStr">
        <is>
          <t>COD</t>
        </is>
      </c>
      <c r="B548" s="7" t="inlineStr">
        <is>
          <t>Congo, Dem. Rep.</t>
        </is>
      </c>
      <c r="C548" s="7" t="inlineStr">
        <is>
          <t>Sub-Saharan Africa</t>
        </is>
      </c>
      <c r="D548" s="7" t="inlineStr">
        <is>
          <t>Low income</t>
        </is>
      </c>
      <c r="E548" s="7" t="b">
        <v>1</v>
      </c>
      <c r="F548" s="7" t="inlineStr">
        <is>
          <t>em_coal_mt</t>
        </is>
      </c>
      <c r="G548" s="7" t="n">
        <v>0</v>
      </c>
      <c r="H548" s="7" t="n">
        <v>2024</v>
      </c>
      <c r="I548" s="7" t="inlineStr">
        <is>
          <t>release_generation_yearly_global.csv (Ember)</t>
        </is>
      </c>
    </row>
    <row r="549">
      <c r="A549" s="7" t="inlineStr">
        <is>
          <t>COD</t>
        </is>
      </c>
      <c r="B549" s="7" t="inlineStr">
        <is>
          <t>Congo, Dem. Rep.</t>
        </is>
      </c>
      <c r="C549" s="7" t="inlineStr">
        <is>
          <t>Sub-Saharan Africa</t>
        </is>
      </c>
      <c r="D549" s="7" t="inlineStr">
        <is>
          <t>Low income</t>
        </is>
      </c>
      <c r="E549" s="7" t="b">
        <v>1</v>
      </c>
      <c r="F549" s="7" t="inlineStr">
        <is>
          <t>em_gas_mt</t>
        </is>
      </c>
      <c r="G549" s="7" t="n">
        <v>0</v>
      </c>
      <c r="H549" s="7" t="n">
        <v>2024</v>
      </c>
      <c r="I549" s="7" t="inlineStr">
        <is>
          <t>release_generation_yearly_global.csv (Ember)</t>
        </is>
      </c>
    </row>
    <row r="550">
      <c r="A550" s="7" t="inlineStr">
        <is>
          <t>COD</t>
        </is>
      </c>
      <c r="B550" s="7" t="inlineStr">
        <is>
          <t>Congo, Dem. Rep.</t>
        </is>
      </c>
      <c r="C550" s="7" t="inlineStr">
        <is>
          <t>Sub-Saharan Africa</t>
        </is>
      </c>
      <c r="D550" s="7" t="inlineStr">
        <is>
          <t>Low income</t>
        </is>
      </c>
      <c r="E550" s="7" t="b">
        <v>1</v>
      </c>
      <c r="F550" s="7" t="inlineStr">
        <is>
          <t>em_oil_mt</t>
        </is>
      </c>
      <c r="G550" s="7" t="n">
        <v>0</v>
      </c>
      <c r="H550" s="7" t="n">
        <v>2024</v>
      </c>
      <c r="I550" s="7" t="inlineStr">
        <is>
          <t>release_generation_yearly_global.csv (Ember)</t>
        </is>
      </c>
    </row>
    <row r="551">
      <c r="A551" s="7" t="inlineStr">
        <is>
          <t>COD</t>
        </is>
      </c>
      <c r="B551" s="7" t="inlineStr">
        <is>
          <t>Congo, Dem. Rep.</t>
        </is>
      </c>
      <c r="C551" s="7" t="inlineStr">
        <is>
          <t>Sub-Saharan Africa</t>
        </is>
      </c>
      <c r="D551" s="7" t="inlineStr">
        <is>
          <t>Low income</t>
        </is>
      </c>
      <c r="E551" s="7" t="b">
        <v>1</v>
      </c>
      <c r="F551" s="7" t="inlineStr">
        <is>
          <t>ff_subsidy_explicit_pct_gdp</t>
        </is>
      </c>
      <c r="G551" s="7" t="n">
        <v>0</v>
      </c>
      <c r="H551" s="7" t="inlineStr">
        <is>
          <t>2024</t>
        </is>
      </c>
      <c r="I551" s="7" t="inlineStr">
        <is>
          <t>imffossilfuelsubsidiesdata.xlsb</t>
        </is>
      </c>
    </row>
    <row r="552">
      <c r="A552" s="7" t="inlineStr">
        <is>
          <t>COD</t>
        </is>
      </c>
      <c r="B552" s="7" t="inlineStr">
        <is>
          <t>Congo, Dem. Rep.</t>
        </is>
      </c>
      <c r="C552" s="7" t="inlineStr">
        <is>
          <t>Sub-Saharan Africa</t>
        </is>
      </c>
      <c r="D552" s="7" t="inlineStr">
        <is>
          <t>Low income</t>
        </is>
      </c>
      <c r="E552" s="7" t="b">
        <v>1</v>
      </c>
      <c r="F552" s="7" t="inlineStr">
        <is>
          <t>fuel_exports_pct_merch</t>
        </is>
      </c>
      <c r="G552" s="7" t="n">
        <v>0</v>
      </c>
      <c r="H552" s="7" t="inlineStr">
        <is>
          <t>2023</t>
        </is>
      </c>
      <c r="I552" s="7" t="inlineStr">
        <is>
          <t>API_TX_VAL_FUEL_ZS_UN_DS2_en_csv_v2_33055.zip</t>
        </is>
      </c>
    </row>
    <row r="553">
      <c r="A553" s="7" t="inlineStr">
        <is>
          <t>COD</t>
        </is>
      </c>
      <c r="B553" s="7" t="inlineStr">
        <is>
          <t>Congo, Dem. Rep.</t>
        </is>
      </c>
      <c r="C553" s="7" t="inlineStr">
        <is>
          <t>Sub-Saharan Africa</t>
        </is>
      </c>
      <c r="D553" s="7" t="inlineStr">
        <is>
          <t>Low income</t>
        </is>
      </c>
      <c r="E553" s="7" t="b">
        <v>1</v>
      </c>
      <c r="F553" s="7" t="inlineStr">
        <is>
          <t>gen_coal_twh</t>
        </is>
      </c>
      <c r="G553" s="7" t="n">
        <v>0</v>
      </c>
      <c r="H553" s="7" t="n">
        <v>2024</v>
      </c>
      <c r="I553" s="7" t="inlineStr">
        <is>
          <t>release_generation_yearly_global.csv (Ember)</t>
        </is>
      </c>
    </row>
    <row r="554">
      <c r="A554" s="7" t="inlineStr">
        <is>
          <t>COD</t>
        </is>
      </c>
      <c r="B554" s="7" t="inlineStr">
        <is>
          <t>Congo, Dem. Rep.</t>
        </is>
      </c>
      <c r="C554" s="7" t="inlineStr">
        <is>
          <t>Sub-Saharan Africa</t>
        </is>
      </c>
      <c r="D554" s="7" t="inlineStr">
        <is>
          <t>Low income</t>
        </is>
      </c>
      <c r="E554" s="7" t="b">
        <v>1</v>
      </c>
      <c r="F554" s="7" t="inlineStr">
        <is>
          <t>gen_gas_twh</t>
        </is>
      </c>
      <c r="G554" s="7" t="n">
        <v>0</v>
      </c>
      <c r="H554" s="7" t="n">
        <v>2024</v>
      </c>
      <c r="I554" s="7" t="inlineStr">
        <is>
          <t>release_generation_yearly_global.csv (Ember)</t>
        </is>
      </c>
    </row>
    <row r="555">
      <c r="A555" s="7" t="inlineStr">
        <is>
          <t>COD</t>
        </is>
      </c>
      <c r="B555" s="7" t="inlineStr">
        <is>
          <t>Congo, Dem. Rep.</t>
        </is>
      </c>
      <c r="C555" s="7" t="inlineStr">
        <is>
          <t>Sub-Saharan Africa</t>
        </is>
      </c>
      <c r="D555" s="7" t="inlineStr">
        <is>
          <t>Low income</t>
        </is>
      </c>
      <c r="E555" s="7" t="b">
        <v>1</v>
      </c>
      <c r="F555" s="7" t="inlineStr">
        <is>
          <t>gen_oil_twh</t>
        </is>
      </c>
      <c r="G555" s="7" t="n">
        <v>0</v>
      </c>
      <c r="H555" s="7" t="n">
        <v>2024</v>
      </c>
      <c r="I555" s="7" t="inlineStr">
        <is>
          <t>release_generation_yearly_global.csv (Ember)</t>
        </is>
      </c>
    </row>
    <row r="556">
      <c r="A556" s="7" t="inlineStr">
        <is>
          <t>COD</t>
        </is>
      </c>
      <c r="B556" s="7" t="inlineStr">
        <is>
          <t>Congo, Dem. Rep.</t>
        </is>
      </c>
      <c r="C556" s="7" t="inlineStr">
        <is>
          <t>Sub-Saharan Africa</t>
        </is>
      </c>
      <c r="D556" s="7" t="inlineStr">
        <is>
          <t>Low income</t>
        </is>
      </c>
      <c r="E556" s="7" t="b">
        <v>1</v>
      </c>
      <c r="F556" s="7" t="inlineStr">
        <is>
          <t>gen_total_twh</t>
        </is>
      </c>
      <c r="G556" s="7" t="n">
        <v>15.92</v>
      </c>
      <c r="H556" s="7" t="n">
        <v>2024</v>
      </c>
      <c r="I556" s="7" t="inlineStr">
        <is>
          <t>release_generation_yearly_global.csv (Ember)</t>
        </is>
      </c>
    </row>
    <row r="557">
      <c r="A557" s="7" t="inlineStr">
        <is>
          <t>COD</t>
        </is>
      </c>
      <c r="B557" s="7" t="inlineStr">
        <is>
          <t>Congo, Dem. Rep.</t>
        </is>
      </c>
      <c r="C557" s="7" t="inlineStr">
        <is>
          <t>Sub-Saharan Africa</t>
        </is>
      </c>
      <c r="D557" s="7" t="inlineStr">
        <is>
          <t>Low income</t>
        </is>
      </c>
      <c r="E557" s="7" t="b">
        <v>1</v>
      </c>
      <c r="F557" s="7" t="inlineStr">
        <is>
          <t>power_market_structure</t>
        </is>
      </c>
      <c r="G557" s="7" t="n">
        <v>1</v>
      </c>
      <c r="H557" s="7" t="inlineStr">
        <is>
          <t>2013</t>
        </is>
      </c>
      <c r="I557" s="7" t="inlineStr">
        <is>
          <t>dataverse_files.zip</t>
        </is>
      </c>
    </row>
    <row r="558">
      <c r="A558" s="7" t="inlineStr">
        <is>
          <t>COD</t>
        </is>
      </c>
      <c r="B558" s="7" t="inlineStr">
        <is>
          <t>Congo, Dem. Rep.</t>
        </is>
      </c>
      <c r="C558" s="7" t="inlineStr">
        <is>
          <t>Sub-Saharan Africa</t>
        </is>
      </c>
      <c r="D558" s="7" t="inlineStr">
        <is>
          <t>Low income</t>
        </is>
      </c>
      <c r="E558" s="7" t="b">
        <v>1</v>
      </c>
      <c r="F558" s="7" t="inlineStr">
        <is>
          <t>price_coal_power_usd_gj</t>
        </is>
      </c>
      <c r="G558" s="7" t="n">
        <v>5.575</v>
      </c>
      <c r="H558" s="7" t="inlineStr">
        <is>
          <t>2024</t>
        </is>
      </c>
      <c r="I558" s="7" t="inlineStr">
        <is>
          <t>imffossilfuelsubsidiesdata.xlsb</t>
        </is>
      </c>
    </row>
    <row r="559">
      <c r="A559" s="7" t="inlineStr">
        <is>
          <t>COD</t>
        </is>
      </c>
      <c r="B559" s="7" t="inlineStr">
        <is>
          <t>Congo, Dem. Rep.</t>
        </is>
      </c>
      <c r="C559" s="7" t="inlineStr">
        <is>
          <t>Sub-Saharan Africa</t>
        </is>
      </c>
      <c r="D559" s="7" t="inlineStr">
        <is>
          <t>Low income</t>
        </is>
      </c>
      <c r="E559" s="7" t="b">
        <v>1</v>
      </c>
      <c r="F559" s="7" t="inlineStr">
        <is>
          <t>price_electricity_residential_usd_kwh</t>
        </is>
      </c>
      <c r="G559" s="7" t="n">
        <v>0.063</v>
      </c>
      <c r="H559" s="7" t="inlineStr">
        <is>
          <t>2024</t>
        </is>
      </c>
      <c r="I559" s="7" t="inlineStr">
        <is>
          <t>imffossilfuelsubsidiesdata.xlsb</t>
        </is>
      </c>
    </row>
    <row r="560">
      <c r="A560" s="7" t="inlineStr">
        <is>
          <t>COD</t>
        </is>
      </c>
      <c r="B560" s="7" t="inlineStr">
        <is>
          <t>Congo, Dem. Rep.</t>
        </is>
      </c>
      <c r="C560" s="7" t="inlineStr">
        <is>
          <t>Sub-Saharan Africa</t>
        </is>
      </c>
      <c r="D560" s="7" t="inlineStr">
        <is>
          <t>Low income</t>
        </is>
      </c>
      <c r="E560" s="7" t="b">
        <v>1</v>
      </c>
      <c r="F560" s="7" t="inlineStr">
        <is>
          <t>price_gas_industry_usd_gj</t>
        </is>
      </c>
      <c r="G560" s="7" t="n">
        <v>6.853</v>
      </c>
      <c r="H560" s="7" t="inlineStr">
        <is>
          <t>2024</t>
        </is>
      </c>
      <c r="I560" s="7" t="inlineStr">
        <is>
          <t>imffossilfuelsubsidiesdata.xlsb</t>
        </is>
      </c>
    </row>
    <row r="561">
      <c r="A561" s="7" t="inlineStr">
        <is>
          <t>COD</t>
        </is>
      </c>
      <c r="B561" s="7" t="inlineStr">
        <is>
          <t>Congo, Dem. Rep.</t>
        </is>
      </c>
      <c r="C561" s="7" t="inlineStr">
        <is>
          <t>Sub-Saharan Africa</t>
        </is>
      </c>
      <c r="D561" s="7" t="inlineStr">
        <is>
          <t>Low income</t>
        </is>
      </c>
      <c r="E561" s="7" t="b">
        <v>1</v>
      </c>
      <c r="F561" s="7" t="inlineStr">
        <is>
          <t>price_gas_power_usd_gj</t>
        </is>
      </c>
      <c r="G561" s="7" t="n">
        <v>6.191</v>
      </c>
      <c r="H561" s="7" t="inlineStr">
        <is>
          <t>2024</t>
        </is>
      </c>
      <c r="I561" s="7" t="inlineStr">
        <is>
          <t>imffossilfuelsubsidiesdata.xlsb</t>
        </is>
      </c>
    </row>
    <row r="562">
      <c r="A562" s="7" t="inlineStr">
        <is>
          <t>COD</t>
        </is>
      </c>
      <c r="B562" s="7" t="inlineStr">
        <is>
          <t>Congo, Dem. Rep.</t>
        </is>
      </c>
      <c r="C562" s="7" t="inlineStr">
        <is>
          <t>Sub-Saharan Africa</t>
        </is>
      </c>
      <c r="D562" s="7" t="inlineStr">
        <is>
          <t>Low income</t>
        </is>
      </c>
      <c r="E562" s="7" t="b">
        <v>1</v>
      </c>
      <c r="F562" s="7" t="inlineStr">
        <is>
          <t>rise_renewable_energy_score</t>
        </is>
      </c>
      <c r="G562" s="7" t="n">
        <v>16.394</v>
      </c>
      <c r="H562" s="7" t="inlineStr">
        <is>
          <t>2023</t>
        </is>
      </c>
      <c r="I562" s="7" t="inlineStr">
        <is>
          <t>WB_RISE_WIDEF.csv</t>
        </is>
      </c>
    </row>
    <row r="563">
      <c r="A563" s="7" t="inlineStr">
        <is>
          <t>COG</t>
        </is>
      </c>
      <c r="B563" s="7" t="inlineStr">
        <is>
          <t>Congo, Rep.</t>
        </is>
      </c>
      <c r="C563" s="7" t="inlineStr">
        <is>
          <t>Sub-Saharan Africa</t>
        </is>
      </c>
      <c r="D563" s="7" t="inlineStr">
        <is>
          <t>Lower middle income</t>
        </is>
      </c>
      <c r="E563" s="7" t="b">
        <v>1</v>
      </c>
      <c r="F563" s="7" t="inlineStr">
        <is>
          <t>coal_rents_pct_gdp</t>
        </is>
      </c>
      <c r="G563" s="7" t="n">
        <v>0</v>
      </c>
      <c r="H563" s="7" t="inlineStr">
        <is>
          <t>2021</t>
        </is>
      </c>
      <c r="I563" s="7" t="inlineStr">
        <is>
          <t>API_NY_GDP_COAL_RT_ZS_DS2_en_csv_v2_35370.zip</t>
        </is>
      </c>
    </row>
    <row r="564">
      <c r="A564" s="7" t="inlineStr">
        <is>
          <t>COG</t>
        </is>
      </c>
      <c r="B564" s="7" t="inlineStr">
        <is>
          <t>Congo, Rep.</t>
        </is>
      </c>
      <c r="C564" s="7" t="inlineStr">
        <is>
          <t>Sub-Saharan Africa</t>
        </is>
      </c>
      <c r="D564" s="7" t="inlineStr">
        <is>
          <t>Lower middle income</t>
        </is>
      </c>
      <c r="E564" s="7" t="b">
        <v>1</v>
      </c>
      <c r="F564" s="7" t="inlineStr">
        <is>
          <t>em_coal_mt</t>
        </is>
      </c>
      <c r="G564" s="7" t="n">
        <v>0</v>
      </c>
      <c r="H564" s="7" t="n">
        <v>2024</v>
      </c>
      <c r="I564" s="7" t="inlineStr">
        <is>
          <t>release_generation_yearly_global.csv (Ember)</t>
        </is>
      </c>
    </row>
    <row r="565">
      <c r="A565" s="7" t="inlineStr">
        <is>
          <t>COG</t>
        </is>
      </c>
      <c r="B565" s="7" t="inlineStr">
        <is>
          <t>Congo, Rep.</t>
        </is>
      </c>
      <c r="C565" s="7" t="inlineStr">
        <is>
          <t>Sub-Saharan Africa</t>
        </is>
      </c>
      <c r="D565" s="7" t="inlineStr">
        <is>
          <t>Lower middle income</t>
        </is>
      </c>
      <c r="E565" s="7" t="b">
        <v>1</v>
      </c>
      <c r="F565" s="7" t="inlineStr">
        <is>
          <t>em_gas_mt</t>
        </is>
      </c>
      <c r="G565" s="7" t="n">
        <v>3.683</v>
      </c>
      <c r="H565" s="7" t="n">
        <v>2024</v>
      </c>
      <c r="I565" s="7" t="inlineStr">
        <is>
          <t>release_generation_yearly_global.csv (Ember)</t>
        </is>
      </c>
    </row>
    <row r="566">
      <c r="A566" s="7" t="inlineStr">
        <is>
          <t>COG</t>
        </is>
      </c>
      <c r="B566" s="7" t="inlineStr">
        <is>
          <t>Congo, Rep.</t>
        </is>
      </c>
      <c r="C566" s="7" t="inlineStr">
        <is>
          <t>Sub-Saharan Africa</t>
        </is>
      </c>
      <c r="D566" s="7" t="inlineStr">
        <is>
          <t>Lower middle income</t>
        </is>
      </c>
      <c r="E566" s="7" t="b">
        <v>1</v>
      </c>
      <c r="F566" s="7" t="inlineStr">
        <is>
          <t>em_oil_mt</t>
        </is>
      </c>
      <c r="G566" s="7" t="n">
        <v>0.191</v>
      </c>
      <c r="H566" s="7" t="n">
        <v>2024</v>
      </c>
      <c r="I566" s="7" t="inlineStr">
        <is>
          <t>release_generation_yearly_global.csv (Ember)</t>
        </is>
      </c>
    </row>
    <row r="567">
      <c r="A567" s="7" t="inlineStr">
        <is>
          <t>COG</t>
        </is>
      </c>
      <c r="B567" s="7" t="inlineStr">
        <is>
          <t>Congo, Rep.</t>
        </is>
      </c>
      <c r="C567" s="7" t="inlineStr">
        <is>
          <t>Sub-Saharan Africa</t>
        </is>
      </c>
      <c r="D567" s="7" t="inlineStr">
        <is>
          <t>Lower middle income</t>
        </is>
      </c>
      <c r="E567" s="7" t="b">
        <v>1</v>
      </c>
      <c r="F567" s="7" t="inlineStr">
        <is>
          <t>ff_subsidy_explicit_pct_gdp</t>
        </is>
      </c>
      <c r="G567" s="7" t="n">
        <v>0.9320000000000001</v>
      </c>
      <c r="H567" s="7" t="inlineStr">
        <is>
          <t>2024</t>
        </is>
      </c>
      <c r="I567" s="7" t="inlineStr">
        <is>
          <t>imffossilfuelsubsidiesdata.xlsb</t>
        </is>
      </c>
    </row>
    <row r="568">
      <c r="A568" s="7" t="inlineStr">
        <is>
          <t>COG</t>
        </is>
      </c>
      <c r="B568" s="7" t="inlineStr">
        <is>
          <t>Congo, Rep.</t>
        </is>
      </c>
      <c r="C568" s="7" t="inlineStr">
        <is>
          <t>Sub-Saharan Africa</t>
        </is>
      </c>
      <c r="D568" s="7" t="inlineStr">
        <is>
          <t>Lower middle income</t>
        </is>
      </c>
      <c r="E568" s="7" t="b">
        <v>1</v>
      </c>
      <c r="F568" s="7" t="inlineStr">
        <is>
          <t>fuel_exports_pct_merch</t>
        </is>
      </c>
      <c r="G568" s="7" t="n">
        <v>85.863</v>
      </c>
      <c r="H568" s="7" t="inlineStr">
        <is>
          <t>2023</t>
        </is>
      </c>
      <c r="I568" s="7" t="inlineStr">
        <is>
          <t>API_TX_VAL_FUEL_ZS_UN_DS2_en_csv_v2_33055.zip</t>
        </is>
      </c>
    </row>
    <row r="569">
      <c r="A569" s="7" t="inlineStr">
        <is>
          <t>COG</t>
        </is>
      </c>
      <c r="B569" s="7" t="inlineStr">
        <is>
          <t>Congo, Rep.</t>
        </is>
      </c>
      <c r="C569" s="7" t="inlineStr">
        <is>
          <t>Sub-Saharan Africa</t>
        </is>
      </c>
      <c r="D569" s="7" t="inlineStr">
        <is>
          <t>Lower middle income</t>
        </is>
      </c>
      <c r="E569" s="7" t="b">
        <v>1</v>
      </c>
      <c r="F569" s="7" t="inlineStr">
        <is>
          <t>gen_coal_twh</t>
        </is>
      </c>
      <c r="G569" s="7" t="n">
        <v>0</v>
      </c>
      <c r="H569" s="7" t="n">
        <v>2024</v>
      </c>
      <c r="I569" s="7" t="inlineStr">
        <is>
          <t>release_generation_yearly_global.csv (Ember)</t>
        </is>
      </c>
    </row>
    <row r="570">
      <c r="A570" s="7" t="inlineStr">
        <is>
          <t>COG</t>
        </is>
      </c>
      <c r="B570" s="7" t="inlineStr">
        <is>
          <t>Congo, Rep.</t>
        </is>
      </c>
      <c r="C570" s="7" t="inlineStr">
        <is>
          <t>Sub-Saharan Africa</t>
        </is>
      </c>
      <c r="D570" s="7" t="inlineStr">
        <is>
          <t>Lower middle income</t>
        </is>
      </c>
      <c r="E570" s="7" t="b">
        <v>1</v>
      </c>
      <c r="F570" s="7" t="inlineStr">
        <is>
          <t>gen_gas_twh</t>
        </is>
      </c>
      <c r="G570" s="7" t="n">
        <v>4.03</v>
      </c>
      <c r="H570" s="7" t="n">
        <v>2024</v>
      </c>
      <c r="I570" s="7" t="inlineStr">
        <is>
          <t>release_generation_yearly_global.csv (Ember)</t>
        </is>
      </c>
    </row>
    <row r="571">
      <c r="A571" s="7" t="inlineStr">
        <is>
          <t>COG</t>
        </is>
      </c>
      <c r="B571" s="7" t="inlineStr">
        <is>
          <t>Congo, Rep.</t>
        </is>
      </c>
      <c r="C571" s="7" t="inlineStr">
        <is>
          <t>Sub-Saharan Africa</t>
        </is>
      </c>
      <c r="D571" s="7" t="inlineStr">
        <is>
          <t>Lower middle income</t>
        </is>
      </c>
      <c r="E571" s="7" t="b">
        <v>1</v>
      </c>
      <c r="F571" s="7" t="inlineStr">
        <is>
          <t>gen_oil_twh</t>
        </is>
      </c>
      <c r="G571" s="7" t="n">
        <v>0.29</v>
      </c>
      <c r="H571" s="7" t="n">
        <v>2024</v>
      </c>
      <c r="I571" s="7" t="inlineStr">
        <is>
          <t>release_generation_yearly_global.csv (Ember)</t>
        </is>
      </c>
    </row>
    <row r="572">
      <c r="A572" s="7" t="inlineStr">
        <is>
          <t>COG</t>
        </is>
      </c>
      <c r="B572" s="7" t="inlineStr">
        <is>
          <t>Congo, Rep.</t>
        </is>
      </c>
      <c r="C572" s="7" t="inlineStr">
        <is>
          <t>Sub-Saharan Africa</t>
        </is>
      </c>
      <c r="D572" s="7" t="inlineStr">
        <is>
          <t>Lower middle income</t>
        </is>
      </c>
      <c r="E572" s="7" t="b">
        <v>1</v>
      </c>
      <c r="F572" s="7" t="inlineStr">
        <is>
          <t>gen_total_twh</t>
        </is>
      </c>
      <c r="G572" s="7" t="n">
        <v>5.46</v>
      </c>
      <c r="H572" s="7" t="n">
        <v>2024</v>
      </c>
      <c r="I572" s="7" t="inlineStr">
        <is>
          <t>release_generation_yearly_global.csv (Ember)</t>
        </is>
      </c>
    </row>
    <row r="573">
      <c r="A573" s="7" t="inlineStr">
        <is>
          <t>COG</t>
        </is>
      </c>
      <c r="B573" s="7" t="inlineStr">
        <is>
          <t>Congo, Rep.</t>
        </is>
      </c>
      <c r="C573" s="7" t="inlineStr">
        <is>
          <t>Sub-Saharan Africa</t>
        </is>
      </c>
      <c r="D573" s="7" t="inlineStr">
        <is>
          <t>Lower middle income</t>
        </is>
      </c>
      <c r="E573" s="7" t="b">
        <v>1</v>
      </c>
      <c r="F573" s="7" t="inlineStr">
        <is>
          <t>power_market_structure</t>
        </is>
      </c>
      <c r="G573" s="7" t="n">
        <v>1</v>
      </c>
      <c r="H573" s="7" t="inlineStr">
        <is>
          <t>2012</t>
        </is>
      </c>
      <c r="I573" s="7" t="inlineStr">
        <is>
          <t>dataverse_files.zip</t>
        </is>
      </c>
    </row>
    <row r="574">
      <c r="A574" s="7" t="inlineStr">
        <is>
          <t>COG</t>
        </is>
      </c>
      <c r="B574" s="7" t="inlineStr">
        <is>
          <t>Congo, Rep.</t>
        </is>
      </c>
      <c r="C574" s="7" t="inlineStr">
        <is>
          <t>Sub-Saharan Africa</t>
        </is>
      </c>
      <c r="D574" s="7" t="inlineStr">
        <is>
          <t>Lower middle income</t>
        </is>
      </c>
      <c r="E574" s="7" t="b">
        <v>1</v>
      </c>
      <c r="F574" s="7" t="inlineStr">
        <is>
          <t>price_coal_power_usd_gj</t>
        </is>
      </c>
      <c r="G574" s="7" t="n">
        <v>5.575</v>
      </c>
      <c r="H574" s="7" t="inlineStr">
        <is>
          <t>2024</t>
        </is>
      </c>
      <c r="I574" s="7" t="inlineStr">
        <is>
          <t>imffossilfuelsubsidiesdata.xlsb</t>
        </is>
      </c>
    </row>
    <row r="575">
      <c r="A575" s="7" t="inlineStr">
        <is>
          <t>COG</t>
        </is>
      </c>
      <c r="B575" s="7" t="inlineStr">
        <is>
          <t>Congo, Rep.</t>
        </is>
      </c>
      <c r="C575" s="7" t="inlineStr">
        <is>
          <t>Sub-Saharan Africa</t>
        </is>
      </c>
      <c r="D575" s="7" t="inlineStr">
        <is>
          <t>Lower middle income</t>
        </is>
      </c>
      <c r="E575" s="7" t="b">
        <v>1</v>
      </c>
      <c r="F575" s="7" t="inlineStr">
        <is>
          <t>price_electricity_residential_usd_kwh</t>
        </is>
      </c>
      <c r="G575" s="7" t="n">
        <v>0.128</v>
      </c>
      <c r="H575" s="7" t="inlineStr">
        <is>
          <t>2024</t>
        </is>
      </c>
      <c r="I575" s="7" t="inlineStr">
        <is>
          <t>imffossilfuelsubsidiesdata.xlsb</t>
        </is>
      </c>
    </row>
    <row r="576">
      <c r="A576" s="7" t="inlineStr">
        <is>
          <t>COG</t>
        </is>
      </c>
      <c r="B576" s="7" t="inlineStr">
        <is>
          <t>Congo, Rep.</t>
        </is>
      </c>
      <c r="C576" s="7" t="inlineStr">
        <is>
          <t>Sub-Saharan Africa</t>
        </is>
      </c>
      <c r="D576" s="7" t="inlineStr">
        <is>
          <t>Lower middle income</t>
        </is>
      </c>
      <c r="E576" s="7" t="b">
        <v>1</v>
      </c>
      <c r="F576" s="7" t="inlineStr">
        <is>
          <t>price_gas_industry_usd_gj</t>
        </is>
      </c>
      <c r="G576" s="7" t="n">
        <v>8.036</v>
      </c>
      <c r="H576" s="7" t="inlineStr">
        <is>
          <t>2024</t>
        </is>
      </c>
      <c r="I576" s="7" t="inlineStr">
        <is>
          <t>imffossilfuelsubsidiesdata.xlsb</t>
        </is>
      </c>
    </row>
    <row r="577">
      <c r="A577" s="7" t="inlineStr">
        <is>
          <t>COG</t>
        </is>
      </c>
      <c r="B577" s="7" t="inlineStr">
        <is>
          <t>Congo, Rep.</t>
        </is>
      </c>
      <c r="C577" s="7" t="inlineStr">
        <is>
          <t>Sub-Saharan Africa</t>
        </is>
      </c>
      <c r="D577" s="7" t="inlineStr">
        <is>
          <t>Lower middle income</t>
        </is>
      </c>
      <c r="E577" s="7" t="b">
        <v>1</v>
      </c>
      <c r="F577" s="7" t="inlineStr">
        <is>
          <t>price_gas_power_usd_gj</t>
        </is>
      </c>
      <c r="G577" s="7" t="n">
        <v>7.374</v>
      </c>
      <c r="H577" s="7" t="inlineStr">
        <is>
          <t>2024</t>
        </is>
      </c>
      <c r="I577" s="7" t="inlineStr">
        <is>
          <t>imffossilfuelsubsidiesdata.xlsb</t>
        </is>
      </c>
    </row>
    <row r="578">
      <c r="A578" s="7" t="inlineStr">
        <is>
          <t>COG</t>
        </is>
      </c>
      <c r="B578" s="7" t="inlineStr">
        <is>
          <t>Congo, Rep.</t>
        </is>
      </c>
      <c r="C578" s="7" t="inlineStr">
        <is>
          <t>Sub-Saharan Africa</t>
        </is>
      </c>
      <c r="D578" s="7" t="inlineStr">
        <is>
          <t>Lower middle income</t>
        </is>
      </c>
      <c r="E578" s="7" t="b">
        <v>1</v>
      </c>
      <c r="F578" s="7" t="inlineStr">
        <is>
          <t>rise_renewable_energy_score</t>
        </is>
      </c>
      <c r="G578" s="7" t="n">
        <v>3.056</v>
      </c>
      <c r="H578" s="7" t="inlineStr">
        <is>
          <t>2023</t>
        </is>
      </c>
      <c r="I578" s="7" t="inlineStr">
        <is>
          <t>WB_RISE_WIDEF.csv</t>
        </is>
      </c>
    </row>
    <row r="579">
      <c r="A579" s="7" t="inlineStr">
        <is>
          <t>COL</t>
        </is>
      </c>
      <c r="B579" s="7" t="inlineStr">
        <is>
          <t>Colombia</t>
        </is>
      </c>
      <c r="C579" s="7" t="inlineStr">
        <is>
          <t>Latin America &amp; Caribbean</t>
        </is>
      </c>
      <c r="D579" s="7" t="inlineStr">
        <is>
          <t>Upper middle income</t>
        </is>
      </c>
      <c r="E579" s="7" t="b">
        <v>1</v>
      </c>
      <c r="F579" s="7" t="inlineStr">
        <is>
          <t>coal_rents_pct_gdp</t>
        </is>
      </c>
      <c r="G579" s="7" t="n">
        <v>0.726</v>
      </c>
      <c r="H579" s="7" t="inlineStr">
        <is>
          <t>2021</t>
        </is>
      </c>
      <c r="I579" s="7" t="inlineStr">
        <is>
          <t>API_NY_GDP_COAL_RT_ZS_DS2_en_csv_v2_35370.zip</t>
        </is>
      </c>
    </row>
    <row r="580">
      <c r="A580" s="7" t="inlineStr">
        <is>
          <t>COL</t>
        </is>
      </c>
      <c r="B580" s="7" t="inlineStr">
        <is>
          <t>Colombia</t>
        </is>
      </c>
      <c r="C580" s="7" t="inlineStr">
        <is>
          <t>Latin America &amp; Caribbean</t>
        </is>
      </c>
      <c r="D580" s="7" t="inlineStr">
        <is>
          <t>Upper middle income</t>
        </is>
      </c>
      <c r="E580" s="7" t="b">
        <v>1</v>
      </c>
      <c r="F580" s="7" t="inlineStr">
        <is>
          <t>em_coal_mt</t>
        </is>
      </c>
      <c r="G580" s="7" t="n">
        <v>9.81</v>
      </c>
      <c r="H580" s="7" t="n">
        <v>2024</v>
      </c>
      <c r="I580" s="7" t="inlineStr">
        <is>
          <t>release_generation_yearly_global.csv (Ember)</t>
        </is>
      </c>
    </row>
    <row r="581">
      <c r="A581" s="7" t="inlineStr">
        <is>
          <t>COL</t>
        </is>
      </c>
      <c r="B581" s="7" t="inlineStr">
        <is>
          <t>Colombia</t>
        </is>
      </c>
      <c r="C581" s="7" t="inlineStr">
        <is>
          <t>Latin America &amp; Caribbean</t>
        </is>
      </c>
      <c r="D581" s="7" t="inlineStr">
        <is>
          <t>Upper middle income</t>
        </is>
      </c>
      <c r="E581" s="7" t="b">
        <v>1</v>
      </c>
      <c r="F581" s="7" t="inlineStr">
        <is>
          <t>em_gas_mt</t>
        </is>
      </c>
      <c r="G581" s="7" t="n">
        <v>12.701</v>
      </c>
      <c r="H581" s="7" t="n">
        <v>2024</v>
      </c>
      <c r="I581" s="7" t="inlineStr">
        <is>
          <t>release_generation_yearly_global.csv (Ember)</t>
        </is>
      </c>
    </row>
    <row r="582">
      <c r="A582" s="7" t="inlineStr">
        <is>
          <t>COL</t>
        </is>
      </c>
      <c r="B582" s="7" t="inlineStr">
        <is>
          <t>Colombia</t>
        </is>
      </c>
      <c r="C582" s="7" t="inlineStr">
        <is>
          <t>Latin America &amp; Caribbean</t>
        </is>
      </c>
      <c r="D582" s="7" t="inlineStr">
        <is>
          <t>Upper middle income</t>
        </is>
      </c>
      <c r="E582" s="7" t="b">
        <v>1</v>
      </c>
      <c r="F582" s="7" t="inlineStr">
        <is>
          <t>em_oil_mt</t>
        </is>
      </c>
      <c r="G582" s="7" t="n">
        <v>2.277</v>
      </c>
      <c r="H582" s="7" t="n">
        <v>2024</v>
      </c>
      <c r="I582" s="7" t="inlineStr">
        <is>
          <t>release_generation_yearly_global.csv (Ember)</t>
        </is>
      </c>
    </row>
    <row r="583">
      <c r="A583" s="7" t="inlineStr">
        <is>
          <t>COL</t>
        </is>
      </c>
      <c r="B583" s="7" t="inlineStr">
        <is>
          <t>Colombia</t>
        </is>
      </c>
      <c r="C583" s="7" t="inlineStr">
        <is>
          <t>Latin America &amp; Caribbean</t>
        </is>
      </c>
      <c r="D583" s="7" t="inlineStr">
        <is>
          <t>Upper middle income</t>
        </is>
      </c>
      <c r="E583" s="7" t="b">
        <v>1</v>
      </c>
      <c r="F583" s="7" t="inlineStr">
        <is>
          <t>ff_subsidy_explicit_pct_gdp</t>
        </is>
      </c>
      <c r="G583" s="7" t="n">
        <v>0.438</v>
      </c>
      <c r="H583" s="7" t="inlineStr">
        <is>
          <t>2024</t>
        </is>
      </c>
      <c r="I583" s="7" t="inlineStr">
        <is>
          <t>imffossilfuelsubsidiesdata.xlsb</t>
        </is>
      </c>
    </row>
    <row r="584">
      <c r="A584" s="7" t="inlineStr">
        <is>
          <t>COL</t>
        </is>
      </c>
      <c r="B584" s="7" t="inlineStr">
        <is>
          <t>Colombia</t>
        </is>
      </c>
      <c r="C584" s="7" t="inlineStr">
        <is>
          <t>Latin America &amp; Caribbean</t>
        </is>
      </c>
      <c r="D584" s="7" t="inlineStr">
        <is>
          <t>Upper middle income</t>
        </is>
      </c>
      <c r="E584" s="7" t="b">
        <v>1</v>
      </c>
      <c r="F584" s="7" t="inlineStr">
        <is>
          <t>fuel_exports_pct_merch</t>
        </is>
      </c>
      <c r="G584" s="7" t="n">
        <v>45.304</v>
      </c>
      <c r="H584" s="7" t="inlineStr">
        <is>
          <t>2024</t>
        </is>
      </c>
      <c r="I584" s="7" t="inlineStr">
        <is>
          <t>API_TX_VAL_FUEL_ZS_UN_DS2_en_csv_v2_33055.zip</t>
        </is>
      </c>
    </row>
    <row r="585">
      <c r="A585" s="7" t="inlineStr">
        <is>
          <t>COL</t>
        </is>
      </c>
      <c r="B585" s="7" t="inlineStr">
        <is>
          <t>Colombia</t>
        </is>
      </c>
      <c r="C585" s="7" t="inlineStr">
        <is>
          <t>Latin America &amp; Caribbean</t>
        </is>
      </c>
      <c r="D585" s="7" t="inlineStr">
        <is>
          <t>Upper middle income</t>
        </is>
      </c>
      <c r="E585" s="7" t="b">
        <v>1</v>
      </c>
      <c r="F585" s="7" t="inlineStr">
        <is>
          <t>gen_coal_twh</t>
        </is>
      </c>
      <c r="G585" s="7" t="n">
        <v>11.21</v>
      </c>
      <c r="H585" s="7" t="n">
        <v>2024</v>
      </c>
      <c r="I585" s="7" t="inlineStr">
        <is>
          <t>release_generation_yearly_global.csv (Ember)</t>
        </is>
      </c>
    </row>
    <row r="586">
      <c r="A586" s="7" t="inlineStr">
        <is>
          <t>COL</t>
        </is>
      </c>
      <c r="B586" s="7" t="inlineStr">
        <is>
          <t>Colombia</t>
        </is>
      </c>
      <c r="C586" s="7" t="inlineStr">
        <is>
          <t>Latin America &amp; Caribbean</t>
        </is>
      </c>
      <c r="D586" s="7" t="inlineStr">
        <is>
          <t>Upper middle income</t>
        </is>
      </c>
      <c r="E586" s="7" t="b">
        <v>1</v>
      </c>
      <c r="F586" s="7" t="inlineStr">
        <is>
          <t>gen_gas_twh</t>
        </is>
      </c>
      <c r="G586" s="7" t="n">
        <v>19.79</v>
      </c>
      <c r="H586" s="7" t="n">
        <v>2024</v>
      </c>
      <c r="I586" s="7" t="inlineStr">
        <is>
          <t>release_generation_yearly_global.csv (Ember)</t>
        </is>
      </c>
    </row>
    <row r="587">
      <c r="A587" s="7" t="inlineStr">
        <is>
          <t>COL</t>
        </is>
      </c>
      <c r="B587" s="7" t="inlineStr">
        <is>
          <t>Colombia</t>
        </is>
      </c>
      <c r="C587" s="7" t="inlineStr">
        <is>
          <t>Latin America &amp; Caribbean</t>
        </is>
      </c>
      <c r="D587" s="7" t="inlineStr">
        <is>
          <t>Upper middle income</t>
        </is>
      </c>
      <c r="E587" s="7" t="b">
        <v>1</v>
      </c>
      <c r="F587" s="7" t="inlineStr">
        <is>
          <t>gen_oil_twh</t>
        </is>
      </c>
      <c r="G587" s="7" t="n">
        <v>3.46</v>
      </c>
      <c r="H587" s="7" t="n">
        <v>2024</v>
      </c>
      <c r="I587" s="7" t="inlineStr">
        <is>
          <t>release_generation_yearly_global.csv (Ember)</t>
        </is>
      </c>
    </row>
    <row r="588">
      <c r="A588" s="7" t="inlineStr">
        <is>
          <t>COL</t>
        </is>
      </c>
      <c r="B588" s="7" t="inlineStr">
        <is>
          <t>Colombia</t>
        </is>
      </c>
      <c r="C588" s="7" t="inlineStr">
        <is>
          <t>Latin America &amp; Caribbean</t>
        </is>
      </c>
      <c r="D588" s="7" t="inlineStr">
        <is>
          <t>Upper middle income</t>
        </is>
      </c>
      <c r="E588" s="7" t="b">
        <v>1</v>
      </c>
      <c r="F588" s="7" t="inlineStr">
        <is>
          <t>gen_total_twh</t>
        </is>
      </c>
      <c r="G588" s="7" t="n">
        <v>89.14</v>
      </c>
      <c r="H588" s="7" t="n">
        <v>2024</v>
      </c>
      <c r="I588" s="7" t="inlineStr">
        <is>
          <t>release_generation_yearly_global.csv (Ember)</t>
        </is>
      </c>
    </row>
    <row r="589">
      <c r="A589" s="7" t="inlineStr">
        <is>
          <t>COL</t>
        </is>
      </c>
      <c r="B589" s="7" t="inlineStr">
        <is>
          <t>Colombia</t>
        </is>
      </c>
      <c r="C589" s="7" t="inlineStr">
        <is>
          <t>Latin America &amp; Caribbean</t>
        </is>
      </c>
      <c r="D589" s="7" t="inlineStr">
        <is>
          <t>Upper middle income</t>
        </is>
      </c>
      <c r="E589" s="7" t="b">
        <v>1</v>
      </c>
      <c r="F589" s="7" t="inlineStr">
        <is>
          <t>power_market_structure</t>
        </is>
      </c>
      <c r="G589" s="7" t="n">
        <v>3</v>
      </c>
      <c r="H589" s="7" t="inlineStr">
        <is>
          <t>2013</t>
        </is>
      </c>
      <c r="I589" s="7" t="inlineStr">
        <is>
          <t>dataverse_files.zip</t>
        </is>
      </c>
    </row>
    <row r="590">
      <c r="A590" s="7" t="inlineStr">
        <is>
          <t>COL</t>
        </is>
      </c>
      <c r="B590" s="7" t="inlineStr">
        <is>
          <t>Colombia</t>
        </is>
      </c>
      <c r="C590" s="7" t="inlineStr">
        <is>
          <t>Latin America &amp; Caribbean</t>
        </is>
      </c>
      <c r="D590" s="7" t="inlineStr">
        <is>
          <t>Upper middle income</t>
        </is>
      </c>
      <c r="E590" s="7" t="b">
        <v>1</v>
      </c>
      <c r="F590" s="7" t="inlineStr">
        <is>
          <t>price_coal_power_usd_gj</t>
        </is>
      </c>
      <c r="G590" s="7" t="n">
        <v>2.325</v>
      </c>
      <c r="H590" s="7" t="inlineStr">
        <is>
          <t>2024</t>
        </is>
      </c>
      <c r="I590" s="7" t="inlineStr">
        <is>
          <t>imffossilfuelsubsidiesdata.xlsb</t>
        </is>
      </c>
    </row>
    <row r="591">
      <c r="A591" s="7" t="inlineStr">
        <is>
          <t>COL</t>
        </is>
      </c>
      <c r="B591" s="7" t="inlineStr">
        <is>
          <t>Colombia</t>
        </is>
      </c>
      <c r="C591" s="7" t="inlineStr">
        <is>
          <t>Latin America &amp; Caribbean</t>
        </is>
      </c>
      <c r="D591" s="7" t="inlineStr">
        <is>
          <t>Upper middle income</t>
        </is>
      </c>
      <c r="E591" s="7" t="b">
        <v>1</v>
      </c>
      <c r="F591" s="7" t="inlineStr">
        <is>
          <t>price_electricity_residential_usd_kwh</t>
        </is>
      </c>
      <c r="G591" s="7" t="n">
        <v>0.221</v>
      </c>
      <c r="H591" s="7" t="inlineStr">
        <is>
          <t>2024</t>
        </is>
      </c>
      <c r="I591" s="7" t="inlineStr">
        <is>
          <t>imffossilfuelsubsidiesdata.xlsb</t>
        </is>
      </c>
    </row>
    <row r="592">
      <c r="A592" s="7" t="inlineStr">
        <is>
          <t>COL</t>
        </is>
      </c>
      <c r="B592" s="7" t="inlineStr">
        <is>
          <t>Colombia</t>
        </is>
      </c>
      <c r="C592" s="7" t="inlineStr">
        <is>
          <t>Latin America &amp; Caribbean</t>
        </is>
      </c>
      <c r="D592" s="7" t="inlineStr">
        <is>
          <t>Upper middle income</t>
        </is>
      </c>
      <c r="E592" s="7" t="b">
        <v>1</v>
      </c>
      <c r="F592" s="7" t="inlineStr">
        <is>
          <t>price_gas_industry_usd_gj</t>
        </is>
      </c>
      <c r="G592" s="7" t="n">
        <v>14.245</v>
      </c>
      <c r="H592" s="7" t="inlineStr">
        <is>
          <t>2024</t>
        </is>
      </c>
      <c r="I592" s="7" t="inlineStr">
        <is>
          <t>imffossilfuelsubsidiesdata.xlsb</t>
        </is>
      </c>
    </row>
    <row r="593">
      <c r="A593" s="7" t="inlineStr">
        <is>
          <t>COL</t>
        </is>
      </c>
      <c r="B593" s="7" t="inlineStr">
        <is>
          <t>Colombia</t>
        </is>
      </c>
      <c r="C593" s="7" t="inlineStr">
        <is>
          <t>Latin America &amp; Caribbean</t>
        </is>
      </c>
      <c r="D593" s="7" t="inlineStr">
        <is>
          <t>Upper middle income</t>
        </is>
      </c>
      <c r="E593" s="7" t="b">
        <v>1</v>
      </c>
      <c r="F593" s="7" t="inlineStr">
        <is>
          <t>price_gas_power_usd_gj</t>
        </is>
      </c>
      <c r="G593" s="7" t="n">
        <v>14.245</v>
      </c>
      <c r="H593" s="7" t="inlineStr">
        <is>
          <t>2024</t>
        </is>
      </c>
      <c r="I593" s="7" t="inlineStr">
        <is>
          <t>imffossilfuelsubsidiesdata.xlsb</t>
        </is>
      </c>
    </row>
    <row r="594">
      <c r="A594" s="7" t="inlineStr">
        <is>
          <t>COL</t>
        </is>
      </c>
      <c r="B594" s="7" t="inlineStr">
        <is>
          <t>Colombia</t>
        </is>
      </c>
      <c r="C594" s="7" t="inlineStr">
        <is>
          <t>Latin America &amp; Caribbean</t>
        </is>
      </c>
      <c r="D594" s="7" t="inlineStr">
        <is>
          <t>Upper middle income</t>
        </is>
      </c>
      <c r="E594" s="7" t="b">
        <v>1</v>
      </c>
      <c r="F594" s="7" t="inlineStr">
        <is>
          <t>rise_renewable_energy_score</t>
        </is>
      </c>
      <c r="G594" s="7" t="n">
        <v>48.923</v>
      </c>
      <c r="H594" s="7" t="inlineStr">
        <is>
          <t>2023</t>
        </is>
      </c>
      <c r="I594" s="7" t="inlineStr">
        <is>
          <t>WB_RISE_WIDEF.csv</t>
        </is>
      </c>
    </row>
    <row r="595">
      <c r="A595" s="7" t="inlineStr">
        <is>
          <t>COM</t>
        </is>
      </c>
      <c r="B595" s="7" t="inlineStr">
        <is>
          <t>Comoros</t>
        </is>
      </c>
      <c r="C595" s="7" t="inlineStr">
        <is>
          <t>Sub-Saharan Africa</t>
        </is>
      </c>
      <c r="D595" s="7" t="inlineStr">
        <is>
          <t>Lower middle income</t>
        </is>
      </c>
      <c r="E595" s="7" t="b">
        <v>1</v>
      </c>
      <c r="F595" s="7" t="inlineStr">
        <is>
          <t>coal_rents_pct_gdp</t>
        </is>
      </c>
      <c r="G595" s="7" t="n">
        <v>0</v>
      </c>
      <c r="H595" s="7" t="inlineStr">
        <is>
          <t>2021</t>
        </is>
      </c>
      <c r="I595" s="7" t="inlineStr">
        <is>
          <t>API_NY_GDP_COAL_RT_ZS_DS2_en_csv_v2_35370.zip</t>
        </is>
      </c>
    </row>
    <row r="596">
      <c r="A596" s="7" t="inlineStr">
        <is>
          <t>COM</t>
        </is>
      </c>
      <c r="B596" s="7" t="inlineStr">
        <is>
          <t>Comoros</t>
        </is>
      </c>
      <c r="C596" s="7" t="inlineStr">
        <is>
          <t>Sub-Saharan Africa</t>
        </is>
      </c>
      <c r="D596" s="7" t="inlineStr">
        <is>
          <t>Lower middle income</t>
        </is>
      </c>
      <c r="E596" s="7" t="b">
        <v>1</v>
      </c>
      <c r="F596" s="7" t="inlineStr">
        <is>
          <t>ff_subsidy_explicit_pct_gdp</t>
        </is>
      </c>
      <c r="G596" s="7" t="n">
        <v>0</v>
      </c>
      <c r="H596" s="7" t="inlineStr">
        <is>
          <t>2024</t>
        </is>
      </c>
      <c r="I596" s="7" t="inlineStr">
        <is>
          <t>imffossilfuelsubsidiesdata.xlsb</t>
        </is>
      </c>
    </row>
    <row r="597">
      <c r="A597" s="7" t="inlineStr">
        <is>
          <t>COM</t>
        </is>
      </c>
      <c r="B597" s="7" t="inlineStr">
        <is>
          <t>Comoros</t>
        </is>
      </c>
      <c r="C597" s="7" t="inlineStr">
        <is>
          <t>Sub-Saharan Africa</t>
        </is>
      </c>
      <c r="D597" s="7" t="inlineStr">
        <is>
          <t>Lower middle income</t>
        </is>
      </c>
      <c r="E597" s="7" t="b">
        <v>1</v>
      </c>
      <c r="F597" s="7" t="inlineStr">
        <is>
          <t>fuel_exports_pct_merch</t>
        </is>
      </c>
      <c r="G597" s="7" t="n">
        <v>0.005</v>
      </c>
      <c r="H597" s="7" t="inlineStr">
        <is>
          <t>2023</t>
        </is>
      </c>
      <c r="I597" s="7" t="inlineStr">
        <is>
          <t>API_TX_VAL_FUEL_ZS_UN_DS2_en_csv_v2_33055.zip</t>
        </is>
      </c>
    </row>
    <row r="598">
      <c r="A598" s="7" t="inlineStr">
        <is>
          <t>COM</t>
        </is>
      </c>
      <c r="B598" s="7" t="inlineStr">
        <is>
          <t>Comoros</t>
        </is>
      </c>
      <c r="C598" s="7" t="inlineStr">
        <is>
          <t>Sub-Saharan Africa</t>
        </is>
      </c>
      <c r="D598" s="7" t="inlineStr">
        <is>
          <t>Lower middle income</t>
        </is>
      </c>
      <c r="E598" s="7" t="b">
        <v>1</v>
      </c>
      <c r="F598" s="7" t="inlineStr">
        <is>
          <t>price_coal_power_usd_gj</t>
        </is>
      </c>
      <c r="G598" s="7" t="n">
        <v>5.575</v>
      </c>
      <c r="H598" s="7" t="inlineStr">
        <is>
          <t>2024</t>
        </is>
      </c>
      <c r="I598" s="7" t="inlineStr">
        <is>
          <t>imffossilfuelsubsidiesdata.xlsb</t>
        </is>
      </c>
    </row>
    <row r="599">
      <c r="A599" s="7" t="inlineStr">
        <is>
          <t>COM</t>
        </is>
      </c>
      <c r="B599" s="7" t="inlineStr">
        <is>
          <t>Comoros</t>
        </is>
      </c>
      <c r="C599" s="7" t="inlineStr">
        <is>
          <t>Sub-Saharan Africa</t>
        </is>
      </c>
      <c r="D599" s="7" t="inlineStr">
        <is>
          <t>Lower middle income</t>
        </is>
      </c>
      <c r="E599" s="7" t="b">
        <v>1</v>
      </c>
      <c r="F599" s="7" t="inlineStr">
        <is>
          <t>price_electricity_residential_usd_kwh</t>
        </is>
      </c>
      <c r="G599" s="7" t="n">
        <v>0.455</v>
      </c>
      <c r="H599" s="7" t="inlineStr">
        <is>
          <t>2024</t>
        </is>
      </c>
      <c r="I599" s="7" t="inlineStr">
        <is>
          <t>imffossilfuelsubsidiesdata.xlsb</t>
        </is>
      </c>
    </row>
    <row r="600">
      <c r="A600" s="7" t="inlineStr">
        <is>
          <t>COM</t>
        </is>
      </c>
      <c r="B600" s="7" t="inlineStr">
        <is>
          <t>Comoros</t>
        </is>
      </c>
      <c r="C600" s="7" t="inlineStr">
        <is>
          <t>Sub-Saharan Africa</t>
        </is>
      </c>
      <c r="D600" s="7" t="inlineStr">
        <is>
          <t>Lower middle income</t>
        </is>
      </c>
      <c r="E600" s="7" t="b">
        <v>1</v>
      </c>
      <c r="F600" s="7" t="inlineStr">
        <is>
          <t>price_gas_industry_usd_gj</t>
        </is>
      </c>
      <c r="G600" s="7" t="n">
        <v>9.914</v>
      </c>
      <c r="H600" s="7" t="inlineStr">
        <is>
          <t>2024</t>
        </is>
      </c>
      <c r="I600" s="7" t="inlineStr">
        <is>
          <t>imffossilfuelsubsidiesdata.xlsb</t>
        </is>
      </c>
    </row>
    <row r="601">
      <c r="A601" s="7" t="inlineStr">
        <is>
          <t>COM</t>
        </is>
      </c>
      <c r="B601" s="7" t="inlineStr">
        <is>
          <t>Comoros</t>
        </is>
      </c>
      <c r="C601" s="7" t="inlineStr">
        <is>
          <t>Sub-Saharan Africa</t>
        </is>
      </c>
      <c r="D601" s="7" t="inlineStr">
        <is>
          <t>Lower middle income</t>
        </is>
      </c>
      <c r="E601" s="7" t="b">
        <v>1</v>
      </c>
      <c r="F601" s="7" t="inlineStr">
        <is>
          <t>price_gas_power_usd_gj</t>
        </is>
      </c>
      <c r="G601" s="7" t="n">
        <v>8.590999999999999</v>
      </c>
      <c r="H601" s="7" t="inlineStr">
        <is>
          <t>2024</t>
        </is>
      </c>
      <c r="I601" s="7" t="inlineStr">
        <is>
          <t>imffossilfuelsubsidiesdata.xlsb</t>
        </is>
      </c>
    </row>
    <row r="602">
      <c r="A602" s="7" t="inlineStr">
        <is>
          <t>CPV</t>
        </is>
      </c>
      <c r="B602" s="7" t="inlineStr">
        <is>
          <t>Cabo Verde</t>
        </is>
      </c>
      <c r="C602" s="7" t="inlineStr">
        <is>
          <t>Sub-Saharan Africa</t>
        </is>
      </c>
      <c r="D602" s="7" t="inlineStr">
        <is>
          <t>Upper middle income</t>
        </is>
      </c>
      <c r="E602" s="7" t="b">
        <v>1</v>
      </c>
      <c r="F602" s="7" t="inlineStr">
        <is>
          <t>coal_rents_pct_gdp</t>
        </is>
      </c>
      <c r="G602" s="7" t="n">
        <v>17.18</v>
      </c>
      <c r="H602" s="7" t="inlineStr">
        <is>
          <t>2021</t>
        </is>
      </c>
      <c r="I602" s="7" t="inlineStr">
        <is>
          <t>API_NY_GDP_COAL_RT_ZS_DS2_en_csv_v2_35370.zip</t>
        </is>
      </c>
    </row>
    <row r="603">
      <c r="A603" s="7" t="inlineStr">
        <is>
          <t>CPV</t>
        </is>
      </c>
      <c r="B603" s="7" t="inlineStr">
        <is>
          <t>Cabo Verde</t>
        </is>
      </c>
      <c r="C603" s="7" t="inlineStr">
        <is>
          <t>Sub-Saharan Africa</t>
        </is>
      </c>
      <c r="D603" s="7" t="inlineStr">
        <is>
          <t>Upper middle income</t>
        </is>
      </c>
      <c r="E603" s="7" t="b">
        <v>1</v>
      </c>
      <c r="F603" s="7" t="inlineStr">
        <is>
          <t>em_coal_mt</t>
        </is>
      </c>
      <c r="G603" s="7" t="n">
        <v>0</v>
      </c>
      <c r="H603" s="7" t="n">
        <v>2024</v>
      </c>
      <c r="I603" s="7" t="inlineStr">
        <is>
          <t>release_generation_yearly_global.csv (Ember)</t>
        </is>
      </c>
    </row>
    <row r="604">
      <c r="A604" s="7" t="inlineStr">
        <is>
          <t>CPV</t>
        </is>
      </c>
      <c r="B604" s="7" t="inlineStr">
        <is>
          <t>Cabo Verde</t>
        </is>
      </c>
      <c r="C604" s="7" t="inlineStr">
        <is>
          <t>Sub-Saharan Africa</t>
        </is>
      </c>
      <c r="D604" s="7" t="inlineStr">
        <is>
          <t>Upper middle income</t>
        </is>
      </c>
      <c r="E604" s="7" t="b">
        <v>1</v>
      </c>
      <c r="F604" s="7" t="inlineStr">
        <is>
          <t>em_gas_mt</t>
        </is>
      </c>
      <c r="G604" s="7" t="n">
        <v>0</v>
      </c>
      <c r="H604" s="7" t="n">
        <v>2024</v>
      </c>
      <c r="I604" s="7" t="inlineStr">
        <is>
          <t>release_generation_yearly_global.csv (Ember)</t>
        </is>
      </c>
    </row>
    <row r="605">
      <c r="A605" s="7" t="inlineStr">
        <is>
          <t>CPV</t>
        </is>
      </c>
      <c r="B605" s="7" t="inlineStr">
        <is>
          <t>Cabo Verde</t>
        </is>
      </c>
      <c r="C605" s="7" t="inlineStr">
        <is>
          <t>Sub-Saharan Africa</t>
        </is>
      </c>
      <c r="D605" s="7" t="inlineStr">
        <is>
          <t>Upper middle income</t>
        </is>
      </c>
      <c r="E605" s="7" t="b">
        <v>1</v>
      </c>
      <c r="F605" s="7" t="inlineStr">
        <is>
          <t>em_oil_mt</t>
        </is>
      </c>
      <c r="G605" s="7" t="n">
        <v>0.237</v>
      </c>
      <c r="H605" s="7" t="n">
        <v>2024</v>
      </c>
      <c r="I605" s="7" t="inlineStr">
        <is>
          <t>release_generation_yearly_global.csv (Ember)</t>
        </is>
      </c>
    </row>
    <row r="606">
      <c r="A606" s="7" t="inlineStr">
        <is>
          <t>CPV</t>
        </is>
      </c>
      <c r="B606" s="7" t="inlineStr">
        <is>
          <t>Cabo Verde</t>
        </is>
      </c>
      <c r="C606" s="7" t="inlineStr">
        <is>
          <t>Sub-Saharan Africa</t>
        </is>
      </c>
      <c r="D606" s="7" t="inlineStr">
        <is>
          <t>Upper middle income</t>
        </is>
      </c>
      <c r="E606" s="7" t="b">
        <v>1</v>
      </c>
      <c r="F606" s="7" t="inlineStr">
        <is>
          <t>ff_subsidy_explicit_pct_gdp</t>
        </is>
      </c>
      <c r="G606" s="7" t="n">
        <v>0.35</v>
      </c>
      <c r="H606" s="7" t="inlineStr">
        <is>
          <t>2024</t>
        </is>
      </c>
      <c r="I606" s="7" t="inlineStr">
        <is>
          <t>imffossilfuelsubsidiesdata.xlsb</t>
        </is>
      </c>
    </row>
    <row r="607">
      <c r="A607" s="7" t="inlineStr">
        <is>
          <t>CPV</t>
        </is>
      </c>
      <c r="B607" s="7" t="inlineStr">
        <is>
          <t>Cabo Verde</t>
        </is>
      </c>
      <c r="C607" s="7" t="inlineStr">
        <is>
          <t>Sub-Saharan Africa</t>
        </is>
      </c>
      <c r="D607" s="7" t="inlineStr">
        <is>
          <t>Upper middle income</t>
        </is>
      </c>
      <c r="E607" s="7" t="b">
        <v>1</v>
      </c>
      <c r="F607" s="7" t="inlineStr">
        <is>
          <t>fuel_exports_pct_merch</t>
        </is>
      </c>
      <c r="G607" s="7" t="n">
        <v>0</v>
      </c>
      <c r="H607" s="7" t="inlineStr">
        <is>
          <t>2023</t>
        </is>
      </c>
      <c r="I607" s="7" t="inlineStr">
        <is>
          <t>API_TX_VAL_FUEL_ZS_UN_DS2_en_csv_v2_33055.zip</t>
        </is>
      </c>
    </row>
    <row r="608">
      <c r="A608" s="7" t="inlineStr">
        <is>
          <t>CPV</t>
        </is>
      </c>
      <c r="B608" s="7" t="inlineStr">
        <is>
          <t>Cabo Verde</t>
        </is>
      </c>
      <c r="C608" s="7" t="inlineStr">
        <is>
          <t>Sub-Saharan Africa</t>
        </is>
      </c>
      <c r="D608" s="7" t="inlineStr">
        <is>
          <t>Upper middle income</t>
        </is>
      </c>
      <c r="E608" s="7" t="b">
        <v>1</v>
      </c>
      <c r="F608" s="7" t="inlineStr">
        <is>
          <t>gen_coal_twh</t>
        </is>
      </c>
      <c r="G608" s="7" t="n">
        <v>0</v>
      </c>
      <c r="H608" s="7" t="n">
        <v>2024</v>
      </c>
      <c r="I608" s="7" t="inlineStr">
        <is>
          <t>release_generation_yearly_global.csv (Ember)</t>
        </is>
      </c>
    </row>
    <row r="609">
      <c r="A609" s="7" t="inlineStr">
        <is>
          <t>CPV</t>
        </is>
      </c>
      <c r="B609" s="7" t="inlineStr">
        <is>
          <t>Cabo Verde</t>
        </is>
      </c>
      <c r="C609" s="7" t="inlineStr">
        <is>
          <t>Sub-Saharan Africa</t>
        </is>
      </c>
      <c r="D609" s="7" t="inlineStr">
        <is>
          <t>Upper middle income</t>
        </is>
      </c>
      <c r="E609" s="7" t="b">
        <v>1</v>
      </c>
      <c r="F609" s="7" t="inlineStr">
        <is>
          <t>gen_gas_twh</t>
        </is>
      </c>
      <c r="G609" s="7" t="n">
        <v>0</v>
      </c>
      <c r="H609" s="7" t="n">
        <v>2024</v>
      </c>
      <c r="I609" s="7" t="inlineStr">
        <is>
          <t>release_generation_yearly_global.csv (Ember)</t>
        </is>
      </c>
    </row>
    <row r="610">
      <c r="A610" s="7" t="inlineStr">
        <is>
          <t>CPV</t>
        </is>
      </c>
      <c r="B610" s="7" t="inlineStr">
        <is>
          <t>Cabo Verde</t>
        </is>
      </c>
      <c r="C610" s="7" t="inlineStr">
        <is>
          <t>Sub-Saharan Africa</t>
        </is>
      </c>
      <c r="D610" s="7" t="inlineStr">
        <is>
          <t>Upper middle income</t>
        </is>
      </c>
      <c r="E610" s="7" t="b">
        <v>1</v>
      </c>
      <c r="F610" s="7" t="inlineStr">
        <is>
          <t>gen_oil_twh</t>
        </is>
      </c>
      <c r="G610" s="7" t="n">
        <v>0.36</v>
      </c>
      <c r="H610" s="7" t="n">
        <v>2024</v>
      </c>
      <c r="I610" s="7" t="inlineStr">
        <is>
          <t>release_generation_yearly_global.csv (Ember)</t>
        </is>
      </c>
    </row>
    <row r="611">
      <c r="A611" s="7" t="inlineStr">
        <is>
          <t>CPV</t>
        </is>
      </c>
      <c r="B611" s="7" t="inlineStr">
        <is>
          <t>Cabo Verde</t>
        </is>
      </c>
      <c r="C611" s="7" t="inlineStr">
        <is>
          <t>Sub-Saharan Africa</t>
        </is>
      </c>
      <c r="D611" s="7" t="inlineStr">
        <is>
          <t>Upper middle income</t>
        </is>
      </c>
      <c r="E611" s="7" t="b">
        <v>1</v>
      </c>
      <c r="F611" s="7" t="inlineStr">
        <is>
          <t>gen_total_twh</t>
        </is>
      </c>
      <c r="G611" s="7" t="n">
        <v>0.52</v>
      </c>
      <c r="H611" s="7" t="n">
        <v>2024</v>
      </c>
      <c r="I611" s="7" t="inlineStr">
        <is>
          <t>release_generation_yearly_global.csv (Ember)</t>
        </is>
      </c>
    </row>
    <row r="612">
      <c r="A612" s="7" t="inlineStr">
        <is>
          <t>CPV</t>
        </is>
      </c>
      <c r="B612" s="7" t="inlineStr">
        <is>
          <t>Cabo Verde</t>
        </is>
      </c>
      <c r="C612" s="7" t="inlineStr">
        <is>
          <t>Sub-Saharan Africa</t>
        </is>
      </c>
      <c r="D612" s="7" t="inlineStr">
        <is>
          <t>Upper middle income</t>
        </is>
      </c>
      <c r="E612" s="7" t="b">
        <v>1</v>
      </c>
      <c r="F612" s="7" t="inlineStr">
        <is>
          <t>price_coal_power_usd_gj</t>
        </is>
      </c>
      <c r="G612" s="7" t="n">
        <v>5.575</v>
      </c>
      <c r="H612" s="7" t="inlineStr">
        <is>
          <t>2024</t>
        </is>
      </c>
      <c r="I612" s="7" t="inlineStr">
        <is>
          <t>imffossilfuelsubsidiesdata.xlsb</t>
        </is>
      </c>
    </row>
    <row r="613">
      <c r="A613" s="7" t="inlineStr">
        <is>
          <t>CPV</t>
        </is>
      </c>
      <c r="B613" s="7" t="inlineStr">
        <is>
          <t>Cabo Verde</t>
        </is>
      </c>
      <c r="C613" s="7" t="inlineStr">
        <is>
          <t>Sub-Saharan Africa</t>
        </is>
      </c>
      <c r="D613" s="7" t="inlineStr">
        <is>
          <t>Upper middle income</t>
        </is>
      </c>
      <c r="E613" s="7" t="b">
        <v>1</v>
      </c>
      <c r="F613" s="7" t="inlineStr">
        <is>
          <t>price_electricity_residential_usd_kwh</t>
        </is>
      </c>
      <c r="G613" s="7" t="n">
        <v>0.352</v>
      </c>
      <c r="H613" s="7" t="inlineStr">
        <is>
          <t>2024</t>
        </is>
      </c>
      <c r="I613" s="7" t="inlineStr">
        <is>
          <t>imffossilfuelsubsidiesdata.xlsb</t>
        </is>
      </c>
    </row>
    <row r="614">
      <c r="A614" s="7" t="inlineStr">
        <is>
          <t>CPV</t>
        </is>
      </c>
      <c r="B614" s="7" t="inlineStr">
        <is>
          <t>Cabo Verde</t>
        </is>
      </c>
      <c r="C614" s="7" t="inlineStr">
        <is>
          <t>Sub-Saharan Africa</t>
        </is>
      </c>
      <c r="D614" s="7" t="inlineStr">
        <is>
          <t>Upper middle income</t>
        </is>
      </c>
      <c r="E614" s="7" t="b">
        <v>1</v>
      </c>
      <c r="F614" s="7" t="inlineStr">
        <is>
          <t>price_gas_industry_usd_gj</t>
        </is>
      </c>
      <c r="G614" s="7" t="n">
        <v>9.843999999999999</v>
      </c>
      <c r="H614" s="7" t="inlineStr">
        <is>
          <t>2024</t>
        </is>
      </c>
      <c r="I614" s="7" t="inlineStr">
        <is>
          <t>imffossilfuelsubsidiesdata.xlsb</t>
        </is>
      </c>
    </row>
    <row r="615">
      <c r="A615" s="7" t="inlineStr">
        <is>
          <t>CPV</t>
        </is>
      </c>
      <c r="B615" s="7" t="inlineStr">
        <is>
          <t>Cabo Verde</t>
        </is>
      </c>
      <c r="C615" s="7" t="inlineStr">
        <is>
          <t>Sub-Saharan Africa</t>
        </is>
      </c>
      <c r="D615" s="7" t="inlineStr">
        <is>
          <t>Upper middle income</t>
        </is>
      </c>
      <c r="E615" s="7" t="b">
        <v>1</v>
      </c>
      <c r="F615" s="7" t="inlineStr">
        <is>
          <t>price_gas_power_usd_gj</t>
        </is>
      </c>
      <c r="G615" s="7" t="n">
        <v>8.521000000000001</v>
      </c>
      <c r="H615" s="7" t="inlineStr">
        <is>
          <t>2024</t>
        </is>
      </c>
      <c r="I615" s="7" t="inlineStr">
        <is>
          <t>imffossilfuelsubsidiesdata.xlsb</t>
        </is>
      </c>
    </row>
    <row r="616">
      <c r="A616" s="7" t="inlineStr">
        <is>
          <t>CRI</t>
        </is>
      </c>
      <c r="B616" s="7" t="inlineStr">
        <is>
          <t>Costa Rica</t>
        </is>
      </c>
      <c r="C616" s="7" t="inlineStr">
        <is>
          <t>Latin America &amp; Caribbean</t>
        </is>
      </c>
      <c r="D616" s="7" t="inlineStr">
        <is>
          <t>High income</t>
        </is>
      </c>
      <c r="E616" s="7" t="b">
        <v>0</v>
      </c>
      <c r="F616" s="7" t="inlineStr">
        <is>
          <t>coal_rents_pct_gdp</t>
        </is>
      </c>
      <c r="G616" s="7" t="n">
        <v>0</v>
      </c>
      <c r="H616" s="7" t="inlineStr">
        <is>
          <t>2021</t>
        </is>
      </c>
      <c r="I616" s="7" t="inlineStr">
        <is>
          <t>API_NY_GDP_COAL_RT_ZS_DS2_en_csv_v2_35370.zip</t>
        </is>
      </c>
    </row>
    <row r="617">
      <c r="A617" s="7" t="inlineStr">
        <is>
          <t>CRI</t>
        </is>
      </c>
      <c r="B617" s="7" t="inlineStr">
        <is>
          <t>Costa Rica</t>
        </is>
      </c>
      <c r="C617" s="7" t="inlineStr">
        <is>
          <t>Latin America &amp; Caribbean</t>
        </is>
      </c>
      <c r="D617" s="7" t="inlineStr">
        <is>
          <t>High income</t>
        </is>
      </c>
      <c r="E617" s="7" t="b">
        <v>0</v>
      </c>
      <c r="F617" s="7" t="inlineStr">
        <is>
          <t>em_coal_mt</t>
        </is>
      </c>
      <c r="G617" s="7" t="n">
        <v>0</v>
      </c>
      <c r="H617" s="7" t="n">
        <v>2024</v>
      </c>
      <c r="I617" s="7" t="inlineStr">
        <is>
          <t>release_generation_yearly_global.csv (Ember)</t>
        </is>
      </c>
    </row>
    <row r="618">
      <c r="A618" s="7" t="inlineStr">
        <is>
          <t>CRI</t>
        </is>
      </c>
      <c r="B618" s="7" t="inlineStr">
        <is>
          <t>Costa Rica</t>
        </is>
      </c>
      <c r="C618" s="7" t="inlineStr">
        <is>
          <t>Latin America &amp; Caribbean</t>
        </is>
      </c>
      <c r="D618" s="7" t="inlineStr">
        <is>
          <t>High income</t>
        </is>
      </c>
      <c r="E618" s="7" t="b">
        <v>0</v>
      </c>
      <c r="F618" s="7" t="inlineStr">
        <is>
          <t>em_gas_mt</t>
        </is>
      </c>
      <c r="G618" s="7" t="n">
        <v>0</v>
      </c>
      <c r="H618" s="7" t="n">
        <v>2024</v>
      </c>
      <c r="I618" s="7" t="inlineStr">
        <is>
          <t>release_generation_yearly_global.csv (Ember)</t>
        </is>
      </c>
    </row>
    <row r="619">
      <c r="A619" s="7" t="inlineStr">
        <is>
          <t>CRI</t>
        </is>
      </c>
      <c r="B619" s="7" t="inlineStr">
        <is>
          <t>Costa Rica</t>
        </is>
      </c>
      <c r="C619" s="7" t="inlineStr">
        <is>
          <t>Latin America &amp; Caribbean</t>
        </is>
      </c>
      <c r="D619" s="7" t="inlineStr">
        <is>
          <t>High income</t>
        </is>
      </c>
      <c r="E619" s="7" t="b">
        <v>0</v>
      </c>
      <c r="F619" s="7" t="inlineStr">
        <is>
          <t>em_oil_mt</t>
        </is>
      </c>
      <c r="G619" s="7" t="n">
        <v>0.007</v>
      </c>
      <c r="H619" s="7" t="n">
        <v>2024</v>
      </c>
      <c r="I619" s="7" t="inlineStr">
        <is>
          <t>release_generation_yearly_global.csv (Ember)</t>
        </is>
      </c>
    </row>
    <row r="620">
      <c r="A620" s="7" t="inlineStr">
        <is>
          <t>CRI</t>
        </is>
      </c>
      <c r="B620" s="7" t="inlineStr">
        <is>
          <t>Costa Rica</t>
        </is>
      </c>
      <c r="C620" s="7" t="inlineStr">
        <is>
          <t>Latin America &amp; Caribbean</t>
        </is>
      </c>
      <c r="D620" s="7" t="inlineStr">
        <is>
          <t>High income</t>
        </is>
      </c>
      <c r="E620" s="7" t="b">
        <v>0</v>
      </c>
      <c r="F620" s="7" t="inlineStr">
        <is>
          <t>ff_subsidy_explicit_pct_gdp</t>
        </is>
      </c>
      <c r="G620" s="7" t="n">
        <v>0.183</v>
      </c>
      <c r="H620" s="7" t="inlineStr">
        <is>
          <t>2024</t>
        </is>
      </c>
      <c r="I620" s="7" t="inlineStr">
        <is>
          <t>imffossilfuelsubsidiesdata.xlsb</t>
        </is>
      </c>
    </row>
    <row r="621">
      <c r="A621" s="7" t="inlineStr">
        <is>
          <t>CRI</t>
        </is>
      </c>
      <c r="B621" s="7" t="inlineStr">
        <is>
          <t>Costa Rica</t>
        </is>
      </c>
      <c r="C621" s="7" t="inlineStr">
        <is>
          <t>Latin America &amp; Caribbean</t>
        </is>
      </c>
      <c r="D621" s="7" t="inlineStr">
        <is>
          <t>High income</t>
        </is>
      </c>
      <c r="E621" s="7" t="b">
        <v>0</v>
      </c>
      <c r="F621" s="7" t="inlineStr">
        <is>
          <t>fuel_exports_pct_merch</t>
        </is>
      </c>
      <c r="G621" s="7" t="n">
        <v>0.018</v>
      </c>
      <c r="H621" s="7" t="inlineStr">
        <is>
          <t>2024</t>
        </is>
      </c>
      <c r="I621" s="7" t="inlineStr">
        <is>
          <t>API_TX_VAL_FUEL_ZS_UN_DS2_en_csv_v2_33055.zip</t>
        </is>
      </c>
    </row>
    <row r="622">
      <c r="A622" s="7" t="inlineStr">
        <is>
          <t>CRI</t>
        </is>
      </c>
      <c r="B622" s="7" t="inlineStr">
        <is>
          <t>Costa Rica</t>
        </is>
      </c>
      <c r="C622" s="7" t="inlineStr">
        <is>
          <t>Latin America &amp; Caribbean</t>
        </is>
      </c>
      <c r="D622" s="7" t="inlineStr">
        <is>
          <t>High income</t>
        </is>
      </c>
      <c r="E622" s="7" t="b">
        <v>0</v>
      </c>
      <c r="F622" s="7" t="inlineStr">
        <is>
          <t>gen_coal_twh</t>
        </is>
      </c>
      <c r="G622" s="7" t="n">
        <v>0</v>
      </c>
      <c r="H622" s="7" t="n">
        <v>2024</v>
      </c>
      <c r="I622" s="7" t="inlineStr">
        <is>
          <t>release_generation_yearly_global.csv (Ember)</t>
        </is>
      </c>
    </row>
    <row r="623">
      <c r="A623" s="7" t="inlineStr">
        <is>
          <t>CRI</t>
        </is>
      </c>
      <c r="B623" s="7" t="inlineStr">
        <is>
          <t>Costa Rica</t>
        </is>
      </c>
      <c r="C623" s="7" t="inlineStr">
        <is>
          <t>Latin America &amp; Caribbean</t>
        </is>
      </c>
      <c r="D623" s="7" t="inlineStr">
        <is>
          <t>High income</t>
        </is>
      </c>
      <c r="E623" s="7" t="b">
        <v>0</v>
      </c>
      <c r="F623" s="7" t="inlineStr">
        <is>
          <t>gen_gas_twh</t>
        </is>
      </c>
      <c r="G623" s="7" t="n">
        <v>0</v>
      </c>
      <c r="H623" s="7" t="n">
        <v>2024</v>
      </c>
      <c r="I623" s="7" t="inlineStr">
        <is>
          <t>release_generation_yearly_global.csv (Ember)</t>
        </is>
      </c>
    </row>
    <row r="624">
      <c r="A624" s="7" t="inlineStr">
        <is>
          <t>CRI</t>
        </is>
      </c>
      <c r="B624" s="7" t="inlineStr">
        <is>
          <t>Costa Rica</t>
        </is>
      </c>
      <c r="C624" s="7" t="inlineStr">
        <is>
          <t>Latin America &amp; Caribbean</t>
        </is>
      </c>
      <c r="D624" s="7" t="inlineStr">
        <is>
          <t>High income</t>
        </is>
      </c>
      <c r="E624" s="7" t="b">
        <v>0</v>
      </c>
      <c r="F624" s="7" t="inlineStr">
        <is>
          <t>gen_oil_twh</t>
        </is>
      </c>
      <c r="G624" s="7" t="n">
        <v>0.01</v>
      </c>
      <c r="H624" s="7" t="n">
        <v>2024</v>
      </c>
      <c r="I624" s="7" t="inlineStr">
        <is>
          <t>release_generation_yearly_global.csv (Ember)</t>
        </is>
      </c>
    </row>
    <row r="625">
      <c r="A625" s="7" t="inlineStr">
        <is>
          <t>CRI</t>
        </is>
      </c>
      <c r="B625" s="7" t="inlineStr">
        <is>
          <t>Costa Rica</t>
        </is>
      </c>
      <c r="C625" s="7" t="inlineStr">
        <is>
          <t>Latin America &amp; Caribbean</t>
        </is>
      </c>
      <c r="D625" s="7" t="inlineStr">
        <is>
          <t>High income</t>
        </is>
      </c>
      <c r="E625" s="7" t="b">
        <v>0</v>
      </c>
      <c r="F625" s="7" t="inlineStr">
        <is>
          <t>gen_total_twh</t>
        </is>
      </c>
      <c r="G625" s="7" t="n">
        <v>11</v>
      </c>
      <c r="H625" s="7" t="n">
        <v>2024</v>
      </c>
      <c r="I625" s="7" t="inlineStr">
        <is>
          <t>release_generation_yearly_global.csv (Ember)</t>
        </is>
      </c>
    </row>
    <row r="626">
      <c r="A626" s="7" t="inlineStr">
        <is>
          <t>CRI</t>
        </is>
      </c>
      <c r="B626" s="7" t="inlineStr">
        <is>
          <t>Costa Rica</t>
        </is>
      </c>
      <c r="C626" s="7" t="inlineStr">
        <is>
          <t>Latin America &amp; Caribbean</t>
        </is>
      </c>
      <c r="D626" s="7" t="inlineStr">
        <is>
          <t>High income</t>
        </is>
      </c>
      <c r="E626" s="7" t="b">
        <v>0</v>
      </c>
      <c r="F626" s="7" t="inlineStr">
        <is>
          <t>power_market_structure</t>
        </is>
      </c>
      <c r="G626" s="7" t="n">
        <v>3</v>
      </c>
      <c r="H626" s="7" t="inlineStr">
        <is>
          <t>2013</t>
        </is>
      </c>
      <c r="I626" s="7" t="inlineStr">
        <is>
          <t>dataverse_files.zip</t>
        </is>
      </c>
    </row>
    <row r="627">
      <c r="A627" s="7" t="inlineStr">
        <is>
          <t>CRI</t>
        </is>
      </c>
      <c r="B627" s="7" t="inlineStr">
        <is>
          <t>Costa Rica</t>
        </is>
      </c>
      <c r="C627" s="7" t="inlineStr">
        <is>
          <t>Latin America &amp; Caribbean</t>
        </is>
      </c>
      <c r="D627" s="7" t="inlineStr">
        <is>
          <t>High income</t>
        </is>
      </c>
      <c r="E627" s="7" t="b">
        <v>0</v>
      </c>
      <c r="F627" s="7" t="inlineStr">
        <is>
          <t>price_coal_power_usd_gj</t>
        </is>
      </c>
      <c r="G627" s="7" t="n">
        <v>5.575</v>
      </c>
      <c r="H627" s="7" t="inlineStr">
        <is>
          <t>2024</t>
        </is>
      </c>
      <c r="I627" s="7" t="inlineStr">
        <is>
          <t>imffossilfuelsubsidiesdata.xlsb</t>
        </is>
      </c>
    </row>
    <row r="628">
      <c r="A628" s="7" t="inlineStr">
        <is>
          <t>CRI</t>
        </is>
      </c>
      <c r="B628" s="7" t="inlineStr">
        <is>
          <t>Costa Rica</t>
        </is>
      </c>
      <c r="C628" s="7" t="inlineStr">
        <is>
          <t>Latin America &amp; Caribbean</t>
        </is>
      </c>
      <c r="D628" s="7" t="inlineStr">
        <is>
          <t>High income</t>
        </is>
      </c>
      <c r="E628" s="7" t="b">
        <v>0</v>
      </c>
      <c r="F628" s="7" t="inlineStr">
        <is>
          <t>price_electricity_residential_usd_kwh</t>
        </is>
      </c>
      <c r="G628" s="7" t="n">
        <v>0.191</v>
      </c>
      <c r="H628" s="7" t="inlineStr">
        <is>
          <t>2024</t>
        </is>
      </c>
      <c r="I628" s="7" t="inlineStr">
        <is>
          <t>imffossilfuelsubsidiesdata.xlsb</t>
        </is>
      </c>
    </row>
    <row r="629">
      <c r="A629" s="7" t="inlineStr">
        <is>
          <t>CRI</t>
        </is>
      </c>
      <c r="B629" s="7" t="inlineStr">
        <is>
          <t>Costa Rica</t>
        </is>
      </c>
      <c r="C629" s="7" t="inlineStr">
        <is>
          <t>Latin America &amp; Caribbean</t>
        </is>
      </c>
      <c r="D629" s="7" t="inlineStr">
        <is>
          <t>High income</t>
        </is>
      </c>
      <c r="E629" s="7" t="b">
        <v>0</v>
      </c>
      <c r="F629" s="7" t="inlineStr">
        <is>
          <t>price_gas_industry_usd_gj</t>
        </is>
      </c>
      <c r="G629" s="7" t="n">
        <v>5.164</v>
      </c>
      <c r="H629" s="7" t="inlineStr">
        <is>
          <t>2024</t>
        </is>
      </c>
      <c r="I629" s="7" t="inlineStr">
        <is>
          <t>imffossilfuelsubsidiesdata.xlsb</t>
        </is>
      </c>
    </row>
    <row r="630">
      <c r="A630" s="7" t="inlineStr">
        <is>
          <t>CRI</t>
        </is>
      </c>
      <c r="B630" s="7" t="inlineStr">
        <is>
          <t>Costa Rica</t>
        </is>
      </c>
      <c r="C630" s="7" t="inlineStr">
        <is>
          <t>Latin America &amp; Caribbean</t>
        </is>
      </c>
      <c r="D630" s="7" t="inlineStr">
        <is>
          <t>High income</t>
        </is>
      </c>
      <c r="E630" s="7" t="b">
        <v>0</v>
      </c>
      <c r="F630" s="7" t="inlineStr">
        <is>
          <t>price_gas_power_usd_gj</t>
        </is>
      </c>
      <c r="G630" s="7" t="n">
        <v>3.841</v>
      </c>
      <c r="H630" s="7" t="inlineStr">
        <is>
          <t>2024</t>
        </is>
      </c>
      <c r="I630" s="7" t="inlineStr">
        <is>
          <t>imffossilfuelsubsidiesdata.xlsb</t>
        </is>
      </c>
    </row>
    <row r="631">
      <c r="A631" s="7" t="inlineStr">
        <is>
          <t>CRI</t>
        </is>
      </c>
      <c r="B631" s="7" t="inlineStr">
        <is>
          <t>Costa Rica</t>
        </is>
      </c>
      <c r="C631" s="7" t="inlineStr">
        <is>
          <t>Latin America &amp; Caribbean</t>
        </is>
      </c>
      <c r="D631" s="7" t="inlineStr">
        <is>
          <t>High income</t>
        </is>
      </c>
      <c r="E631" s="7" t="b">
        <v>0</v>
      </c>
      <c r="F631" s="7" t="inlineStr">
        <is>
          <t>rise_renewable_energy_score</t>
        </is>
      </c>
      <c r="G631" s="7" t="n">
        <v>52.241</v>
      </c>
      <c r="H631" s="7" t="inlineStr">
        <is>
          <t>2023</t>
        </is>
      </c>
      <c r="I631" s="7" t="inlineStr">
        <is>
          <t>WB_RISE_WIDEF.csv</t>
        </is>
      </c>
    </row>
    <row r="632">
      <c r="A632" s="7" t="inlineStr">
        <is>
          <t>CUB</t>
        </is>
      </c>
      <c r="B632" s="7" t="inlineStr">
        <is>
          <t>Cuba</t>
        </is>
      </c>
      <c r="C632" s="7" t="inlineStr">
        <is>
          <t>Latin America &amp; Caribbean</t>
        </is>
      </c>
      <c r="D632" s="7" t="inlineStr">
        <is>
          <t>Upper middle income</t>
        </is>
      </c>
      <c r="E632" s="7" t="b">
        <v>0</v>
      </c>
      <c r="F632" s="7" t="inlineStr">
        <is>
          <t>coal_rents_pct_gdp</t>
        </is>
      </c>
      <c r="G632" s="7" t="n">
        <v>0</v>
      </c>
      <c r="H632" s="7" t="inlineStr">
        <is>
          <t>2020</t>
        </is>
      </c>
      <c r="I632" s="7" t="inlineStr">
        <is>
          <t>API_NY_GDP_COAL_RT_ZS_DS2_en_csv_v2_35370.zip</t>
        </is>
      </c>
    </row>
    <row r="633">
      <c r="A633" s="7" t="inlineStr">
        <is>
          <t>CUB</t>
        </is>
      </c>
      <c r="B633" s="7" t="inlineStr">
        <is>
          <t>Cuba</t>
        </is>
      </c>
      <c r="C633" s="7" t="inlineStr">
        <is>
          <t>Latin America &amp; Caribbean</t>
        </is>
      </c>
      <c r="D633" s="7" t="inlineStr">
        <is>
          <t>Upper middle income</t>
        </is>
      </c>
      <c r="E633" s="7" t="b">
        <v>0</v>
      </c>
      <c r="F633" s="7" t="inlineStr">
        <is>
          <t>em_coal_mt</t>
        </is>
      </c>
      <c r="G633" s="7" t="n">
        <v>0</v>
      </c>
      <c r="H633" s="7" t="n">
        <v>2024</v>
      </c>
      <c r="I633" s="7" t="inlineStr">
        <is>
          <t>release_generation_yearly_global.csv (Ember)</t>
        </is>
      </c>
    </row>
    <row r="634">
      <c r="A634" s="7" t="inlineStr">
        <is>
          <t>CUB</t>
        </is>
      </c>
      <c r="B634" s="7" t="inlineStr">
        <is>
          <t>Cuba</t>
        </is>
      </c>
      <c r="C634" s="7" t="inlineStr">
        <is>
          <t>Latin America &amp; Caribbean</t>
        </is>
      </c>
      <c r="D634" s="7" t="inlineStr">
        <is>
          <t>Upper middle income</t>
        </is>
      </c>
      <c r="E634" s="7" t="b">
        <v>0</v>
      </c>
      <c r="F634" s="7" t="inlineStr">
        <is>
          <t>em_gas_mt</t>
        </is>
      </c>
      <c r="G634" s="7" t="n">
        <v>1.874</v>
      </c>
      <c r="H634" s="7" t="n">
        <v>2024</v>
      </c>
      <c r="I634" s="7" t="inlineStr">
        <is>
          <t>release_generation_yearly_global.csv (Ember)</t>
        </is>
      </c>
    </row>
    <row r="635">
      <c r="A635" s="7" t="inlineStr">
        <is>
          <t>CUB</t>
        </is>
      </c>
      <c r="B635" s="7" t="inlineStr">
        <is>
          <t>Cuba</t>
        </is>
      </c>
      <c r="C635" s="7" t="inlineStr">
        <is>
          <t>Latin America &amp; Caribbean</t>
        </is>
      </c>
      <c r="D635" s="7" t="inlineStr">
        <is>
          <t>Upper middle income</t>
        </is>
      </c>
      <c r="E635" s="7" t="b">
        <v>0</v>
      </c>
      <c r="F635" s="7" t="inlineStr">
        <is>
          <t>em_oil_mt</t>
        </is>
      </c>
      <c r="G635" s="7" t="n">
        <v>10.528</v>
      </c>
      <c r="H635" s="7" t="n">
        <v>2024</v>
      </c>
      <c r="I635" s="7" t="inlineStr">
        <is>
          <t>release_generation_yearly_global.csv (Ember)</t>
        </is>
      </c>
    </row>
    <row r="636">
      <c r="A636" s="7" t="inlineStr">
        <is>
          <t>CUB</t>
        </is>
      </c>
      <c r="B636" s="7" t="inlineStr">
        <is>
          <t>Cuba</t>
        </is>
      </c>
      <c r="C636" s="7" t="inlineStr">
        <is>
          <t>Latin America &amp; Caribbean</t>
        </is>
      </c>
      <c r="D636" s="7" t="inlineStr">
        <is>
          <t>Upper middle income</t>
        </is>
      </c>
      <c r="E636" s="7" t="b">
        <v>0</v>
      </c>
      <c r="F636" s="7" t="inlineStr">
        <is>
          <t>fuel_exports_pct_merch</t>
        </is>
      </c>
      <c r="G636" s="7" t="n">
        <v>5.736</v>
      </c>
      <c r="H636" s="7" t="inlineStr">
        <is>
          <t>2021</t>
        </is>
      </c>
      <c r="I636" s="7" t="inlineStr">
        <is>
          <t>API_TX_VAL_FUEL_ZS_UN_DS2_en_csv_v2_33055.zip</t>
        </is>
      </c>
    </row>
    <row r="637">
      <c r="A637" s="7" t="inlineStr">
        <is>
          <t>CUB</t>
        </is>
      </c>
      <c r="B637" s="7" t="inlineStr">
        <is>
          <t>Cuba</t>
        </is>
      </c>
      <c r="C637" s="7" t="inlineStr">
        <is>
          <t>Latin America &amp; Caribbean</t>
        </is>
      </c>
      <c r="D637" s="7" t="inlineStr">
        <is>
          <t>Upper middle income</t>
        </is>
      </c>
      <c r="E637" s="7" t="b">
        <v>0</v>
      </c>
      <c r="F637" s="7" t="inlineStr">
        <is>
          <t>gen_coal_twh</t>
        </is>
      </c>
      <c r="G637" s="7" t="n">
        <v>0</v>
      </c>
      <c r="H637" s="7" t="n">
        <v>2024</v>
      </c>
      <c r="I637" s="7" t="inlineStr">
        <is>
          <t>release_generation_yearly_global.csv (Ember)</t>
        </is>
      </c>
    </row>
    <row r="638">
      <c r="A638" s="7" t="inlineStr">
        <is>
          <t>CUB</t>
        </is>
      </c>
      <c r="B638" s="7" t="inlineStr">
        <is>
          <t>Cuba</t>
        </is>
      </c>
      <c r="C638" s="7" t="inlineStr">
        <is>
          <t>Latin America &amp; Caribbean</t>
        </is>
      </c>
      <c r="D638" s="7" t="inlineStr">
        <is>
          <t>Upper middle income</t>
        </is>
      </c>
      <c r="E638" s="7" t="b">
        <v>0</v>
      </c>
      <c r="F638" s="7" t="inlineStr">
        <is>
          <t>gen_gas_twh</t>
        </is>
      </c>
      <c r="G638" s="7" t="n">
        <v>2.65</v>
      </c>
      <c r="H638" s="7" t="n">
        <v>2024</v>
      </c>
      <c r="I638" s="7" t="inlineStr">
        <is>
          <t>release_generation_yearly_global.csv (Ember)</t>
        </is>
      </c>
    </row>
    <row r="639">
      <c r="A639" s="7" t="inlineStr">
        <is>
          <t>CUB</t>
        </is>
      </c>
      <c r="B639" s="7" t="inlineStr">
        <is>
          <t>Cuba</t>
        </is>
      </c>
      <c r="C639" s="7" t="inlineStr">
        <is>
          <t>Latin America &amp; Caribbean</t>
        </is>
      </c>
      <c r="D639" s="7" t="inlineStr">
        <is>
          <t>Upper middle income</t>
        </is>
      </c>
      <c r="E639" s="7" t="b">
        <v>0</v>
      </c>
      <c r="F639" s="7" t="inlineStr">
        <is>
          <t>gen_oil_twh</t>
        </is>
      </c>
      <c r="G639" s="7" t="n">
        <v>16</v>
      </c>
      <c r="H639" s="7" t="n">
        <v>2024</v>
      </c>
      <c r="I639" s="7" t="inlineStr">
        <is>
          <t>release_generation_yearly_global.csv (Ember)</t>
        </is>
      </c>
    </row>
    <row r="640">
      <c r="A640" s="7" t="inlineStr">
        <is>
          <t>CUB</t>
        </is>
      </c>
      <c r="B640" s="7" t="inlineStr">
        <is>
          <t>Cuba</t>
        </is>
      </c>
      <c r="C640" s="7" t="inlineStr">
        <is>
          <t>Latin America &amp; Caribbean</t>
        </is>
      </c>
      <c r="D640" s="7" t="inlineStr">
        <is>
          <t>Upper middle income</t>
        </is>
      </c>
      <c r="E640" s="7" t="b">
        <v>0</v>
      </c>
      <c r="F640" s="7" t="inlineStr">
        <is>
          <t>gen_total_twh</t>
        </is>
      </c>
      <c r="G640" s="7" t="n">
        <v>19.43</v>
      </c>
      <c r="H640" s="7" t="n">
        <v>2024</v>
      </c>
      <c r="I640" s="7" t="inlineStr">
        <is>
          <t>release_generation_yearly_global.csv (Ember)</t>
        </is>
      </c>
    </row>
    <row r="641">
      <c r="A641" s="7" t="inlineStr">
        <is>
          <t>CUB</t>
        </is>
      </c>
      <c r="B641" s="7" t="inlineStr">
        <is>
          <t>Cuba</t>
        </is>
      </c>
      <c r="C641" s="7" t="inlineStr">
        <is>
          <t>Latin America &amp; Caribbean</t>
        </is>
      </c>
      <c r="D641" s="7" t="inlineStr">
        <is>
          <t>Upper middle income</t>
        </is>
      </c>
      <c r="E641" s="7" t="b">
        <v>0</v>
      </c>
      <c r="F641" s="7" t="inlineStr">
        <is>
          <t>power_market_structure</t>
        </is>
      </c>
      <c r="G641" s="7" t="n">
        <v>2</v>
      </c>
      <c r="H641" s="7" t="inlineStr">
        <is>
          <t>2013</t>
        </is>
      </c>
      <c r="I641" s="7" t="inlineStr">
        <is>
          <t>dataverse_files.zip</t>
        </is>
      </c>
    </row>
    <row r="642">
      <c r="A642" s="7" t="inlineStr">
        <is>
          <t>CUW</t>
        </is>
      </c>
      <c r="B642" s="7" t="inlineStr">
        <is>
          <t>Curaçao</t>
        </is>
      </c>
      <c r="C642" s="7" t="inlineStr">
        <is>
          <t>Latin America &amp; Caribbean</t>
        </is>
      </c>
      <c r="D642" s="7" t="inlineStr">
        <is>
          <t>High income</t>
        </is>
      </c>
      <c r="E642" s="7" t="b">
        <v>0</v>
      </c>
      <c r="F642" s="7" t="inlineStr">
        <is>
          <t>coal_rents_pct_gdp</t>
        </is>
      </c>
      <c r="G642" s="7" t="n">
        <v>0</v>
      </c>
      <c r="H642" s="7" t="inlineStr">
        <is>
          <t>2021</t>
        </is>
      </c>
      <c r="I642" s="7" t="inlineStr">
        <is>
          <t>API_NY_GDP_COAL_RT_ZS_DS2_en_csv_v2_35370.zip</t>
        </is>
      </c>
    </row>
    <row r="643">
      <c r="A643" s="7" t="inlineStr">
        <is>
          <t>CYM</t>
        </is>
      </c>
      <c r="B643" s="7" t="inlineStr">
        <is>
          <t>Cayman Islands</t>
        </is>
      </c>
      <c r="C643" s="7" t="inlineStr">
        <is>
          <t>Latin America &amp; Caribbean</t>
        </is>
      </c>
      <c r="D643" s="7" t="inlineStr">
        <is>
          <t>High income</t>
        </is>
      </c>
      <c r="E643" s="7" t="b">
        <v>0</v>
      </c>
      <c r="F643" s="7" t="inlineStr">
        <is>
          <t>coal_rents_pct_gdp</t>
        </is>
      </c>
      <c r="G643" s="7" t="n">
        <v>0</v>
      </c>
      <c r="H643" s="7" t="inlineStr">
        <is>
          <t>2021</t>
        </is>
      </c>
      <c r="I643" s="7" t="inlineStr">
        <is>
          <t>API_NY_GDP_COAL_RT_ZS_DS2_en_csv_v2_35370.zip</t>
        </is>
      </c>
    </row>
    <row r="644">
      <c r="A644" s="7" t="inlineStr">
        <is>
          <t>CYM</t>
        </is>
      </c>
      <c r="B644" s="7" t="inlineStr">
        <is>
          <t>Cayman Islands</t>
        </is>
      </c>
      <c r="C644" s="7" t="inlineStr">
        <is>
          <t>Latin America &amp; Caribbean</t>
        </is>
      </c>
      <c r="D644" s="7" t="inlineStr">
        <is>
          <t>High income</t>
        </is>
      </c>
      <c r="E644" s="7" t="b">
        <v>0</v>
      </c>
      <c r="F644" s="7" t="inlineStr">
        <is>
          <t>em_coal_mt</t>
        </is>
      </c>
      <c r="G644" s="7" t="n">
        <v>0</v>
      </c>
      <c r="H644" s="7" t="n">
        <v>2024</v>
      </c>
      <c r="I644" s="7" t="inlineStr">
        <is>
          <t>release_generation_yearly_global.csv (Ember)</t>
        </is>
      </c>
    </row>
    <row r="645">
      <c r="A645" s="7" t="inlineStr">
        <is>
          <t>CYM</t>
        </is>
      </c>
      <c r="B645" s="7" t="inlineStr">
        <is>
          <t>Cayman Islands</t>
        </is>
      </c>
      <c r="C645" s="7" t="inlineStr">
        <is>
          <t>Latin America &amp; Caribbean</t>
        </is>
      </c>
      <c r="D645" s="7" t="inlineStr">
        <is>
          <t>High income</t>
        </is>
      </c>
      <c r="E645" s="7" t="b">
        <v>0</v>
      </c>
      <c r="F645" s="7" t="inlineStr">
        <is>
          <t>em_gas_mt</t>
        </is>
      </c>
      <c r="G645" s="7" t="n">
        <v>0</v>
      </c>
      <c r="H645" s="7" t="n">
        <v>2024</v>
      </c>
      <c r="I645" s="7" t="inlineStr">
        <is>
          <t>release_generation_yearly_global.csv (Ember)</t>
        </is>
      </c>
    </row>
    <row r="646">
      <c r="A646" s="7" t="inlineStr">
        <is>
          <t>CYM</t>
        </is>
      </c>
      <c r="B646" s="7" t="inlineStr">
        <is>
          <t>Cayman Islands</t>
        </is>
      </c>
      <c r="C646" s="7" t="inlineStr">
        <is>
          <t>Latin America &amp; Caribbean</t>
        </is>
      </c>
      <c r="D646" s="7" t="inlineStr">
        <is>
          <t>High income</t>
        </is>
      </c>
      <c r="E646" s="7" t="b">
        <v>0</v>
      </c>
      <c r="F646" s="7" t="inlineStr">
        <is>
          <t>em_oil_mt</t>
        </is>
      </c>
      <c r="G646" s="7" t="n">
        <v>0.447</v>
      </c>
      <c r="H646" s="7" t="n">
        <v>2024</v>
      </c>
      <c r="I646" s="7" t="inlineStr">
        <is>
          <t>release_generation_yearly_global.csv (Ember)</t>
        </is>
      </c>
    </row>
    <row r="647">
      <c r="A647" s="7" t="inlineStr">
        <is>
          <t>CYM</t>
        </is>
      </c>
      <c r="B647" s="7" t="inlineStr">
        <is>
          <t>Cayman Islands</t>
        </is>
      </c>
      <c r="C647" s="7" t="inlineStr">
        <is>
          <t>Latin America &amp; Caribbean</t>
        </is>
      </c>
      <c r="D647" s="7" t="inlineStr">
        <is>
          <t>High income</t>
        </is>
      </c>
      <c r="E647" s="7" t="b">
        <v>0</v>
      </c>
      <c r="F647" s="7" t="inlineStr">
        <is>
          <t>fuel_exports_pct_merch</t>
        </is>
      </c>
      <c r="G647" s="7" t="n">
        <v>52.311</v>
      </c>
      <c r="H647" s="7" t="inlineStr">
        <is>
          <t>2024</t>
        </is>
      </c>
      <c r="I647" s="7" t="inlineStr">
        <is>
          <t>API_TX_VAL_FUEL_ZS_UN_DS2_en_csv_v2_33055.zip</t>
        </is>
      </c>
    </row>
    <row r="648">
      <c r="A648" s="7" t="inlineStr">
        <is>
          <t>CYM</t>
        </is>
      </c>
      <c r="B648" s="7" t="inlineStr">
        <is>
          <t>Cayman Islands</t>
        </is>
      </c>
      <c r="C648" s="7" t="inlineStr">
        <is>
          <t>Latin America &amp; Caribbean</t>
        </is>
      </c>
      <c r="D648" s="7" t="inlineStr">
        <is>
          <t>High income</t>
        </is>
      </c>
      <c r="E648" s="7" t="b">
        <v>0</v>
      </c>
      <c r="F648" s="7" t="inlineStr">
        <is>
          <t>gen_coal_twh</t>
        </is>
      </c>
      <c r="G648" s="7" t="n">
        <v>0</v>
      </c>
      <c r="H648" s="7" t="n">
        <v>2024</v>
      </c>
      <c r="I648" s="7" t="inlineStr">
        <is>
          <t>release_generation_yearly_global.csv (Ember)</t>
        </is>
      </c>
    </row>
    <row r="649">
      <c r="A649" s="7" t="inlineStr">
        <is>
          <t>CYM</t>
        </is>
      </c>
      <c r="B649" s="7" t="inlineStr">
        <is>
          <t>Cayman Islands</t>
        </is>
      </c>
      <c r="C649" s="7" t="inlineStr">
        <is>
          <t>Latin America &amp; Caribbean</t>
        </is>
      </c>
      <c r="D649" s="7" t="inlineStr">
        <is>
          <t>High income</t>
        </is>
      </c>
      <c r="E649" s="7" t="b">
        <v>0</v>
      </c>
      <c r="F649" s="7" t="inlineStr">
        <is>
          <t>gen_gas_twh</t>
        </is>
      </c>
      <c r="G649" s="7" t="n">
        <v>0</v>
      </c>
      <c r="H649" s="7" t="n">
        <v>2024</v>
      </c>
      <c r="I649" s="7" t="inlineStr">
        <is>
          <t>release_generation_yearly_global.csv (Ember)</t>
        </is>
      </c>
    </row>
    <row r="650">
      <c r="A650" s="7" t="inlineStr">
        <is>
          <t>CYM</t>
        </is>
      </c>
      <c r="B650" s="7" t="inlineStr">
        <is>
          <t>Cayman Islands</t>
        </is>
      </c>
      <c r="C650" s="7" t="inlineStr">
        <is>
          <t>Latin America &amp; Caribbean</t>
        </is>
      </c>
      <c r="D650" s="7" t="inlineStr">
        <is>
          <t>High income</t>
        </is>
      </c>
      <c r="E650" s="7" t="b">
        <v>0</v>
      </c>
      <c r="F650" s="7" t="inlineStr">
        <is>
          <t>gen_oil_twh</t>
        </is>
      </c>
      <c r="G650" s="7" t="n">
        <v>0.68</v>
      </c>
      <c r="H650" s="7" t="n">
        <v>2024</v>
      </c>
      <c r="I650" s="7" t="inlineStr">
        <is>
          <t>release_generation_yearly_global.csv (Ember)</t>
        </is>
      </c>
    </row>
    <row r="651">
      <c r="A651" s="7" t="inlineStr">
        <is>
          <t>CYM</t>
        </is>
      </c>
      <c r="B651" s="7" t="inlineStr">
        <is>
          <t>Cayman Islands</t>
        </is>
      </c>
      <c r="C651" s="7" t="inlineStr">
        <is>
          <t>Latin America &amp; Caribbean</t>
        </is>
      </c>
      <c r="D651" s="7" t="inlineStr">
        <is>
          <t>High income</t>
        </is>
      </c>
      <c r="E651" s="7" t="b">
        <v>0</v>
      </c>
      <c r="F651" s="7" t="inlineStr">
        <is>
          <t>gen_total_twh</t>
        </is>
      </c>
      <c r="G651" s="7" t="n">
        <v>0.71</v>
      </c>
      <c r="H651" s="7" t="n">
        <v>2024</v>
      </c>
      <c r="I651" s="7" t="inlineStr">
        <is>
          <t>release_generation_yearly_global.csv (Ember)</t>
        </is>
      </c>
    </row>
    <row r="652">
      <c r="A652" s="7" t="inlineStr">
        <is>
          <t>CYP</t>
        </is>
      </c>
      <c r="B652" s="7" t="inlineStr">
        <is>
          <t>Cyprus</t>
        </is>
      </c>
      <c r="C652" s="7" t="inlineStr">
        <is>
          <t>Europe &amp; Central Asia</t>
        </is>
      </c>
      <c r="D652" s="7" t="inlineStr">
        <is>
          <t>High income</t>
        </is>
      </c>
      <c r="E652" s="7" t="b">
        <v>0</v>
      </c>
      <c r="F652" s="7" t="inlineStr">
        <is>
          <t>coal_rents_pct_gdp</t>
        </is>
      </c>
      <c r="G652" s="7" t="n">
        <v>0</v>
      </c>
      <c r="H652" s="7" t="inlineStr">
        <is>
          <t>2021</t>
        </is>
      </c>
      <c r="I652" s="7" t="inlineStr">
        <is>
          <t>API_NY_GDP_COAL_RT_ZS_DS2_en_csv_v2_35370.zip</t>
        </is>
      </c>
    </row>
    <row r="653">
      <c r="A653" s="7" t="inlineStr">
        <is>
          <t>CYP</t>
        </is>
      </c>
      <c r="B653" s="7" t="inlineStr">
        <is>
          <t>Cyprus</t>
        </is>
      </c>
      <c r="C653" s="7" t="inlineStr">
        <is>
          <t>Europe &amp; Central Asia</t>
        </is>
      </c>
      <c r="D653" s="7" t="inlineStr">
        <is>
          <t>High income</t>
        </is>
      </c>
      <c r="E653" s="7" t="b">
        <v>0</v>
      </c>
      <c r="F653" s="7" t="inlineStr">
        <is>
          <t>em_coal_mt</t>
        </is>
      </c>
      <c r="G653" s="7" t="n">
        <v>0</v>
      </c>
      <c r="H653" s="7" t="n">
        <v>2024</v>
      </c>
      <c r="I653" s="7" t="inlineStr">
        <is>
          <t>release_generation_yearly_global.csv (Ember)</t>
        </is>
      </c>
    </row>
    <row r="654">
      <c r="A654" s="7" t="inlineStr">
        <is>
          <t>CYP</t>
        </is>
      </c>
      <c r="B654" s="7" t="inlineStr">
        <is>
          <t>Cyprus</t>
        </is>
      </c>
      <c r="C654" s="7" t="inlineStr">
        <is>
          <t>Europe &amp; Central Asia</t>
        </is>
      </c>
      <c r="D654" s="7" t="inlineStr">
        <is>
          <t>High income</t>
        </is>
      </c>
      <c r="E654" s="7" t="b">
        <v>0</v>
      </c>
      <c r="F654" s="7" t="inlineStr">
        <is>
          <t>em_gas_mt</t>
        </is>
      </c>
      <c r="G654" s="7" t="n">
        <v>0</v>
      </c>
      <c r="H654" s="7" t="n">
        <v>2024</v>
      </c>
      <c r="I654" s="7" t="inlineStr">
        <is>
          <t>release_generation_yearly_global.csv (Ember)</t>
        </is>
      </c>
    </row>
    <row r="655">
      <c r="A655" s="7" t="inlineStr">
        <is>
          <t>CYP</t>
        </is>
      </c>
      <c r="B655" s="7" t="inlineStr">
        <is>
          <t>Cyprus</t>
        </is>
      </c>
      <c r="C655" s="7" t="inlineStr">
        <is>
          <t>Europe &amp; Central Asia</t>
        </is>
      </c>
      <c r="D655" s="7" t="inlineStr">
        <is>
          <t>High income</t>
        </is>
      </c>
      <c r="E655" s="7" t="b">
        <v>0</v>
      </c>
      <c r="F655" s="7" t="inlineStr">
        <is>
          <t>em_oil_mt</t>
        </is>
      </c>
      <c r="G655" s="7" t="n">
        <v>2.895</v>
      </c>
      <c r="H655" s="7" t="n">
        <v>2024</v>
      </c>
      <c r="I655" s="7" t="inlineStr">
        <is>
          <t>release_generation_yearly_global.csv (Ember)</t>
        </is>
      </c>
    </row>
    <row r="656">
      <c r="A656" s="7" t="inlineStr">
        <is>
          <t>CYP</t>
        </is>
      </c>
      <c r="B656" s="7" t="inlineStr">
        <is>
          <t>Cyprus</t>
        </is>
      </c>
      <c r="C656" s="7" t="inlineStr">
        <is>
          <t>Europe &amp; Central Asia</t>
        </is>
      </c>
      <c r="D656" s="7" t="inlineStr">
        <is>
          <t>High income</t>
        </is>
      </c>
      <c r="E656" s="7" t="b">
        <v>0</v>
      </c>
      <c r="F656" s="7" t="inlineStr">
        <is>
          <t>ff_subsidy_explicit_pct_gdp</t>
        </is>
      </c>
      <c r="G656" s="7" t="n">
        <v>0</v>
      </c>
      <c r="H656" s="7" t="inlineStr">
        <is>
          <t>2024</t>
        </is>
      </c>
      <c r="I656" s="7" t="inlineStr">
        <is>
          <t>imffossilfuelsubsidiesdata.xlsb</t>
        </is>
      </c>
    </row>
    <row r="657">
      <c r="A657" s="7" t="inlineStr">
        <is>
          <t>CYP</t>
        </is>
      </c>
      <c r="B657" s="7" t="inlineStr">
        <is>
          <t>Cyprus</t>
        </is>
      </c>
      <c r="C657" s="7" t="inlineStr">
        <is>
          <t>Europe &amp; Central Asia</t>
        </is>
      </c>
      <c r="D657" s="7" t="inlineStr">
        <is>
          <t>High income</t>
        </is>
      </c>
      <c r="E657" s="7" t="b">
        <v>0</v>
      </c>
      <c r="F657" s="7" t="inlineStr">
        <is>
          <t>fuel_exports_pct_merch</t>
        </is>
      </c>
      <c r="G657" s="7" t="n">
        <v>49.069</v>
      </c>
      <c r="H657" s="7" t="inlineStr">
        <is>
          <t>2024</t>
        </is>
      </c>
      <c r="I657" s="7" t="inlineStr">
        <is>
          <t>API_TX_VAL_FUEL_ZS_UN_DS2_en_csv_v2_33055.zip</t>
        </is>
      </c>
    </row>
    <row r="658">
      <c r="A658" s="7" t="inlineStr">
        <is>
          <t>CYP</t>
        </is>
      </c>
      <c r="B658" s="7" t="inlineStr">
        <is>
          <t>Cyprus</t>
        </is>
      </c>
      <c r="C658" s="7" t="inlineStr">
        <is>
          <t>Europe &amp; Central Asia</t>
        </is>
      </c>
      <c r="D658" s="7" t="inlineStr">
        <is>
          <t>High income</t>
        </is>
      </c>
      <c r="E658" s="7" t="b">
        <v>0</v>
      </c>
      <c r="F658" s="7" t="inlineStr">
        <is>
          <t>gen_coal_twh</t>
        </is>
      </c>
      <c r="G658" s="7" t="n">
        <v>0</v>
      </c>
      <c r="H658" s="7" t="n">
        <v>2024</v>
      </c>
      <c r="I658" s="7" t="inlineStr">
        <is>
          <t>release_generation_yearly_global.csv (Ember)</t>
        </is>
      </c>
    </row>
    <row r="659">
      <c r="A659" s="7" t="inlineStr">
        <is>
          <t>CYP</t>
        </is>
      </c>
      <c r="B659" s="7" t="inlineStr">
        <is>
          <t>Cyprus</t>
        </is>
      </c>
      <c r="C659" s="7" t="inlineStr">
        <is>
          <t>Europe &amp; Central Asia</t>
        </is>
      </c>
      <c r="D659" s="7" t="inlineStr">
        <is>
          <t>High income</t>
        </is>
      </c>
      <c r="E659" s="7" t="b">
        <v>0</v>
      </c>
      <c r="F659" s="7" t="inlineStr">
        <is>
          <t>gen_gas_twh</t>
        </is>
      </c>
      <c r="G659" s="7" t="n">
        <v>0</v>
      </c>
      <c r="H659" s="7" t="n">
        <v>2024</v>
      </c>
      <c r="I659" s="7" t="inlineStr">
        <is>
          <t>release_generation_yearly_global.csv (Ember)</t>
        </is>
      </c>
    </row>
    <row r="660">
      <c r="A660" s="7" t="inlineStr">
        <is>
          <t>CYP</t>
        </is>
      </c>
      <c r="B660" s="7" t="inlineStr">
        <is>
          <t>Cyprus</t>
        </is>
      </c>
      <c r="C660" s="7" t="inlineStr">
        <is>
          <t>Europe &amp; Central Asia</t>
        </is>
      </c>
      <c r="D660" s="7" t="inlineStr">
        <is>
          <t>High income</t>
        </is>
      </c>
      <c r="E660" s="7" t="b">
        <v>0</v>
      </c>
      <c r="F660" s="7" t="inlineStr">
        <is>
          <t>gen_oil_twh</t>
        </is>
      </c>
      <c r="G660" s="7" t="n">
        <v>4.4</v>
      </c>
      <c r="H660" s="7" t="n">
        <v>2024</v>
      </c>
      <c r="I660" s="7" t="inlineStr">
        <is>
          <t>release_generation_yearly_global.csv (Ember)</t>
        </is>
      </c>
    </row>
    <row r="661">
      <c r="A661" s="7" t="inlineStr">
        <is>
          <t>CYP</t>
        </is>
      </c>
      <c r="B661" s="7" t="inlineStr">
        <is>
          <t>Cyprus</t>
        </is>
      </c>
      <c r="C661" s="7" t="inlineStr">
        <is>
          <t>Europe &amp; Central Asia</t>
        </is>
      </c>
      <c r="D661" s="7" t="inlineStr">
        <is>
          <t>High income</t>
        </is>
      </c>
      <c r="E661" s="7" t="b">
        <v>0</v>
      </c>
      <c r="F661" s="7" t="inlineStr">
        <is>
          <t>gen_total_twh</t>
        </is>
      </c>
      <c r="G661" s="7" t="n">
        <v>5.79</v>
      </c>
      <c r="H661" s="7" t="n">
        <v>2024</v>
      </c>
      <c r="I661" s="7" t="inlineStr">
        <is>
          <t>release_generation_yearly_global.csv (Ember)</t>
        </is>
      </c>
    </row>
    <row r="662">
      <c r="A662" s="7" t="inlineStr">
        <is>
          <t>CYP</t>
        </is>
      </c>
      <c r="B662" s="7" t="inlineStr">
        <is>
          <t>Cyprus</t>
        </is>
      </c>
      <c r="C662" s="7" t="inlineStr">
        <is>
          <t>Europe &amp; Central Asia</t>
        </is>
      </c>
      <c r="D662" s="7" t="inlineStr">
        <is>
          <t>High income</t>
        </is>
      </c>
      <c r="E662" s="7" t="b">
        <v>0</v>
      </c>
      <c r="F662" s="7" t="inlineStr">
        <is>
          <t>power_market_structure</t>
        </is>
      </c>
      <c r="G662" s="7" t="n">
        <v>1</v>
      </c>
      <c r="H662" s="7" t="inlineStr">
        <is>
          <t>2013</t>
        </is>
      </c>
      <c r="I662" s="7" t="inlineStr">
        <is>
          <t>dataverse_files.zip</t>
        </is>
      </c>
    </row>
    <row r="663">
      <c r="A663" s="7" t="inlineStr">
        <is>
          <t>CYP</t>
        </is>
      </c>
      <c r="B663" s="7" t="inlineStr">
        <is>
          <t>Cyprus</t>
        </is>
      </c>
      <c r="C663" s="7" t="inlineStr">
        <is>
          <t>Europe &amp; Central Asia</t>
        </is>
      </c>
      <c r="D663" s="7" t="inlineStr">
        <is>
          <t>High income</t>
        </is>
      </c>
      <c r="E663" s="7" t="b">
        <v>0</v>
      </c>
      <c r="F663" s="7" t="inlineStr">
        <is>
          <t>price_coal_power_usd_gj</t>
        </is>
      </c>
      <c r="G663" s="7" t="n">
        <v>10.312</v>
      </c>
      <c r="H663" s="7" t="inlineStr">
        <is>
          <t>2024</t>
        </is>
      </c>
      <c r="I663" s="7" t="inlineStr">
        <is>
          <t>imffossilfuelsubsidiesdata.xlsb</t>
        </is>
      </c>
    </row>
    <row r="664">
      <c r="A664" s="7" t="inlineStr">
        <is>
          <t>CYP</t>
        </is>
      </c>
      <c r="B664" s="7" t="inlineStr">
        <is>
          <t>Cyprus</t>
        </is>
      </c>
      <c r="C664" s="7" t="inlineStr">
        <is>
          <t>Europe &amp; Central Asia</t>
        </is>
      </c>
      <c r="D664" s="7" t="inlineStr">
        <is>
          <t>High income</t>
        </is>
      </c>
      <c r="E664" s="7" t="b">
        <v>0</v>
      </c>
      <c r="F664" s="7" t="inlineStr">
        <is>
          <t>price_electricity_residential_usd_kwh</t>
        </is>
      </c>
      <c r="G664" s="7" t="n">
        <v>0.351</v>
      </c>
      <c r="H664" s="7" t="inlineStr">
        <is>
          <t>2024</t>
        </is>
      </c>
      <c r="I664" s="7" t="inlineStr">
        <is>
          <t>imffossilfuelsubsidiesdata.xlsb</t>
        </is>
      </c>
    </row>
    <row r="665">
      <c r="A665" s="7" t="inlineStr">
        <is>
          <t>CYP</t>
        </is>
      </c>
      <c r="B665" s="7" t="inlineStr">
        <is>
          <t>Cyprus</t>
        </is>
      </c>
      <c r="C665" s="7" t="inlineStr">
        <is>
          <t>Europe &amp; Central Asia</t>
        </is>
      </c>
      <c r="D665" s="7" t="inlineStr">
        <is>
          <t>High income</t>
        </is>
      </c>
      <c r="E665" s="7" t="b">
        <v>0</v>
      </c>
      <c r="F665" s="7" t="inlineStr">
        <is>
          <t>price_gas_industry_usd_gj</t>
        </is>
      </c>
      <c r="G665" s="7" t="n">
        <v>16.484</v>
      </c>
      <c r="H665" s="7" t="inlineStr">
        <is>
          <t>2024</t>
        </is>
      </c>
      <c r="I665" s="7" t="inlineStr">
        <is>
          <t>imffossilfuelsubsidiesdata.xlsb</t>
        </is>
      </c>
    </row>
    <row r="666">
      <c r="A666" s="7" t="inlineStr">
        <is>
          <t>CYP</t>
        </is>
      </c>
      <c r="B666" s="7" t="inlineStr">
        <is>
          <t>Cyprus</t>
        </is>
      </c>
      <c r="C666" s="7" t="inlineStr">
        <is>
          <t>Europe &amp; Central Asia</t>
        </is>
      </c>
      <c r="D666" s="7" t="inlineStr">
        <is>
          <t>High income</t>
        </is>
      </c>
      <c r="E666" s="7" t="b">
        <v>0</v>
      </c>
      <c r="F666" s="7" t="inlineStr">
        <is>
          <t>price_gas_power_usd_gj</t>
        </is>
      </c>
      <c r="G666" s="7" t="n">
        <v>15.159</v>
      </c>
      <c r="H666" s="7" t="inlineStr">
        <is>
          <t>2024</t>
        </is>
      </c>
      <c r="I666" s="7" t="inlineStr">
        <is>
          <t>imffossilfuelsubsidiesdata.xlsb</t>
        </is>
      </c>
    </row>
    <row r="667">
      <c r="A667" s="7" t="inlineStr">
        <is>
          <t>CZE</t>
        </is>
      </c>
      <c r="B667" s="7" t="inlineStr">
        <is>
          <t>Czechia</t>
        </is>
      </c>
      <c r="C667" s="7" t="inlineStr">
        <is>
          <t>Europe &amp; Central Asia</t>
        </is>
      </c>
      <c r="D667" s="7" t="inlineStr">
        <is>
          <t>High income</t>
        </is>
      </c>
      <c r="E667" s="7" t="b">
        <v>0</v>
      </c>
      <c r="F667" s="7" t="inlineStr">
        <is>
          <t>coal_rents_pct_gdp</t>
        </is>
      </c>
      <c r="G667" s="7" t="n">
        <v>0.094</v>
      </c>
      <c r="H667" s="7" t="inlineStr">
        <is>
          <t>2021</t>
        </is>
      </c>
      <c r="I667" s="7" t="inlineStr">
        <is>
          <t>API_NY_GDP_COAL_RT_ZS_DS2_en_csv_v2_35370.zip</t>
        </is>
      </c>
    </row>
    <row r="668">
      <c r="A668" s="7" t="inlineStr">
        <is>
          <t>CZE</t>
        </is>
      </c>
      <c r="B668" s="7" t="inlineStr">
        <is>
          <t>Czechia</t>
        </is>
      </c>
      <c r="C668" s="7" t="inlineStr">
        <is>
          <t>Europe &amp; Central Asia</t>
        </is>
      </c>
      <c r="D668" s="7" t="inlineStr">
        <is>
          <t>High income</t>
        </is>
      </c>
      <c r="E668" s="7" t="b">
        <v>0</v>
      </c>
      <c r="F668" s="7" t="inlineStr">
        <is>
          <t>em_coal_mt</t>
        </is>
      </c>
      <c r="G668" s="7" t="n">
        <v>26.675</v>
      </c>
      <c r="H668" s="7" t="n">
        <v>2024</v>
      </c>
      <c r="I668" s="7" t="inlineStr">
        <is>
          <t>release_generation_yearly_global.csv (Ember)</t>
        </is>
      </c>
    </row>
    <row r="669">
      <c r="A669" s="7" t="inlineStr">
        <is>
          <t>CZE</t>
        </is>
      </c>
      <c r="B669" s="7" t="inlineStr">
        <is>
          <t>Czechia</t>
        </is>
      </c>
      <c r="C669" s="7" t="inlineStr">
        <is>
          <t>Europe &amp; Central Asia</t>
        </is>
      </c>
      <c r="D669" s="7" t="inlineStr">
        <is>
          <t>High income</t>
        </is>
      </c>
      <c r="E669" s="7" t="b">
        <v>0</v>
      </c>
      <c r="F669" s="7" t="inlineStr">
        <is>
          <t>em_gas_mt</t>
        </is>
      </c>
      <c r="G669" s="7" t="n">
        <v>1.611</v>
      </c>
      <c r="H669" s="7" t="n">
        <v>2024</v>
      </c>
      <c r="I669" s="7" t="inlineStr">
        <is>
          <t>release_generation_yearly_global.csv (Ember)</t>
        </is>
      </c>
    </row>
    <row r="670">
      <c r="A670" s="7" t="inlineStr">
        <is>
          <t>CZE</t>
        </is>
      </c>
      <c r="B670" s="7" t="inlineStr">
        <is>
          <t>Czechia</t>
        </is>
      </c>
      <c r="C670" s="7" t="inlineStr">
        <is>
          <t>Europe &amp; Central Asia</t>
        </is>
      </c>
      <c r="D670" s="7" t="inlineStr">
        <is>
          <t>High income</t>
        </is>
      </c>
      <c r="E670" s="7" t="b">
        <v>0</v>
      </c>
      <c r="F670" s="7" t="inlineStr">
        <is>
          <t>em_oil_mt</t>
        </is>
      </c>
      <c r="G670" s="7" t="n">
        <v>0.329</v>
      </c>
      <c r="H670" s="7" t="n">
        <v>2024</v>
      </c>
      <c r="I670" s="7" t="inlineStr">
        <is>
          <t>release_generation_yearly_global.csv (Ember)</t>
        </is>
      </c>
    </row>
    <row r="671">
      <c r="A671" s="7" t="inlineStr">
        <is>
          <t>CZE</t>
        </is>
      </c>
      <c r="B671" s="7" t="inlineStr">
        <is>
          <t>Czechia</t>
        </is>
      </c>
      <c r="C671" s="7" t="inlineStr">
        <is>
          <t>Europe &amp; Central Asia</t>
        </is>
      </c>
      <c r="D671" s="7" t="inlineStr">
        <is>
          <t>High income</t>
        </is>
      </c>
      <c r="E671" s="7" t="b">
        <v>0</v>
      </c>
      <c r="F671" s="7" t="inlineStr">
        <is>
          <t>ff_subsidy_explicit_pct_gdp</t>
        </is>
      </c>
      <c r="G671" s="7" t="n">
        <v>0</v>
      </c>
      <c r="H671" s="7" t="inlineStr">
        <is>
          <t>2024</t>
        </is>
      </c>
      <c r="I671" s="7" t="inlineStr">
        <is>
          <t>imffossilfuelsubsidiesdata.xlsb</t>
        </is>
      </c>
    </row>
    <row r="672">
      <c r="A672" s="7" t="inlineStr">
        <is>
          <t>CZE</t>
        </is>
      </c>
      <c r="B672" s="7" t="inlineStr">
        <is>
          <t>Czechia</t>
        </is>
      </c>
      <c r="C672" s="7" t="inlineStr">
        <is>
          <t>Europe &amp; Central Asia</t>
        </is>
      </c>
      <c r="D672" s="7" t="inlineStr">
        <is>
          <t>High income</t>
        </is>
      </c>
      <c r="E672" s="7" t="b">
        <v>0</v>
      </c>
      <c r="F672" s="7" t="inlineStr">
        <is>
          <t>fuel_exports_pct_merch</t>
        </is>
      </c>
      <c r="G672" s="7" t="n">
        <v>1.65</v>
      </c>
      <c r="H672" s="7" t="inlineStr">
        <is>
          <t>2024</t>
        </is>
      </c>
      <c r="I672" s="7" t="inlineStr">
        <is>
          <t>API_TX_VAL_FUEL_ZS_UN_DS2_en_csv_v2_33055.zip</t>
        </is>
      </c>
    </row>
    <row r="673">
      <c r="A673" s="7" t="inlineStr">
        <is>
          <t>CZE</t>
        </is>
      </c>
      <c r="B673" s="7" t="inlineStr">
        <is>
          <t>Czechia</t>
        </is>
      </c>
      <c r="C673" s="7" t="inlineStr">
        <is>
          <t>Europe &amp; Central Asia</t>
        </is>
      </c>
      <c r="D673" s="7" t="inlineStr">
        <is>
          <t>High income</t>
        </is>
      </c>
      <c r="E673" s="7" t="b">
        <v>0</v>
      </c>
      <c r="F673" s="7" t="inlineStr">
        <is>
          <t>gen_coal_twh</t>
        </is>
      </c>
      <c r="G673" s="7" t="n">
        <v>26.52</v>
      </c>
      <c r="H673" s="7" t="n">
        <v>2024</v>
      </c>
      <c r="I673" s="7" t="inlineStr">
        <is>
          <t>release_generation_yearly_global.csv (Ember)</t>
        </is>
      </c>
    </row>
    <row r="674">
      <c r="A674" s="7" t="inlineStr">
        <is>
          <t>CZE</t>
        </is>
      </c>
      <c r="B674" s="7" t="inlineStr">
        <is>
          <t>Czechia</t>
        </is>
      </c>
      <c r="C674" s="7" t="inlineStr">
        <is>
          <t>Europe &amp; Central Asia</t>
        </is>
      </c>
      <c r="D674" s="7" t="inlineStr">
        <is>
          <t>High income</t>
        </is>
      </c>
      <c r="E674" s="7" t="b">
        <v>0</v>
      </c>
      <c r="F674" s="7" t="inlineStr">
        <is>
          <t>gen_gas_twh</t>
        </is>
      </c>
      <c r="G674" s="7" t="n">
        <v>3.79</v>
      </c>
      <c r="H674" s="7" t="n">
        <v>2024</v>
      </c>
      <c r="I674" s="7" t="inlineStr">
        <is>
          <t>release_generation_yearly_global.csv (Ember)</t>
        </is>
      </c>
    </row>
    <row r="675">
      <c r="A675" s="7" t="inlineStr">
        <is>
          <t>CZE</t>
        </is>
      </c>
      <c r="B675" s="7" t="inlineStr">
        <is>
          <t>Czechia</t>
        </is>
      </c>
      <c r="C675" s="7" t="inlineStr">
        <is>
          <t>Europe &amp; Central Asia</t>
        </is>
      </c>
      <c r="D675" s="7" t="inlineStr">
        <is>
          <t>High income</t>
        </is>
      </c>
      <c r="E675" s="7" t="b">
        <v>0</v>
      </c>
      <c r="F675" s="7" t="inlineStr">
        <is>
          <t>gen_oil_twh</t>
        </is>
      </c>
      <c r="G675" s="7" t="n">
        <v>0.5</v>
      </c>
      <c r="H675" s="7" t="n">
        <v>2024</v>
      </c>
      <c r="I675" s="7" t="inlineStr">
        <is>
          <t>release_generation_yearly_global.csv (Ember)</t>
        </is>
      </c>
    </row>
    <row r="676">
      <c r="A676" s="7" t="inlineStr">
        <is>
          <t>CZE</t>
        </is>
      </c>
      <c r="B676" s="7" t="inlineStr">
        <is>
          <t>Czechia</t>
        </is>
      </c>
      <c r="C676" s="7" t="inlineStr">
        <is>
          <t>Europe &amp; Central Asia</t>
        </is>
      </c>
      <c r="D676" s="7" t="inlineStr">
        <is>
          <t>High income</t>
        </is>
      </c>
      <c r="E676" s="7" t="b">
        <v>0</v>
      </c>
      <c r="F676" s="7" t="inlineStr">
        <is>
          <t>gen_total_twh</t>
        </is>
      </c>
      <c r="G676" s="7" t="n">
        <v>72.81</v>
      </c>
      <c r="H676" s="7" t="n">
        <v>2024</v>
      </c>
      <c r="I676" s="7" t="inlineStr">
        <is>
          <t>release_generation_yearly_global.csv (Ember)</t>
        </is>
      </c>
    </row>
    <row r="677">
      <c r="A677" s="7" t="inlineStr">
        <is>
          <t>CZE</t>
        </is>
      </c>
      <c r="B677" s="7" t="inlineStr">
        <is>
          <t>Czechia</t>
        </is>
      </c>
      <c r="C677" s="7" t="inlineStr">
        <is>
          <t>Europe &amp; Central Asia</t>
        </is>
      </c>
      <c r="D677" s="7" t="inlineStr">
        <is>
          <t>High income</t>
        </is>
      </c>
      <c r="E677" s="7" t="b">
        <v>0</v>
      </c>
      <c r="F677" s="7" t="inlineStr">
        <is>
          <t>price_coal_power_usd_gj</t>
        </is>
      </c>
      <c r="G677" s="7" t="n">
        <v>10.146</v>
      </c>
      <c r="H677" s="7" t="inlineStr">
        <is>
          <t>2024</t>
        </is>
      </c>
      <c r="I677" s="7" t="inlineStr">
        <is>
          <t>imffossilfuelsubsidiesdata.xlsb</t>
        </is>
      </c>
    </row>
    <row r="678">
      <c r="A678" s="7" t="inlineStr">
        <is>
          <t>CZE</t>
        </is>
      </c>
      <c r="B678" s="7" t="inlineStr">
        <is>
          <t>Czechia</t>
        </is>
      </c>
      <c r="C678" s="7" t="inlineStr">
        <is>
          <t>Europe &amp; Central Asia</t>
        </is>
      </c>
      <c r="D678" s="7" t="inlineStr">
        <is>
          <t>High income</t>
        </is>
      </c>
      <c r="E678" s="7" t="b">
        <v>0</v>
      </c>
      <c r="F678" s="7" t="inlineStr">
        <is>
          <t>price_electricity_residential_usd_kwh</t>
        </is>
      </c>
      <c r="G678" s="7" t="n">
        <v>0.362</v>
      </c>
      <c r="H678" s="7" t="inlineStr">
        <is>
          <t>2024</t>
        </is>
      </c>
      <c r="I678" s="7" t="inlineStr">
        <is>
          <t>imffossilfuelsubsidiesdata.xlsb</t>
        </is>
      </c>
    </row>
    <row r="679">
      <c r="A679" s="7" t="inlineStr">
        <is>
          <t>CZE</t>
        </is>
      </c>
      <c r="B679" s="7" t="inlineStr">
        <is>
          <t>Czechia</t>
        </is>
      </c>
      <c r="C679" s="7" t="inlineStr">
        <is>
          <t>Europe &amp; Central Asia</t>
        </is>
      </c>
      <c r="D679" s="7" t="inlineStr">
        <is>
          <t>High income</t>
        </is>
      </c>
      <c r="E679" s="7" t="b">
        <v>0</v>
      </c>
      <c r="F679" s="7" t="inlineStr">
        <is>
          <t>price_gas_industry_usd_gj</t>
        </is>
      </c>
      <c r="G679" s="7" t="n">
        <v>22.918</v>
      </c>
      <c r="H679" s="7" t="inlineStr">
        <is>
          <t>2024</t>
        </is>
      </c>
      <c r="I679" s="7" t="inlineStr">
        <is>
          <t>imffossilfuelsubsidiesdata.xlsb</t>
        </is>
      </c>
    </row>
    <row r="680">
      <c r="A680" s="7" t="inlineStr">
        <is>
          <t>CZE</t>
        </is>
      </c>
      <c r="B680" s="7" t="inlineStr">
        <is>
          <t>Czechia</t>
        </is>
      </c>
      <c r="C680" s="7" t="inlineStr">
        <is>
          <t>Europe &amp; Central Asia</t>
        </is>
      </c>
      <c r="D680" s="7" t="inlineStr">
        <is>
          <t>High income</t>
        </is>
      </c>
      <c r="E680" s="7" t="b">
        <v>0</v>
      </c>
      <c r="F680" s="7" t="inlineStr">
        <is>
          <t>price_gas_power_usd_gj</t>
        </is>
      </c>
      <c r="G680" s="7" t="n">
        <v>22.918</v>
      </c>
      <c r="H680" s="7" t="inlineStr">
        <is>
          <t>2024</t>
        </is>
      </c>
      <c r="I680" s="7" t="inlineStr">
        <is>
          <t>imffossilfuelsubsidiesdata.xlsb</t>
        </is>
      </c>
    </row>
    <row r="681">
      <c r="A681" s="7" t="inlineStr">
        <is>
          <t>CZE</t>
        </is>
      </c>
      <c r="B681" s="7" t="inlineStr">
        <is>
          <t>Czechia</t>
        </is>
      </c>
      <c r="C681" s="7" t="inlineStr">
        <is>
          <t>Europe &amp; Central Asia</t>
        </is>
      </c>
      <c r="D681" s="7" t="inlineStr">
        <is>
          <t>High income</t>
        </is>
      </c>
      <c r="E681" s="7" t="b">
        <v>0</v>
      </c>
      <c r="F681" s="7" t="inlineStr">
        <is>
          <t>rise_renewable_energy_score</t>
        </is>
      </c>
      <c r="G681" s="7" t="n">
        <v>77.70399999999999</v>
      </c>
      <c r="H681" s="7" t="inlineStr">
        <is>
          <t>2023</t>
        </is>
      </c>
      <c r="I681" s="7" t="inlineStr">
        <is>
          <t>WB_RISE_WIDEF.csv</t>
        </is>
      </c>
    </row>
    <row r="682">
      <c r="A682" s="7" t="inlineStr">
        <is>
          <t>DEU</t>
        </is>
      </c>
      <c r="B682" s="7" t="inlineStr">
        <is>
          <t>Germany</t>
        </is>
      </c>
      <c r="C682" s="7" t="inlineStr">
        <is>
          <t>Europe &amp; Central Asia</t>
        </is>
      </c>
      <c r="D682" s="7" t="inlineStr">
        <is>
          <t>High income</t>
        </is>
      </c>
      <c r="E682" s="7" t="b">
        <v>0</v>
      </c>
      <c r="F682" s="7" t="inlineStr">
        <is>
          <t>coal_rents_pct_gdp</t>
        </is>
      </c>
      <c r="G682" s="7" t="n">
        <v>0.014</v>
      </c>
      <c r="H682" s="7" t="inlineStr">
        <is>
          <t>2021</t>
        </is>
      </c>
      <c r="I682" s="7" t="inlineStr">
        <is>
          <t>API_NY_GDP_COAL_RT_ZS_DS2_en_csv_v2_35370.zip</t>
        </is>
      </c>
    </row>
    <row r="683">
      <c r="A683" s="7" t="inlineStr">
        <is>
          <t>DEU</t>
        </is>
      </c>
      <c r="B683" s="7" t="inlineStr">
        <is>
          <t>Germany</t>
        </is>
      </c>
      <c r="C683" s="7" t="inlineStr">
        <is>
          <t>Europe &amp; Central Asia</t>
        </is>
      </c>
      <c r="D683" s="7" t="inlineStr">
        <is>
          <t>High income</t>
        </is>
      </c>
      <c r="E683" s="7" t="b">
        <v>0</v>
      </c>
      <c r="F683" s="7" t="inlineStr">
        <is>
          <t>em_coal_mt</t>
        </is>
      </c>
      <c r="G683" s="7" t="n">
        <v>103.078</v>
      </c>
      <c r="H683" s="7" t="n">
        <v>2024</v>
      </c>
      <c r="I683" s="7" t="inlineStr">
        <is>
          <t>release_generation_yearly_global.csv (Ember)</t>
        </is>
      </c>
    </row>
    <row r="684">
      <c r="A684" s="7" t="inlineStr">
        <is>
          <t>DEU</t>
        </is>
      </c>
      <c r="B684" s="7" t="inlineStr">
        <is>
          <t>Germany</t>
        </is>
      </c>
      <c r="C684" s="7" t="inlineStr">
        <is>
          <t>Europe &amp; Central Asia</t>
        </is>
      </c>
      <c r="D684" s="7" t="inlineStr">
        <is>
          <t>High income</t>
        </is>
      </c>
      <c r="E684" s="7" t="b">
        <v>0</v>
      </c>
      <c r="F684" s="7" t="inlineStr">
        <is>
          <t>em_gas_mt</t>
        </is>
      </c>
      <c r="G684" s="7" t="n">
        <v>33.81</v>
      </c>
      <c r="H684" s="7" t="n">
        <v>2024</v>
      </c>
      <c r="I684" s="7" t="inlineStr">
        <is>
          <t>release_generation_yearly_global.csv (Ember)</t>
        </is>
      </c>
    </row>
    <row r="685">
      <c r="A685" s="7" t="inlineStr">
        <is>
          <t>DEU</t>
        </is>
      </c>
      <c r="B685" s="7" t="inlineStr">
        <is>
          <t>Germany</t>
        </is>
      </c>
      <c r="C685" s="7" t="inlineStr">
        <is>
          <t>Europe &amp; Central Asia</t>
        </is>
      </c>
      <c r="D685" s="7" t="inlineStr">
        <is>
          <t>High income</t>
        </is>
      </c>
      <c r="E685" s="7" t="b">
        <v>0</v>
      </c>
      <c r="F685" s="7" t="inlineStr">
        <is>
          <t>em_oil_mt</t>
        </is>
      </c>
      <c r="G685" s="7" t="n">
        <v>13.417</v>
      </c>
      <c r="H685" s="7" t="n">
        <v>2024</v>
      </c>
      <c r="I685" s="7" t="inlineStr">
        <is>
          <t>release_generation_yearly_global.csv (Ember)</t>
        </is>
      </c>
    </row>
    <row r="686">
      <c r="A686" s="7" t="inlineStr">
        <is>
          <t>DEU</t>
        </is>
      </c>
      <c r="B686" s="7" t="inlineStr">
        <is>
          <t>Germany</t>
        </is>
      </c>
      <c r="C686" s="7" t="inlineStr">
        <is>
          <t>Europe &amp; Central Asia</t>
        </is>
      </c>
      <c r="D686" s="7" t="inlineStr">
        <is>
          <t>High income</t>
        </is>
      </c>
      <c r="E686" s="7" t="b">
        <v>0</v>
      </c>
      <c r="F686" s="7" t="inlineStr">
        <is>
          <t>ff_subsidy_explicit_pct_gdp</t>
        </is>
      </c>
      <c r="G686" s="7" t="n">
        <v>0.016</v>
      </c>
      <c r="H686" s="7" t="inlineStr">
        <is>
          <t>2024</t>
        </is>
      </c>
      <c r="I686" s="7" t="inlineStr">
        <is>
          <t>imffossilfuelsubsidiesdata.xlsb</t>
        </is>
      </c>
    </row>
    <row r="687">
      <c r="A687" s="7" t="inlineStr">
        <is>
          <t>DEU</t>
        </is>
      </c>
      <c r="B687" s="7" t="inlineStr">
        <is>
          <t>Germany</t>
        </is>
      </c>
      <c r="C687" s="7" t="inlineStr">
        <is>
          <t>Europe &amp; Central Asia</t>
        </is>
      </c>
      <c r="D687" s="7" t="inlineStr">
        <is>
          <t>High income</t>
        </is>
      </c>
      <c r="E687" s="7" t="b">
        <v>0</v>
      </c>
      <c r="F687" s="7" t="inlineStr">
        <is>
          <t>fuel_exports_pct_merch</t>
        </is>
      </c>
      <c r="G687" s="7" t="n">
        <v>2.075</v>
      </c>
      <c r="H687" s="7" t="inlineStr">
        <is>
          <t>2024</t>
        </is>
      </c>
      <c r="I687" s="7" t="inlineStr">
        <is>
          <t>API_TX_VAL_FUEL_ZS_UN_DS2_en_csv_v2_33055.zip</t>
        </is>
      </c>
    </row>
    <row r="688">
      <c r="A688" s="7" t="inlineStr">
        <is>
          <t>DEU</t>
        </is>
      </c>
      <c r="B688" s="7" t="inlineStr">
        <is>
          <t>Germany</t>
        </is>
      </c>
      <c r="C688" s="7" t="inlineStr">
        <is>
          <t>Europe &amp; Central Asia</t>
        </is>
      </c>
      <c r="D688" s="7" t="inlineStr">
        <is>
          <t>High income</t>
        </is>
      </c>
      <c r="E688" s="7" t="b">
        <v>0</v>
      </c>
      <c r="F688" s="7" t="inlineStr">
        <is>
          <t>gen_coal_twh</t>
        </is>
      </c>
      <c r="G688" s="7" t="n">
        <v>106.33</v>
      </c>
      <c r="H688" s="7" t="n">
        <v>2024</v>
      </c>
      <c r="I688" s="7" t="inlineStr">
        <is>
          <t>release_generation_yearly_global.csv (Ember)</t>
        </is>
      </c>
    </row>
    <row r="689">
      <c r="A689" s="7" t="inlineStr">
        <is>
          <t>DEU</t>
        </is>
      </c>
      <c r="B689" s="7" t="inlineStr">
        <is>
          <t>Germany</t>
        </is>
      </c>
      <c r="C689" s="7" t="inlineStr">
        <is>
          <t>Europe &amp; Central Asia</t>
        </is>
      </c>
      <c r="D689" s="7" t="inlineStr">
        <is>
          <t>High income</t>
        </is>
      </c>
      <c r="E689" s="7" t="b">
        <v>0</v>
      </c>
      <c r="F689" s="7" t="inlineStr">
        <is>
          <t>gen_gas_twh</t>
        </is>
      </c>
      <c r="G689" s="7" t="n">
        <v>78.41</v>
      </c>
      <c r="H689" s="7" t="n">
        <v>2024</v>
      </c>
      <c r="I689" s="7" t="inlineStr">
        <is>
          <t>release_generation_yearly_global.csv (Ember)</t>
        </is>
      </c>
    </row>
    <row r="690">
      <c r="A690" s="7" t="inlineStr">
        <is>
          <t>DEU</t>
        </is>
      </c>
      <c r="B690" s="7" t="inlineStr">
        <is>
          <t>Germany</t>
        </is>
      </c>
      <c r="C690" s="7" t="inlineStr">
        <is>
          <t>Europe &amp; Central Asia</t>
        </is>
      </c>
      <c r="D690" s="7" t="inlineStr">
        <is>
          <t>High income</t>
        </is>
      </c>
      <c r="E690" s="7" t="b">
        <v>0</v>
      </c>
      <c r="F690" s="7" t="inlineStr">
        <is>
          <t>gen_oil_twh</t>
        </is>
      </c>
      <c r="G690" s="7" t="n">
        <v>20.39</v>
      </c>
      <c r="H690" s="7" t="n">
        <v>2024</v>
      </c>
      <c r="I690" s="7" t="inlineStr">
        <is>
          <t>release_generation_yearly_global.csv (Ember)</t>
        </is>
      </c>
    </row>
    <row r="691">
      <c r="A691" s="7" t="inlineStr">
        <is>
          <t>DEU</t>
        </is>
      </c>
      <c r="B691" s="7" t="inlineStr">
        <is>
          <t>Germany</t>
        </is>
      </c>
      <c r="C691" s="7" t="inlineStr">
        <is>
          <t>Europe &amp; Central Asia</t>
        </is>
      </c>
      <c r="D691" s="7" t="inlineStr">
        <is>
          <t>High income</t>
        </is>
      </c>
      <c r="E691" s="7" t="b">
        <v>0</v>
      </c>
      <c r="F691" s="7" t="inlineStr">
        <is>
          <t>gen_total_twh</t>
        </is>
      </c>
      <c r="G691" s="7" t="n">
        <v>495.99</v>
      </c>
      <c r="H691" s="7" t="n">
        <v>2024</v>
      </c>
      <c r="I691" s="7" t="inlineStr">
        <is>
          <t>release_generation_yearly_global.csv (Ember)</t>
        </is>
      </c>
    </row>
    <row r="692">
      <c r="A692" s="7" t="inlineStr">
        <is>
          <t>DEU</t>
        </is>
      </c>
      <c r="B692" s="7" t="inlineStr">
        <is>
          <t>Germany</t>
        </is>
      </c>
      <c r="C692" s="7" t="inlineStr">
        <is>
          <t>Europe &amp; Central Asia</t>
        </is>
      </c>
      <c r="D692" s="7" t="inlineStr">
        <is>
          <t>High income</t>
        </is>
      </c>
      <c r="E692" s="7" t="b">
        <v>0</v>
      </c>
      <c r="F692" s="7" t="inlineStr">
        <is>
          <t>price_coal_power_usd_gj</t>
        </is>
      </c>
      <c r="G692" s="7" t="n">
        <v>13.456</v>
      </c>
      <c r="H692" s="7" t="inlineStr">
        <is>
          <t>2024</t>
        </is>
      </c>
      <c r="I692" s="7" t="inlineStr">
        <is>
          <t>imffossilfuelsubsidiesdata.xlsb</t>
        </is>
      </c>
    </row>
    <row r="693">
      <c r="A693" s="7" t="inlineStr">
        <is>
          <t>DEU</t>
        </is>
      </c>
      <c r="B693" s="7" t="inlineStr">
        <is>
          <t>Germany</t>
        </is>
      </c>
      <c r="C693" s="7" t="inlineStr">
        <is>
          <t>Europe &amp; Central Asia</t>
        </is>
      </c>
      <c r="D693" s="7" t="inlineStr">
        <is>
          <t>High income</t>
        </is>
      </c>
      <c r="E693" s="7" t="b">
        <v>0</v>
      </c>
      <c r="F693" s="7" t="inlineStr">
        <is>
          <t>price_electricity_residential_usd_kwh</t>
        </is>
      </c>
      <c r="G693" s="7" t="n">
        <v>0.427</v>
      </c>
      <c r="H693" s="7" t="inlineStr">
        <is>
          <t>2024</t>
        </is>
      </c>
      <c r="I693" s="7" t="inlineStr">
        <is>
          <t>imffossilfuelsubsidiesdata.xlsb</t>
        </is>
      </c>
    </row>
    <row r="694">
      <c r="A694" s="7" t="inlineStr">
        <is>
          <t>DEU</t>
        </is>
      </c>
      <c r="B694" s="7" t="inlineStr">
        <is>
          <t>Germany</t>
        </is>
      </c>
      <c r="C694" s="7" t="inlineStr">
        <is>
          <t>Europe &amp; Central Asia</t>
        </is>
      </c>
      <c r="D694" s="7" t="inlineStr">
        <is>
          <t>High income</t>
        </is>
      </c>
      <c r="E694" s="7" t="b">
        <v>0</v>
      </c>
      <c r="F694" s="7" t="inlineStr">
        <is>
          <t>price_gas_industry_usd_gj</t>
        </is>
      </c>
      <c r="G694" s="7" t="n">
        <v>24.576</v>
      </c>
      <c r="H694" s="7" t="inlineStr">
        <is>
          <t>2024</t>
        </is>
      </c>
      <c r="I694" s="7" t="inlineStr">
        <is>
          <t>imffossilfuelsubsidiesdata.xlsb</t>
        </is>
      </c>
    </row>
    <row r="695">
      <c r="A695" s="7" t="inlineStr">
        <is>
          <t>DEU</t>
        </is>
      </c>
      <c r="B695" s="7" t="inlineStr">
        <is>
          <t>Germany</t>
        </is>
      </c>
      <c r="C695" s="7" t="inlineStr">
        <is>
          <t>Europe &amp; Central Asia</t>
        </is>
      </c>
      <c r="D695" s="7" t="inlineStr">
        <is>
          <t>High income</t>
        </is>
      </c>
      <c r="E695" s="7" t="b">
        <v>0</v>
      </c>
      <c r="F695" s="7" t="inlineStr">
        <is>
          <t>price_gas_power_usd_gj</t>
        </is>
      </c>
      <c r="G695" s="7" t="n">
        <v>24.576</v>
      </c>
      <c r="H695" s="7" t="inlineStr">
        <is>
          <t>2024</t>
        </is>
      </c>
      <c r="I695" s="7" t="inlineStr">
        <is>
          <t>imffossilfuelsubsidiesdata.xlsb</t>
        </is>
      </c>
    </row>
    <row r="696">
      <c r="A696" s="7" t="inlineStr">
        <is>
          <t>DEU</t>
        </is>
      </c>
      <c r="B696" s="7" t="inlineStr">
        <is>
          <t>Germany</t>
        </is>
      </c>
      <c r="C696" s="7" t="inlineStr">
        <is>
          <t>Europe &amp; Central Asia</t>
        </is>
      </c>
      <c r="D696" s="7" t="inlineStr">
        <is>
          <t>High income</t>
        </is>
      </c>
      <c r="E696" s="7" t="b">
        <v>0</v>
      </c>
      <c r="F696" s="7" t="inlineStr">
        <is>
          <t>rise_renewable_energy_score</t>
        </is>
      </c>
      <c r="G696" s="7" t="n">
        <v>85.94199999999999</v>
      </c>
      <c r="H696" s="7" t="inlineStr">
        <is>
          <t>2023</t>
        </is>
      </c>
      <c r="I696" s="7" t="inlineStr">
        <is>
          <t>WB_RISE_WIDEF.csv</t>
        </is>
      </c>
    </row>
    <row r="697">
      <c r="A697" s="7" t="inlineStr">
        <is>
          <t>DJI</t>
        </is>
      </c>
      <c r="B697" s="7" t="inlineStr">
        <is>
          <t>Djibouti</t>
        </is>
      </c>
      <c r="C697" s="7" t="inlineStr">
        <is>
          <t>Middle East &amp; North Africa</t>
        </is>
      </c>
      <c r="D697" s="7" t="inlineStr">
        <is>
          <t>Lower middle income</t>
        </is>
      </c>
      <c r="E697" s="7" t="b">
        <v>1</v>
      </c>
      <c r="F697" s="7" t="inlineStr">
        <is>
          <t>coal_rents_pct_gdp</t>
        </is>
      </c>
      <c r="G697" s="7" t="n">
        <v>0</v>
      </c>
      <c r="H697" s="7" t="inlineStr">
        <is>
          <t>2021</t>
        </is>
      </c>
      <c r="I697" s="7" t="inlineStr">
        <is>
          <t>API_NY_GDP_COAL_RT_ZS_DS2_en_csv_v2_35370.zip</t>
        </is>
      </c>
    </row>
    <row r="698">
      <c r="A698" s="7" t="inlineStr">
        <is>
          <t>DJI</t>
        </is>
      </c>
      <c r="B698" s="7" t="inlineStr">
        <is>
          <t>Djibouti</t>
        </is>
      </c>
      <c r="C698" s="7" t="inlineStr">
        <is>
          <t>Middle East &amp; North Africa</t>
        </is>
      </c>
      <c r="D698" s="7" t="inlineStr">
        <is>
          <t>Lower middle income</t>
        </is>
      </c>
      <c r="E698" s="7" t="b">
        <v>1</v>
      </c>
      <c r="F698" s="7" t="inlineStr">
        <is>
          <t>em_coal_mt</t>
        </is>
      </c>
      <c r="G698" s="7" t="n">
        <v>0</v>
      </c>
      <c r="H698" s="7" t="n">
        <v>2024</v>
      </c>
      <c r="I698" s="7" t="inlineStr">
        <is>
          <t>release_generation_yearly_global.csv (Ember)</t>
        </is>
      </c>
    </row>
    <row r="699">
      <c r="A699" s="7" t="inlineStr">
        <is>
          <t>DJI</t>
        </is>
      </c>
      <c r="B699" s="7" t="inlineStr">
        <is>
          <t>Djibouti</t>
        </is>
      </c>
      <c r="C699" s="7" t="inlineStr">
        <is>
          <t>Middle East &amp; North Africa</t>
        </is>
      </c>
      <c r="D699" s="7" t="inlineStr">
        <is>
          <t>Lower middle income</t>
        </is>
      </c>
      <c r="E699" s="7" t="b">
        <v>1</v>
      </c>
      <c r="F699" s="7" t="inlineStr">
        <is>
          <t>em_gas_mt</t>
        </is>
      </c>
      <c r="G699" s="7" t="n">
        <v>0</v>
      </c>
      <c r="H699" s="7" t="n">
        <v>2024</v>
      </c>
      <c r="I699" s="7" t="inlineStr">
        <is>
          <t>release_generation_yearly_global.csv (Ember)</t>
        </is>
      </c>
    </row>
    <row r="700">
      <c r="A700" s="7" t="inlineStr">
        <is>
          <t>DJI</t>
        </is>
      </c>
      <c r="B700" s="7" t="inlineStr">
        <is>
          <t>Djibouti</t>
        </is>
      </c>
      <c r="C700" s="7" t="inlineStr">
        <is>
          <t>Middle East &amp; North Africa</t>
        </is>
      </c>
      <c r="D700" s="7" t="inlineStr">
        <is>
          <t>Lower middle income</t>
        </is>
      </c>
      <c r="E700" s="7" t="b">
        <v>1</v>
      </c>
      <c r="F700" s="7" t="inlineStr">
        <is>
          <t>em_oil_mt</t>
        </is>
      </c>
      <c r="G700" s="7" t="n">
        <v>0.08599999999999999</v>
      </c>
      <c r="H700" s="7" t="n">
        <v>2024</v>
      </c>
      <c r="I700" s="7" t="inlineStr">
        <is>
          <t>release_generation_yearly_global.csv (Ember)</t>
        </is>
      </c>
    </row>
    <row r="701">
      <c r="A701" s="7" t="inlineStr">
        <is>
          <t>DJI</t>
        </is>
      </c>
      <c r="B701" s="7" t="inlineStr">
        <is>
          <t>Djibouti</t>
        </is>
      </c>
      <c r="C701" s="7" t="inlineStr">
        <is>
          <t>Middle East &amp; North Africa</t>
        </is>
      </c>
      <c r="D701" s="7" t="inlineStr">
        <is>
          <t>Lower middle income</t>
        </is>
      </c>
      <c r="E701" s="7" t="b">
        <v>1</v>
      </c>
      <c r="F701" s="7" t="inlineStr">
        <is>
          <t>ff_subsidy_explicit_pct_gdp</t>
        </is>
      </c>
      <c r="G701" s="7" t="n">
        <v>0</v>
      </c>
      <c r="H701" s="7" t="inlineStr">
        <is>
          <t>2024</t>
        </is>
      </c>
      <c r="I701" s="7" t="inlineStr">
        <is>
          <t>imffossilfuelsubsidiesdata.xlsb</t>
        </is>
      </c>
    </row>
    <row r="702">
      <c r="A702" s="7" t="inlineStr">
        <is>
          <t>DJI</t>
        </is>
      </c>
      <c r="B702" s="7" t="inlineStr">
        <is>
          <t>Djibouti</t>
        </is>
      </c>
      <c r="C702" s="7" t="inlineStr">
        <is>
          <t>Middle East &amp; North Africa</t>
        </is>
      </c>
      <c r="D702" s="7" t="inlineStr">
        <is>
          <t>Lower middle income</t>
        </is>
      </c>
      <c r="E702" s="7" t="b">
        <v>1</v>
      </c>
      <c r="F702" s="7" t="inlineStr">
        <is>
          <t>fuel_exports_pct_merch</t>
        </is>
      </c>
      <c r="G702" s="7" t="n">
        <v>0.995</v>
      </c>
      <c r="H702" s="7" t="inlineStr">
        <is>
          <t>2023</t>
        </is>
      </c>
      <c r="I702" s="7" t="inlineStr">
        <is>
          <t>API_TX_VAL_FUEL_ZS_UN_DS2_en_csv_v2_33055.zip</t>
        </is>
      </c>
    </row>
    <row r="703">
      <c r="A703" s="7" t="inlineStr">
        <is>
          <t>DJI</t>
        </is>
      </c>
      <c r="B703" s="7" t="inlineStr">
        <is>
          <t>Djibouti</t>
        </is>
      </c>
      <c r="C703" s="7" t="inlineStr">
        <is>
          <t>Middle East &amp; North Africa</t>
        </is>
      </c>
      <c r="D703" s="7" t="inlineStr">
        <is>
          <t>Lower middle income</t>
        </is>
      </c>
      <c r="E703" s="7" t="b">
        <v>1</v>
      </c>
      <c r="F703" s="7" t="inlineStr">
        <is>
          <t>gen_coal_twh</t>
        </is>
      </c>
      <c r="G703" s="7" t="n">
        <v>0</v>
      </c>
      <c r="H703" s="7" t="n">
        <v>2024</v>
      </c>
      <c r="I703" s="7" t="inlineStr">
        <is>
          <t>release_generation_yearly_global.csv (Ember)</t>
        </is>
      </c>
    </row>
    <row r="704">
      <c r="A704" s="7" t="inlineStr">
        <is>
          <t>DJI</t>
        </is>
      </c>
      <c r="B704" s="7" t="inlineStr">
        <is>
          <t>Djibouti</t>
        </is>
      </c>
      <c r="C704" s="7" t="inlineStr">
        <is>
          <t>Middle East &amp; North Africa</t>
        </is>
      </c>
      <c r="D704" s="7" t="inlineStr">
        <is>
          <t>Lower middle income</t>
        </is>
      </c>
      <c r="E704" s="7" t="b">
        <v>1</v>
      </c>
      <c r="F704" s="7" t="inlineStr">
        <is>
          <t>gen_gas_twh</t>
        </is>
      </c>
      <c r="G704" s="7" t="n">
        <v>0</v>
      </c>
      <c r="H704" s="7" t="n">
        <v>2024</v>
      </c>
      <c r="I704" s="7" t="inlineStr">
        <is>
          <t>release_generation_yearly_global.csv (Ember)</t>
        </is>
      </c>
    </row>
    <row r="705">
      <c r="A705" s="7" t="inlineStr">
        <is>
          <t>DJI</t>
        </is>
      </c>
      <c r="B705" s="7" t="inlineStr">
        <is>
          <t>Djibouti</t>
        </is>
      </c>
      <c r="C705" s="7" t="inlineStr">
        <is>
          <t>Middle East &amp; North Africa</t>
        </is>
      </c>
      <c r="D705" s="7" t="inlineStr">
        <is>
          <t>Lower middle income</t>
        </is>
      </c>
      <c r="E705" s="7" t="b">
        <v>1</v>
      </c>
      <c r="F705" s="7" t="inlineStr">
        <is>
          <t>gen_oil_twh</t>
        </is>
      </c>
      <c r="G705" s="7" t="n">
        <v>0.13</v>
      </c>
      <c r="H705" s="7" t="n">
        <v>2024</v>
      </c>
      <c r="I705" s="7" t="inlineStr">
        <is>
          <t>release_generation_yearly_global.csv (Ember)</t>
        </is>
      </c>
    </row>
    <row r="706">
      <c r="A706" s="7" t="inlineStr">
        <is>
          <t>DJI</t>
        </is>
      </c>
      <c r="B706" s="7" t="inlineStr">
        <is>
          <t>Djibouti</t>
        </is>
      </c>
      <c r="C706" s="7" t="inlineStr">
        <is>
          <t>Middle East &amp; North Africa</t>
        </is>
      </c>
      <c r="D706" s="7" t="inlineStr">
        <is>
          <t>Lower middle income</t>
        </is>
      </c>
      <c r="E706" s="7" t="b">
        <v>1</v>
      </c>
      <c r="F706" s="7" t="inlineStr">
        <is>
          <t>gen_total_twh</t>
        </is>
      </c>
      <c r="G706" s="7" t="n">
        <v>0.2</v>
      </c>
      <c r="H706" s="7" t="n">
        <v>2024</v>
      </c>
      <c r="I706" s="7" t="inlineStr">
        <is>
          <t>release_generation_yearly_global.csv (Ember)</t>
        </is>
      </c>
    </row>
    <row r="707">
      <c r="A707" s="7" t="inlineStr">
        <is>
          <t>DJI</t>
        </is>
      </c>
      <c r="B707" s="7" t="inlineStr">
        <is>
          <t>Djibouti</t>
        </is>
      </c>
      <c r="C707" s="7" t="inlineStr">
        <is>
          <t>Middle East &amp; North Africa</t>
        </is>
      </c>
      <c r="D707" s="7" t="inlineStr">
        <is>
          <t>Lower middle income</t>
        </is>
      </c>
      <c r="E707" s="7" t="b">
        <v>1</v>
      </c>
      <c r="F707" s="7" t="inlineStr">
        <is>
          <t>power_market_structure</t>
        </is>
      </c>
      <c r="G707" s="7" t="n">
        <v>1</v>
      </c>
      <c r="H707" s="7" t="inlineStr">
        <is>
          <t>2013</t>
        </is>
      </c>
      <c r="I707" s="7" t="inlineStr">
        <is>
          <t>dataverse_files.zip</t>
        </is>
      </c>
    </row>
    <row r="708">
      <c r="A708" s="7" t="inlineStr">
        <is>
          <t>DJI</t>
        </is>
      </c>
      <c r="B708" s="7" t="inlineStr">
        <is>
          <t>Djibouti</t>
        </is>
      </c>
      <c r="C708" s="7" t="inlineStr">
        <is>
          <t>Middle East &amp; North Africa</t>
        </is>
      </c>
      <c r="D708" s="7" t="inlineStr">
        <is>
          <t>Lower middle income</t>
        </is>
      </c>
      <c r="E708" s="7" t="b">
        <v>1</v>
      </c>
      <c r="F708" s="7" t="inlineStr">
        <is>
          <t>price_coal_power_usd_gj</t>
        </is>
      </c>
      <c r="G708" s="7" t="n">
        <v>5.575</v>
      </c>
      <c r="H708" s="7" t="inlineStr">
        <is>
          <t>2024</t>
        </is>
      </c>
      <c r="I708" s="7" t="inlineStr">
        <is>
          <t>imffossilfuelsubsidiesdata.xlsb</t>
        </is>
      </c>
    </row>
    <row r="709">
      <c r="A709" s="7" t="inlineStr">
        <is>
          <t>DJI</t>
        </is>
      </c>
      <c r="B709" s="7" t="inlineStr">
        <is>
          <t>Djibouti</t>
        </is>
      </c>
      <c r="C709" s="7" t="inlineStr">
        <is>
          <t>Middle East &amp; North Africa</t>
        </is>
      </c>
      <c r="D709" s="7" t="inlineStr">
        <is>
          <t>Lower middle income</t>
        </is>
      </c>
      <c r="E709" s="7" t="b">
        <v>1</v>
      </c>
      <c r="F709" s="7" t="inlineStr">
        <is>
          <t>price_electricity_residential_usd_kwh</t>
        </is>
      </c>
      <c r="G709" s="7" t="n">
        <v>0.267</v>
      </c>
      <c r="H709" s="7" t="inlineStr">
        <is>
          <t>2024</t>
        </is>
      </c>
      <c r="I709" s="7" t="inlineStr">
        <is>
          <t>imffossilfuelsubsidiesdata.xlsb</t>
        </is>
      </c>
    </row>
    <row r="710">
      <c r="A710" s="7" t="inlineStr">
        <is>
          <t>DJI</t>
        </is>
      </c>
      <c r="B710" s="7" t="inlineStr">
        <is>
          <t>Djibouti</t>
        </is>
      </c>
      <c r="C710" s="7" t="inlineStr">
        <is>
          <t>Middle East &amp; North Africa</t>
        </is>
      </c>
      <c r="D710" s="7" t="inlineStr">
        <is>
          <t>Lower middle income</t>
        </is>
      </c>
      <c r="E710" s="7" t="b">
        <v>1</v>
      </c>
      <c r="F710" s="7" t="inlineStr">
        <is>
          <t>price_gas_industry_usd_gj</t>
        </is>
      </c>
      <c r="G710" s="7" t="n">
        <v>7.059</v>
      </c>
      <c r="H710" s="7" t="inlineStr">
        <is>
          <t>2024</t>
        </is>
      </c>
      <c r="I710" s="7" t="inlineStr">
        <is>
          <t>imffossilfuelsubsidiesdata.xlsb</t>
        </is>
      </c>
    </row>
    <row r="711">
      <c r="A711" s="7" t="inlineStr">
        <is>
          <t>DJI</t>
        </is>
      </c>
      <c r="B711" s="7" t="inlineStr">
        <is>
          <t>Djibouti</t>
        </is>
      </c>
      <c r="C711" s="7" t="inlineStr">
        <is>
          <t>Middle East &amp; North Africa</t>
        </is>
      </c>
      <c r="D711" s="7" t="inlineStr">
        <is>
          <t>Lower middle income</t>
        </is>
      </c>
      <c r="E711" s="7" t="b">
        <v>1</v>
      </c>
      <c r="F711" s="7" t="inlineStr">
        <is>
          <t>price_gas_power_usd_gj</t>
        </is>
      </c>
      <c r="G711" s="7" t="n">
        <v>5.735</v>
      </c>
      <c r="H711" s="7" t="inlineStr">
        <is>
          <t>2024</t>
        </is>
      </c>
      <c r="I711" s="7" t="inlineStr">
        <is>
          <t>imffossilfuelsubsidiesdata.xlsb</t>
        </is>
      </c>
    </row>
    <row r="712">
      <c r="A712" s="7" t="inlineStr">
        <is>
          <t>DMA</t>
        </is>
      </c>
      <c r="B712" s="7" t="inlineStr">
        <is>
          <t>Dominica</t>
        </is>
      </c>
      <c r="C712" s="7" t="inlineStr">
        <is>
          <t>Latin America &amp; Caribbean</t>
        </is>
      </c>
      <c r="D712" s="7" t="inlineStr">
        <is>
          <t>Upper middle income</t>
        </is>
      </c>
      <c r="E712" s="7" t="b">
        <v>1</v>
      </c>
      <c r="F712" s="7" t="inlineStr">
        <is>
          <t>coal_rents_pct_gdp</t>
        </is>
      </c>
      <c r="G712" s="7" t="n">
        <v>0</v>
      </c>
      <c r="H712" s="7" t="inlineStr">
        <is>
          <t>2021</t>
        </is>
      </c>
      <c r="I712" s="7" t="inlineStr">
        <is>
          <t>API_NY_GDP_COAL_RT_ZS_DS2_en_csv_v2_35370.zip</t>
        </is>
      </c>
    </row>
    <row r="713">
      <c r="A713" s="7" t="inlineStr">
        <is>
          <t>DMA</t>
        </is>
      </c>
      <c r="B713" s="7" t="inlineStr">
        <is>
          <t>Dominica</t>
        </is>
      </c>
      <c r="C713" s="7" t="inlineStr">
        <is>
          <t>Latin America &amp; Caribbean</t>
        </is>
      </c>
      <c r="D713" s="7" t="inlineStr">
        <is>
          <t>Upper middle income</t>
        </is>
      </c>
      <c r="E713" s="7" t="b">
        <v>1</v>
      </c>
      <c r="F713" s="7" t="inlineStr">
        <is>
          <t>ff_subsidy_explicit_pct_gdp</t>
        </is>
      </c>
      <c r="G713" s="7" t="n">
        <v>0.225</v>
      </c>
      <c r="H713" s="7" t="inlineStr">
        <is>
          <t>2024</t>
        </is>
      </c>
      <c r="I713" s="7" t="inlineStr">
        <is>
          <t>imffossilfuelsubsidiesdata.xlsb</t>
        </is>
      </c>
    </row>
    <row r="714">
      <c r="A714" s="7" t="inlineStr">
        <is>
          <t>DMA</t>
        </is>
      </c>
      <c r="B714" s="7" t="inlineStr">
        <is>
          <t>Dominica</t>
        </is>
      </c>
      <c r="C714" s="7" t="inlineStr">
        <is>
          <t>Latin America &amp; Caribbean</t>
        </is>
      </c>
      <c r="D714" s="7" t="inlineStr">
        <is>
          <t>Upper middle income</t>
        </is>
      </c>
      <c r="E714" s="7" t="b">
        <v>1</v>
      </c>
      <c r="F714" s="7" t="inlineStr">
        <is>
          <t>fuel_exports_pct_merch</t>
        </is>
      </c>
      <c r="G714" s="7" t="n">
        <v>0.008</v>
      </c>
      <c r="H714" s="7" t="inlineStr">
        <is>
          <t>2023</t>
        </is>
      </c>
      <c r="I714" s="7" t="inlineStr">
        <is>
          <t>API_TX_VAL_FUEL_ZS_UN_DS2_en_csv_v2_33055.zip</t>
        </is>
      </c>
    </row>
    <row r="715">
      <c r="A715" s="7" t="inlineStr">
        <is>
          <t>DMA</t>
        </is>
      </c>
      <c r="B715" s="7" t="inlineStr">
        <is>
          <t>Dominica</t>
        </is>
      </c>
      <c r="C715" s="7" t="inlineStr">
        <is>
          <t>Latin America &amp; Caribbean</t>
        </is>
      </c>
      <c r="D715" s="7" t="inlineStr">
        <is>
          <t>Upper middle income</t>
        </is>
      </c>
      <c r="E715" s="7" t="b">
        <v>1</v>
      </c>
      <c r="F715" s="7" t="inlineStr">
        <is>
          <t>power_market_structure</t>
        </is>
      </c>
      <c r="G715" s="7" t="n">
        <v>3</v>
      </c>
      <c r="H715" s="7" t="inlineStr">
        <is>
          <t>2013</t>
        </is>
      </c>
      <c r="I715" s="7" t="inlineStr">
        <is>
          <t>dataverse_files.zip</t>
        </is>
      </c>
    </row>
    <row r="716">
      <c r="A716" s="7" t="inlineStr">
        <is>
          <t>DMA</t>
        </is>
      </c>
      <c r="B716" s="7" t="inlineStr">
        <is>
          <t>Dominica</t>
        </is>
      </c>
      <c r="C716" s="7" t="inlineStr">
        <is>
          <t>Latin America &amp; Caribbean</t>
        </is>
      </c>
      <c r="D716" s="7" t="inlineStr">
        <is>
          <t>Upper middle income</t>
        </is>
      </c>
      <c r="E716" s="7" t="b">
        <v>1</v>
      </c>
      <c r="F716" s="7" t="inlineStr">
        <is>
          <t>price_coal_power_usd_gj</t>
        </is>
      </c>
      <c r="G716" s="7" t="n">
        <v>5.575</v>
      </c>
      <c r="H716" s="7" t="inlineStr">
        <is>
          <t>2024</t>
        </is>
      </c>
      <c r="I716" s="7" t="inlineStr">
        <is>
          <t>imffossilfuelsubsidiesdata.xlsb</t>
        </is>
      </c>
    </row>
    <row r="717">
      <c r="A717" s="7" t="inlineStr">
        <is>
          <t>DMA</t>
        </is>
      </c>
      <c r="B717" s="7" t="inlineStr">
        <is>
          <t>Dominica</t>
        </is>
      </c>
      <c r="C717" s="7" t="inlineStr">
        <is>
          <t>Latin America &amp; Caribbean</t>
        </is>
      </c>
      <c r="D717" s="7" t="inlineStr">
        <is>
          <t>Upper middle income</t>
        </is>
      </c>
      <c r="E717" s="7" t="b">
        <v>1</v>
      </c>
      <c r="F717" s="7" t="inlineStr">
        <is>
          <t>price_electricity_residential_usd_kwh</t>
        </is>
      </c>
      <c r="G717" s="7" t="n">
        <v>0.254</v>
      </c>
      <c r="H717" s="7" t="inlineStr">
        <is>
          <t>2024</t>
        </is>
      </c>
      <c r="I717" s="7" t="inlineStr">
        <is>
          <t>imffossilfuelsubsidiesdata.xlsb</t>
        </is>
      </c>
    </row>
    <row r="718">
      <c r="A718" s="7" t="inlineStr">
        <is>
          <t>DMA</t>
        </is>
      </c>
      <c r="B718" s="7" t="inlineStr">
        <is>
          <t>Dominica</t>
        </is>
      </c>
      <c r="C718" s="7" t="inlineStr">
        <is>
          <t>Latin America &amp; Caribbean</t>
        </is>
      </c>
      <c r="D718" s="7" t="inlineStr">
        <is>
          <t>Upper middle income</t>
        </is>
      </c>
      <c r="E718" s="7" t="b">
        <v>1</v>
      </c>
      <c r="F718" s="7" t="inlineStr">
        <is>
          <t>price_gas_industry_usd_gj</t>
        </is>
      </c>
      <c r="G718" s="7" t="n">
        <v>8.176</v>
      </c>
      <c r="H718" s="7" t="inlineStr">
        <is>
          <t>2024</t>
        </is>
      </c>
      <c r="I718" s="7" t="inlineStr">
        <is>
          <t>imffossilfuelsubsidiesdata.xlsb</t>
        </is>
      </c>
    </row>
    <row r="719">
      <c r="A719" s="7" t="inlineStr">
        <is>
          <t>DMA</t>
        </is>
      </c>
      <c r="B719" s="7" t="inlineStr">
        <is>
          <t>Dominica</t>
        </is>
      </c>
      <c r="C719" s="7" t="inlineStr">
        <is>
          <t>Latin America &amp; Caribbean</t>
        </is>
      </c>
      <c r="D719" s="7" t="inlineStr">
        <is>
          <t>Upper middle income</t>
        </is>
      </c>
      <c r="E719" s="7" t="b">
        <v>1</v>
      </c>
      <c r="F719" s="7" t="inlineStr">
        <is>
          <t>price_gas_power_usd_gj</t>
        </is>
      </c>
      <c r="G719" s="7" t="n">
        <v>6.853</v>
      </c>
      <c r="H719" s="7" t="inlineStr">
        <is>
          <t>2024</t>
        </is>
      </c>
      <c r="I719" s="7" t="inlineStr">
        <is>
          <t>imffossilfuelsubsidiesdata.xlsb</t>
        </is>
      </c>
    </row>
    <row r="720">
      <c r="A720" s="7" t="inlineStr">
        <is>
          <t>DNK</t>
        </is>
      </c>
      <c r="B720" s="7" t="inlineStr">
        <is>
          <t>Denmark</t>
        </is>
      </c>
      <c r="C720" s="7" t="inlineStr">
        <is>
          <t>Europe &amp; Central Asia</t>
        </is>
      </c>
      <c r="D720" s="7" t="inlineStr">
        <is>
          <t>High income</t>
        </is>
      </c>
      <c r="E720" s="7" t="b">
        <v>0</v>
      </c>
      <c r="F720" s="7" t="inlineStr">
        <is>
          <t>coal_rents_pct_gdp</t>
        </is>
      </c>
      <c r="G720" s="7" t="n">
        <v>0</v>
      </c>
      <c r="H720" s="7" t="inlineStr">
        <is>
          <t>2021</t>
        </is>
      </c>
      <c r="I720" s="7" t="inlineStr">
        <is>
          <t>API_NY_GDP_COAL_RT_ZS_DS2_en_csv_v2_35370.zip</t>
        </is>
      </c>
    </row>
    <row r="721">
      <c r="A721" s="7" t="inlineStr">
        <is>
          <t>DNK</t>
        </is>
      </c>
      <c r="B721" s="7" t="inlineStr">
        <is>
          <t>Denmark</t>
        </is>
      </c>
      <c r="C721" s="7" t="inlineStr">
        <is>
          <t>Europe &amp; Central Asia</t>
        </is>
      </c>
      <c r="D721" s="7" t="inlineStr">
        <is>
          <t>High income</t>
        </is>
      </c>
      <c r="E721" s="7" t="b">
        <v>0</v>
      </c>
      <c r="F721" s="7" t="inlineStr">
        <is>
          <t>em_coal_mt</t>
        </is>
      </c>
      <c r="G721" s="7" t="n">
        <v>1.599</v>
      </c>
      <c r="H721" s="7" t="n">
        <v>2024</v>
      </c>
      <c r="I721" s="7" t="inlineStr">
        <is>
          <t>release_generation_yearly_global.csv (Ember)</t>
        </is>
      </c>
    </row>
    <row r="722">
      <c r="A722" s="7" t="inlineStr">
        <is>
          <t>DNK</t>
        </is>
      </c>
      <c r="B722" s="7" t="inlineStr">
        <is>
          <t>Denmark</t>
        </is>
      </c>
      <c r="C722" s="7" t="inlineStr">
        <is>
          <t>Europe &amp; Central Asia</t>
        </is>
      </c>
      <c r="D722" s="7" t="inlineStr">
        <is>
          <t>High income</t>
        </is>
      </c>
      <c r="E722" s="7" t="b">
        <v>0</v>
      </c>
      <c r="F722" s="7" t="inlineStr">
        <is>
          <t>em_gas_mt</t>
        </is>
      </c>
      <c r="G722" s="7" t="n">
        <v>0.341</v>
      </c>
      <c r="H722" s="7" t="n">
        <v>2024</v>
      </c>
      <c r="I722" s="7" t="inlineStr">
        <is>
          <t>release_generation_yearly_global.csv (Ember)</t>
        </is>
      </c>
    </row>
    <row r="723">
      <c r="A723" s="7" t="inlineStr">
        <is>
          <t>DNK</t>
        </is>
      </c>
      <c r="B723" s="7" t="inlineStr">
        <is>
          <t>Denmark</t>
        </is>
      </c>
      <c r="C723" s="7" t="inlineStr">
        <is>
          <t>Europe &amp; Central Asia</t>
        </is>
      </c>
      <c r="D723" s="7" t="inlineStr">
        <is>
          <t>High income</t>
        </is>
      </c>
      <c r="E723" s="7" t="b">
        <v>0</v>
      </c>
      <c r="F723" s="7" t="inlineStr">
        <is>
          <t>em_oil_mt</t>
        </is>
      </c>
      <c r="G723" s="7" t="n">
        <v>0.744</v>
      </c>
      <c r="H723" s="7" t="n">
        <v>2024</v>
      </c>
      <c r="I723" s="7" t="inlineStr">
        <is>
          <t>release_generation_yearly_global.csv (Ember)</t>
        </is>
      </c>
    </row>
    <row r="724">
      <c r="A724" s="7" t="inlineStr">
        <is>
          <t>DNK</t>
        </is>
      </c>
      <c r="B724" s="7" t="inlineStr">
        <is>
          <t>Denmark</t>
        </is>
      </c>
      <c r="C724" s="7" t="inlineStr">
        <is>
          <t>Europe &amp; Central Asia</t>
        </is>
      </c>
      <c r="D724" s="7" t="inlineStr">
        <is>
          <t>High income</t>
        </is>
      </c>
      <c r="E724" s="7" t="b">
        <v>0</v>
      </c>
      <c r="F724" s="7" t="inlineStr">
        <is>
          <t>ff_subsidy_explicit_pct_gdp</t>
        </is>
      </c>
      <c r="G724" s="7" t="n">
        <v>0.102</v>
      </c>
      <c r="H724" s="7" t="inlineStr">
        <is>
          <t>2024</t>
        </is>
      </c>
      <c r="I724" s="7" t="inlineStr">
        <is>
          <t>imffossilfuelsubsidiesdata.xlsb</t>
        </is>
      </c>
    </row>
    <row r="725">
      <c r="A725" s="7" t="inlineStr">
        <is>
          <t>DNK</t>
        </is>
      </c>
      <c r="B725" s="7" t="inlineStr">
        <is>
          <t>Denmark</t>
        </is>
      </c>
      <c r="C725" s="7" t="inlineStr">
        <is>
          <t>Europe &amp; Central Asia</t>
        </is>
      </c>
      <c r="D725" s="7" t="inlineStr">
        <is>
          <t>High income</t>
        </is>
      </c>
      <c r="E725" s="7" t="b">
        <v>0</v>
      </c>
      <c r="F725" s="7" t="inlineStr">
        <is>
          <t>fuel_exports_pct_merch</t>
        </is>
      </c>
      <c r="G725" s="7" t="n">
        <v>3.951</v>
      </c>
      <c r="H725" s="7" t="inlineStr">
        <is>
          <t>2025</t>
        </is>
      </c>
      <c r="I725" s="7" t="inlineStr">
        <is>
          <t>API_TX_VAL_FUEL_ZS_UN_DS2_en_csv_v2_33055.zip</t>
        </is>
      </c>
    </row>
    <row r="726">
      <c r="A726" s="7" t="inlineStr">
        <is>
          <t>DNK</t>
        </is>
      </c>
      <c r="B726" s="7" t="inlineStr">
        <is>
          <t>Denmark</t>
        </is>
      </c>
      <c r="C726" s="7" t="inlineStr">
        <is>
          <t>Europe &amp; Central Asia</t>
        </is>
      </c>
      <c r="D726" s="7" t="inlineStr">
        <is>
          <t>High income</t>
        </is>
      </c>
      <c r="E726" s="7" t="b">
        <v>0</v>
      </c>
      <c r="F726" s="7" t="inlineStr">
        <is>
          <t>gen_coal_twh</t>
        </is>
      </c>
      <c r="G726" s="7" t="n">
        <v>1.75</v>
      </c>
      <c r="H726" s="7" t="n">
        <v>2024</v>
      </c>
      <c r="I726" s="7" t="inlineStr">
        <is>
          <t>release_generation_yearly_global.csv (Ember)</t>
        </is>
      </c>
    </row>
    <row r="727">
      <c r="A727" s="7" t="inlineStr">
        <is>
          <t>DNK</t>
        </is>
      </c>
      <c r="B727" s="7" t="inlineStr">
        <is>
          <t>Denmark</t>
        </is>
      </c>
      <c r="C727" s="7" t="inlineStr">
        <is>
          <t>Europe &amp; Central Asia</t>
        </is>
      </c>
      <c r="D727" s="7" t="inlineStr">
        <is>
          <t>High income</t>
        </is>
      </c>
      <c r="E727" s="7" t="b">
        <v>0</v>
      </c>
      <c r="F727" s="7" t="inlineStr">
        <is>
          <t>gen_gas_twh</t>
        </is>
      </c>
      <c r="G727" s="7" t="n">
        <v>0.91</v>
      </c>
      <c r="H727" s="7" t="n">
        <v>2024</v>
      </c>
      <c r="I727" s="7" t="inlineStr">
        <is>
          <t>release_generation_yearly_global.csv (Ember)</t>
        </is>
      </c>
    </row>
    <row r="728">
      <c r="A728" s="7" t="inlineStr">
        <is>
          <t>DNK</t>
        </is>
      </c>
      <c r="B728" s="7" t="inlineStr">
        <is>
          <t>Denmark</t>
        </is>
      </c>
      <c r="C728" s="7" t="inlineStr">
        <is>
          <t>Europe &amp; Central Asia</t>
        </is>
      </c>
      <c r="D728" s="7" t="inlineStr">
        <is>
          <t>High income</t>
        </is>
      </c>
      <c r="E728" s="7" t="b">
        <v>0</v>
      </c>
      <c r="F728" s="7" t="inlineStr">
        <is>
          <t>gen_oil_twh</t>
        </is>
      </c>
      <c r="G728" s="7" t="n">
        <v>1.13</v>
      </c>
      <c r="H728" s="7" t="n">
        <v>2024</v>
      </c>
      <c r="I728" s="7" t="inlineStr">
        <is>
          <t>release_generation_yearly_global.csv (Ember)</t>
        </is>
      </c>
    </row>
    <row r="729">
      <c r="A729" s="7" t="inlineStr">
        <is>
          <t>DNK</t>
        </is>
      </c>
      <c r="B729" s="7" t="inlineStr">
        <is>
          <t>Denmark</t>
        </is>
      </c>
      <c r="C729" s="7" t="inlineStr">
        <is>
          <t>Europe &amp; Central Asia</t>
        </is>
      </c>
      <c r="D729" s="7" t="inlineStr">
        <is>
          <t>High income</t>
        </is>
      </c>
      <c r="E729" s="7" t="b">
        <v>0</v>
      </c>
      <c r="F729" s="7" t="inlineStr">
        <is>
          <t>gen_total_twh</t>
        </is>
      </c>
      <c r="G729" s="7" t="n">
        <v>35.25</v>
      </c>
      <c r="H729" s="7" t="n">
        <v>2024</v>
      </c>
      <c r="I729" s="7" t="inlineStr">
        <is>
          <t>release_generation_yearly_global.csv (Ember)</t>
        </is>
      </c>
    </row>
    <row r="730">
      <c r="A730" s="7" t="inlineStr">
        <is>
          <t>DNK</t>
        </is>
      </c>
      <c r="B730" s="7" t="inlineStr">
        <is>
          <t>Denmark</t>
        </is>
      </c>
      <c r="C730" s="7" t="inlineStr">
        <is>
          <t>Europe &amp; Central Asia</t>
        </is>
      </c>
      <c r="D730" s="7" t="inlineStr">
        <is>
          <t>High income</t>
        </is>
      </c>
      <c r="E730" s="7" t="b">
        <v>0</v>
      </c>
      <c r="F730" s="7" t="inlineStr">
        <is>
          <t>price_coal_power_usd_gj</t>
        </is>
      </c>
      <c r="G730" s="7" t="n">
        <v>13.763</v>
      </c>
      <c r="H730" s="7" t="inlineStr">
        <is>
          <t>2024</t>
        </is>
      </c>
      <c r="I730" s="7" t="inlineStr">
        <is>
          <t>imffossilfuelsubsidiesdata.xlsb</t>
        </is>
      </c>
    </row>
    <row r="731">
      <c r="A731" s="7" t="inlineStr">
        <is>
          <t>DNK</t>
        </is>
      </c>
      <c r="B731" s="7" t="inlineStr">
        <is>
          <t>Denmark</t>
        </is>
      </c>
      <c r="C731" s="7" t="inlineStr">
        <is>
          <t>Europe &amp; Central Asia</t>
        </is>
      </c>
      <c r="D731" s="7" t="inlineStr">
        <is>
          <t>High income</t>
        </is>
      </c>
      <c r="E731" s="7" t="b">
        <v>0</v>
      </c>
      <c r="F731" s="7" t="inlineStr">
        <is>
          <t>price_electricity_residential_usd_kwh</t>
        </is>
      </c>
      <c r="G731" s="7" t="n">
        <v>0.404</v>
      </c>
      <c r="H731" s="7" t="inlineStr">
        <is>
          <t>2024</t>
        </is>
      </c>
      <c r="I731" s="7" t="inlineStr">
        <is>
          <t>imffossilfuelsubsidiesdata.xlsb</t>
        </is>
      </c>
    </row>
    <row r="732">
      <c r="A732" s="7" t="inlineStr">
        <is>
          <t>DNK</t>
        </is>
      </c>
      <c r="B732" s="7" t="inlineStr">
        <is>
          <t>Denmark</t>
        </is>
      </c>
      <c r="C732" s="7" t="inlineStr">
        <is>
          <t>Europe &amp; Central Asia</t>
        </is>
      </c>
      <c r="D732" s="7" t="inlineStr">
        <is>
          <t>High income</t>
        </is>
      </c>
      <c r="E732" s="7" t="b">
        <v>0</v>
      </c>
      <c r="F732" s="7" t="inlineStr">
        <is>
          <t>price_gas_industry_usd_gj</t>
        </is>
      </c>
      <c r="G732" s="7" t="n">
        <v>21.029</v>
      </c>
      <c r="H732" s="7" t="inlineStr">
        <is>
          <t>2024</t>
        </is>
      </c>
      <c r="I732" s="7" t="inlineStr">
        <is>
          <t>imffossilfuelsubsidiesdata.xlsb</t>
        </is>
      </c>
    </row>
    <row r="733">
      <c r="A733" s="7" t="inlineStr">
        <is>
          <t>DNK</t>
        </is>
      </c>
      <c r="B733" s="7" t="inlineStr">
        <is>
          <t>Denmark</t>
        </is>
      </c>
      <c r="C733" s="7" t="inlineStr">
        <is>
          <t>Europe &amp; Central Asia</t>
        </is>
      </c>
      <c r="D733" s="7" t="inlineStr">
        <is>
          <t>High income</t>
        </is>
      </c>
      <c r="E733" s="7" t="b">
        <v>0</v>
      </c>
      <c r="F733" s="7" t="inlineStr">
        <is>
          <t>price_gas_power_usd_gj</t>
        </is>
      </c>
      <c r="G733" s="7" t="n">
        <v>21.029</v>
      </c>
      <c r="H733" s="7" t="inlineStr">
        <is>
          <t>2024</t>
        </is>
      </c>
      <c r="I733" s="7" t="inlineStr">
        <is>
          <t>imffossilfuelsubsidiesdata.xlsb</t>
        </is>
      </c>
    </row>
    <row r="734">
      <c r="A734" s="7" t="inlineStr">
        <is>
          <t>DNK</t>
        </is>
      </c>
      <c r="B734" s="7" t="inlineStr">
        <is>
          <t>Denmark</t>
        </is>
      </c>
      <c r="C734" s="7" t="inlineStr">
        <is>
          <t>Europe &amp; Central Asia</t>
        </is>
      </c>
      <c r="D734" s="7" t="inlineStr">
        <is>
          <t>High income</t>
        </is>
      </c>
      <c r="E734" s="7" t="b">
        <v>0</v>
      </c>
      <c r="F734" s="7" t="inlineStr">
        <is>
          <t>rise_renewable_energy_score</t>
        </is>
      </c>
      <c r="G734" s="7" t="n">
        <v>89.51900000000001</v>
      </c>
      <c r="H734" s="7" t="inlineStr">
        <is>
          <t>2023</t>
        </is>
      </c>
      <c r="I734" s="7" t="inlineStr">
        <is>
          <t>WB_RISE_WIDEF.csv</t>
        </is>
      </c>
    </row>
    <row r="735">
      <c r="A735" s="7" t="inlineStr">
        <is>
          <t>DOM</t>
        </is>
      </c>
      <c r="B735" s="7" t="inlineStr">
        <is>
          <t>Dominican Republic</t>
        </is>
      </c>
      <c r="C735" s="7" t="inlineStr">
        <is>
          <t>Latin America &amp; Caribbean</t>
        </is>
      </c>
      <c r="D735" s="7" t="inlineStr">
        <is>
          <t>Upper middle income</t>
        </is>
      </c>
      <c r="E735" s="7" t="b">
        <v>1</v>
      </c>
      <c r="F735" s="7" t="inlineStr">
        <is>
          <t>coal_rents_pct_gdp</t>
        </is>
      </c>
      <c r="G735" s="7" t="n">
        <v>0</v>
      </c>
      <c r="H735" s="7" t="inlineStr">
        <is>
          <t>2021</t>
        </is>
      </c>
      <c r="I735" s="7" t="inlineStr">
        <is>
          <t>API_NY_GDP_COAL_RT_ZS_DS2_en_csv_v2_35370.zip</t>
        </is>
      </c>
    </row>
    <row r="736">
      <c r="A736" s="7" t="inlineStr">
        <is>
          <t>DOM</t>
        </is>
      </c>
      <c r="B736" s="7" t="inlineStr">
        <is>
          <t>Dominican Republic</t>
        </is>
      </c>
      <c r="C736" s="7" t="inlineStr">
        <is>
          <t>Latin America &amp; Caribbean</t>
        </is>
      </c>
      <c r="D736" s="7" t="inlineStr">
        <is>
          <t>Upper middle income</t>
        </is>
      </c>
      <c r="E736" s="7" t="b">
        <v>1</v>
      </c>
      <c r="F736" s="7" t="inlineStr">
        <is>
          <t>em_coal_mt</t>
        </is>
      </c>
      <c r="G736" s="7" t="n">
        <v>6.276</v>
      </c>
      <c r="H736" s="7" t="n">
        <v>2024</v>
      </c>
      <c r="I736" s="7" t="inlineStr">
        <is>
          <t>release_generation_yearly_global.csv (Ember)</t>
        </is>
      </c>
    </row>
    <row r="737">
      <c r="A737" s="7" t="inlineStr">
        <is>
          <t>DOM</t>
        </is>
      </c>
      <c r="B737" s="7" t="inlineStr">
        <is>
          <t>Dominican Republic</t>
        </is>
      </c>
      <c r="C737" s="7" t="inlineStr">
        <is>
          <t>Latin America &amp; Caribbean</t>
        </is>
      </c>
      <c r="D737" s="7" t="inlineStr">
        <is>
          <t>Upper middle income</t>
        </is>
      </c>
      <c r="E737" s="7" t="b">
        <v>1</v>
      </c>
      <c r="F737" s="7" t="inlineStr">
        <is>
          <t>em_gas_mt</t>
        </is>
      </c>
      <c r="G737" s="7" t="n">
        <v>3.706</v>
      </c>
      <c r="H737" s="7" t="n">
        <v>2024</v>
      </c>
      <c r="I737" s="7" t="inlineStr">
        <is>
          <t>release_generation_yearly_global.csv (Ember)</t>
        </is>
      </c>
    </row>
    <row r="738">
      <c r="A738" s="7" t="inlineStr">
        <is>
          <t>DOM</t>
        </is>
      </c>
      <c r="B738" s="7" t="inlineStr">
        <is>
          <t>Dominican Republic</t>
        </is>
      </c>
      <c r="C738" s="7" t="inlineStr">
        <is>
          <t>Latin America &amp; Caribbean</t>
        </is>
      </c>
      <c r="D738" s="7" t="inlineStr">
        <is>
          <t>Upper middle income</t>
        </is>
      </c>
      <c r="E738" s="7" t="b">
        <v>1</v>
      </c>
      <c r="F738" s="7" t="inlineStr">
        <is>
          <t>em_oil_mt</t>
        </is>
      </c>
      <c r="G738" s="7" t="n">
        <v>3.487</v>
      </c>
      <c r="H738" s="7" t="n">
        <v>2024</v>
      </c>
      <c r="I738" s="7" t="inlineStr">
        <is>
          <t>release_generation_yearly_global.csv (Ember)</t>
        </is>
      </c>
    </row>
    <row r="739">
      <c r="A739" s="7" t="inlineStr">
        <is>
          <t>DOM</t>
        </is>
      </c>
      <c r="B739" s="7" t="inlineStr">
        <is>
          <t>Dominican Republic</t>
        </is>
      </c>
      <c r="C739" s="7" t="inlineStr">
        <is>
          <t>Latin America &amp; Caribbean</t>
        </is>
      </c>
      <c r="D739" s="7" t="inlineStr">
        <is>
          <t>Upper middle income</t>
        </is>
      </c>
      <c r="E739" s="7" t="b">
        <v>1</v>
      </c>
      <c r="F739" s="7" t="inlineStr">
        <is>
          <t>ff_subsidy_explicit_pct_gdp</t>
        </is>
      </c>
      <c r="G739" s="7" t="n">
        <v>1.089</v>
      </c>
      <c r="H739" s="7" t="inlineStr">
        <is>
          <t>2024</t>
        </is>
      </c>
      <c r="I739" s="7" t="inlineStr">
        <is>
          <t>imffossilfuelsubsidiesdata.xlsb</t>
        </is>
      </c>
    </row>
    <row r="740">
      <c r="A740" s="7" t="inlineStr">
        <is>
          <t>DOM</t>
        </is>
      </c>
      <c r="B740" s="7" t="inlineStr">
        <is>
          <t>Dominican Republic</t>
        </is>
      </c>
      <c r="C740" s="7" t="inlineStr">
        <is>
          <t>Latin America &amp; Caribbean</t>
        </is>
      </c>
      <c r="D740" s="7" t="inlineStr">
        <is>
          <t>Upper middle income</t>
        </is>
      </c>
      <c r="E740" s="7" t="b">
        <v>1</v>
      </c>
      <c r="F740" s="7" t="inlineStr">
        <is>
          <t>fuel_exports_pct_merch</t>
        </is>
      </c>
      <c r="G740" s="7" t="n">
        <v>0.435</v>
      </c>
      <c r="H740" s="7" t="inlineStr">
        <is>
          <t>2024</t>
        </is>
      </c>
      <c r="I740" s="7" t="inlineStr">
        <is>
          <t>API_TX_VAL_FUEL_ZS_UN_DS2_en_csv_v2_33055.zip</t>
        </is>
      </c>
    </row>
    <row r="741">
      <c r="A741" s="7" t="inlineStr">
        <is>
          <t>DOM</t>
        </is>
      </c>
      <c r="B741" s="7" t="inlineStr">
        <is>
          <t>Dominican Republic</t>
        </is>
      </c>
      <c r="C741" s="7" t="inlineStr">
        <is>
          <t>Latin America &amp; Caribbean</t>
        </is>
      </c>
      <c r="D741" s="7" t="inlineStr">
        <is>
          <t>Upper middle income</t>
        </is>
      </c>
      <c r="E741" s="7" t="b">
        <v>1</v>
      </c>
      <c r="F741" s="7" t="inlineStr">
        <is>
          <t>gen_coal_twh</t>
        </is>
      </c>
      <c r="G741" s="7" t="n">
        <v>7.2</v>
      </c>
      <c r="H741" s="7" t="n">
        <v>2024</v>
      </c>
      <c r="I741" s="7" t="inlineStr">
        <is>
          <t>release_generation_yearly_global.csv (Ember)</t>
        </is>
      </c>
    </row>
    <row r="742">
      <c r="A742" s="7" t="inlineStr">
        <is>
          <t>DOM</t>
        </is>
      </c>
      <c r="B742" s="7" t="inlineStr">
        <is>
          <t>Dominican Republic</t>
        </is>
      </c>
      <c r="C742" s="7" t="inlineStr">
        <is>
          <t>Latin America &amp; Caribbean</t>
        </is>
      </c>
      <c r="D742" s="7" t="inlineStr">
        <is>
          <t>Upper middle income</t>
        </is>
      </c>
      <c r="E742" s="7" t="b">
        <v>1</v>
      </c>
      <c r="F742" s="7" t="inlineStr">
        <is>
          <t>gen_gas_twh</t>
        </is>
      </c>
      <c r="G742" s="7" t="n">
        <v>7</v>
      </c>
      <c r="H742" s="7" t="n">
        <v>2024</v>
      </c>
      <c r="I742" s="7" t="inlineStr">
        <is>
          <t>release_generation_yearly_global.csv (Ember)</t>
        </is>
      </c>
    </row>
    <row r="743">
      <c r="A743" s="7" t="inlineStr">
        <is>
          <t>DOM</t>
        </is>
      </c>
      <c r="B743" s="7" t="inlineStr">
        <is>
          <t>Dominican Republic</t>
        </is>
      </c>
      <c r="C743" s="7" t="inlineStr">
        <is>
          <t>Latin America &amp; Caribbean</t>
        </is>
      </c>
      <c r="D743" s="7" t="inlineStr">
        <is>
          <t>Upper middle income</t>
        </is>
      </c>
      <c r="E743" s="7" t="b">
        <v>1</v>
      </c>
      <c r="F743" s="7" t="inlineStr">
        <is>
          <t>gen_oil_twh</t>
        </is>
      </c>
      <c r="G743" s="7" t="n">
        <v>5.3</v>
      </c>
      <c r="H743" s="7" t="n">
        <v>2024</v>
      </c>
      <c r="I743" s="7" t="inlineStr">
        <is>
          <t>release_generation_yearly_global.csv (Ember)</t>
        </is>
      </c>
    </row>
    <row r="744">
      <c r="A744" s="7" t="inlineStr">
        <is>
          <t>DOM</t>
        </is>
      </c>
      <c r="B744" s="7" t="inlineStr">
        <is>
          <t>Dominican Republic</t>
        </is>
      </c>
      <c r="C744" s="7" t="inlineStr">
        <is>
          <t>Latin America &amp; Caribbean</t>
        </is>
      </c>
      <c r="D744" s="7" t="inlineStr">
        <is>
          <t>Upper middle income</t>
        </is>
      </c>
      <c r="E744" s="7" t="b">
        <v>1</v>
      </c>
      <c r="F744" s="7" t="inlineStr">
        <is>
          <t>gen_total_twh</t>
        </is>
      </c>
      <c r="G744" s="7" t="n">
        <v>24.03</v>
      </c>
      <c r="H744" s="7" t="n">
        <v>2024</v>
      </c>
      <c r="I744" s="7" t="inlineStr">
        <is>
          <t>release_generation_yearly_global.csv (Ember)</t>
        </is>
      </c>
    </row>
    <row r="745">
      <c r="A745" s="7" t="inlineStr">
        <is>
          <t>DOM</t>
        </is>
      </c>
      <c r="B745" s="7" t="inlineStr">
        <is>
          <t>Dominican Republic</t>
        </is>
      </c>
      <c r="C745" s="7" t="inlineStr">
        <is>
          <t>Latin America &amp; Caribbean</t>
        </is>
      </c>
      <c r="D745" s="7" t="inlineStr">
        <is>
          <t>Upper middle income</t>
        </is>
      </c>
      <c r="E745" s="7" t="b">
        <v>1</v>
      </c>
      <c r="F745" s="7" t="inlineStr">
        <is>
          <t>power_market_structure</t>
        </is>
      </c>
      <c r="G745" s="7" t="n">
        <v>3</v>
      </c>
      <c r="H745" s="7" t="inlineStr">
        <is>
          <t>2013</t>
        </is>
      </c>
      <c r="I745" s="7" t="inlineStr">
        <is>
          <t>dataverse_files.zip</t>
        </is>
      </c>
    </row>
    <row r="746">
      <c r="A746" s="7" t="inlineStr">
        <is>
          <t>DOM</t>
        </is>
      </c>
      <c r="B746" s="7" t="inlineStr">
        <is>
          <t>Dominican Republic</t>
        </is>
      </c>
      <c r="C746" s="7" t="inlineStr">
        <is>
          <t>Latin America &amp; Caribbean</t>
        </is>
      </c>
      <c r="D746" s="7" t="inlineStr">
        <is>
          <t>Upper middle income</t>
        </is>
      </c>
      <c r="E746" s="7" t="b">
        <v>1</v>
      </c>
      <c r="F746" s="7" t="inlineStr">
        <is>
          <t>price_coal_power_usd_gj</t>
        </is>
      </c>
      <c r="G746" s="7" t="n">
        <v>5.575</v>
      </c>
      <c r="H746" s="7" t="inlineStr">
        <is>
          <t>2024</t>
        </is>
      </c>
      <c r="I746" s="7" t="inlineStr">
        <is>
          <t>imffossilfuelsubsidiesdata.xlsb</t>
        </is>
      </c>
    </row>
    <row r="747">
      <c r="A747" s="7" t="inlineStr">
        <is>
          <t>DOM</t>
        </is>
      </c>
      <c r="B747" s="7" t="inlineStr">
        <is>
          <t>Dominican Republic</t>
        </is>
      </c>
      <c r="C747" s="7" t="inlineStr">
        <is>
          <t>Latin America &amp; Caribbean</t>
        </is>
      </c>
      <c r="D747" s="7" t="inlineStr">
        <is>
          <t>Upper middle income</t>
        </is>
      </c>
      <c r="E747" s="7" t="b">
        <v>1</v>
      </c>
      <c r="F747" s="7" t="inlineStr">
        <is>
          <t>price_electricity_residential_usd_kwh</t>
        </is>
      </c>
      <c r="G747" s="7" t="n">
        <v>0.091</v>
      </c>
      <c r="H747" s="7" t="inlineStr">
        <is>
          <t>2024</t>
        </is>
      </c>
      <c r="I747" s="7" t="inlineStr">
        <is>
          <t>imffossilfuelsubsidiesdata.xlsb</t>
        </is>
      </c>
    </row>
    <row r="748">
      <c r="A748" s="7" t="inlineStr">
        <is>
          <t>DOM</t>
        </is>
      </c>
      <c r="B748" s="7" t="inlineStr">
        <is>
          <t>Dominican Republic</t>
        </is>
      </c>
      <c r="C748" s="7" t="inlineStr">
        <is>
          <t>Latin America &amp; Caribbean</t>
        </is>
      </c>
      <c r="D748" s="7" t="inlineStr">
        <is>
          <t>Upper middle income</t>
        </is>
      </c>
      <c r="E748" s="7" t="b">
        <v>1</v>
      </c>
      <c r="F748" s="7" t="inlineStr">
        <is>
          <t>price_gas_industry_usd_gj</t>
        </is>
      </c>
      <c r="G748" s="7" t="n">
        <v>23.723</v>
      </c>
      <c r="H748" s="7" t="inlineStr">
        <is>
          <t>2024</t>
        </is>
      </c>
      <c r="I748" s="7" t="inlineStr">
        <is>
          <t>imffossilfuelsubsidiesdata.xlsb</t>
        </is>
      </c>
    </row>
    <row r="749">
      <c r="A749" s="7" t="inlineStr">
        <is>
          <t>DOM</t>
        </is>
      </c>
      <c r="B749" s="7" t="inlineStr">
        <is>
          <t>Dominican Republic</t>
        </is>
      </c>
      <c r="C749" s="7" t="inlineStr">
        <is>
          <t>Latin America &amp; Caribbean</t>
        </is>
      </c>
      <c r="D749" s="7" t="inlineStr">
        <is>
          <t>Upper middle income</t>
        </is>
      </c>
      <c r="E749" s="7" t="b">
        <v>1</v>
      </c>
      <c r="F749" s="7" t="inlineStr">
        <is>
          <t>price_gas_power_usd_gj</t>
        </is>
      </c>
      <c r="G749" s="7" t="n">
        <v>23.723</v>
      </c>
      <c r="H749" s="7" t="inlineStr">
        <is>
          <t>2024</t>
        </is>
      </c>
      <c r="I749" s="7" t="inlineStr">
        <is>
          <t>imffossilfuelsubsidiesdata.xlsb</t>
        </is>
      </c>
    </row>
    <row r="750">
      <c r="A750" s="7" t="inlineStr">
        <is>
          <t>DOM</t>
        </is>
      </c>
      <c r="B750" s="7" t="inlineStr">
        <is>
          <t>Dominican Republic</t>
        </is>
      </c>
      <c r="C750" s="7" t="inlineStr">
        <is>
          <t>Latin America &amp; Caribbean</t>
        </is>
      </c>
      <c r="D750" s="7" t="inlineStr">
        <is>
          <t>Upper middle income</t>
        </is>
      </c>
      <c r="E750" s="7" t="b">
        <v>1</v>
      </c>
      <c r="F750" s="7" t="inlineStr">
        <is>
          <t>rise_renewable_energy_score</t>
        </is>
      </c>
      <c r="G750" s="7" t="n">
        <v>31.249</v>
      </c>
      <c r="H750" s="7" t="inlineStr">
        <is>
          <t>2023</t>
        </is>
      </c>
      <c r="I750" s="7" t="inlineStr">
        <is>
          <t>WB_RISE_WIDEF.csv</t>
        </is>
      </c>
    </row>
    <row r="751">
      <c r="A751" s="7" t="inlineStr">
        <is>
          <t>DZA</t>
        </is>
      </c>
      <c r="B751" s="7" t="inlineStr">
        <is>
          <t>Algeria</t>
        </is>
      </c>
      <c r="C751" s="7" t="inlineStr">
        <is>
          <t>Middle East &amp; North Africa</t>
        </is>
      </c>
      <c r="D751" s="7" t="inlineStr">
        <is>
          <t>Upper middle income</t>
        </is>
      </c>
      <c r="E751" s="7" t="b">
        <v>0</v>
      </c>
      <c r="F751" s="7" t="inlineStr">
        <is>
          <t>coal_rents_pct_gdp</t>
        </is>
      </c>
      <c r="G751" s="7" t="n">
        <v>0</v>
      </c>
      <c r="H751" s="7" t="inlineStr">
        <is>
          <t>2021</t>
        </is>
      </c>
      <c r="I751" s="7" t="inlineStr">
        <is>
          <t>API_NY_GDP_COAL_RT_ZS_DS2_en_csv_v2_35370.zip</t>
        </is>
      </c>
    </row>
    <row r="752">
      <c r="A752" s="7" t="inlineStr">
        <is>
          <t>DZA</t>
        </is>
      </c>
      <c r="B752" s="7" t="inlineStr">
        <is>
          <t>Algeria</t>
        </is>
      </c>
      <c r="C752" s="7" t="inlineStr">
        <is>
          <t>Middle East &amp; North Africa</t>
        </is>
      </c>
      <c r="D752" s="7" t="inlineStr">
        <is>
          <t>Upper middle income</t>
        </is>
      </c>
      <c r="E752" s="7" t="b">
        <v>0</v>
      </c>
      <c r="F752" s="7" t="inlineStr">
        <is>
          <t>em_coal_mt</t>
        </is>
      </c>
      <c r="G752" s="7" t="n">
        <v>0</v>
      </c>
      <c r="H752" s="7" t="n">
        <v>2024</v>
      </c>
      <c r="I752" s="7" t="inlineStr">
        <is>
          <t>release_generation_yearly_global.csv (Ember)</t>
        </is>
      </c>
    </row>
    <row r="753">
      <c r="A753" s="7" t="inlineStr">
        <is>
          <t>DZA</t>
        </is>
      </c>
      <c r="B753" s="7" t="inlineStr">
        <is>
          <t>Algeria</t>
        </is>
      </c>
      <c r="C753" s="7" t="inlineStr">
        <is>
          <t>Middle East &amp; North Africa</t>
        </is>
      </c>
      <c r="D753" s="7" t="inlineStr">
        <is>
          <t>Upper middle income</t>
        </is>
      </c>
      <c r="E753" s="7" t="b">
        <v>0</v>
      </c>
      <c r="F753" s="7" t="inlineStr">
        <is>
          <t>em_gas_mt</t>
        </is>
      </c>
      <c r="G753" s="7" t="n">
        <v>60.716</v>
      </c>
      <c r="H753" s="7" t="n">
        <v>2024</v>
      </c>
      <c r="I753" s="7" t="inlineStr">
        <is>
          <t>release_generation_yearly_global.csv (Ember)</t>
        </is>
      </c>
    </row>
    <row r="754">
      <c r="A754" s="7" t="inlineStr">
        <is>
          <t>DZA</t>
        </is>
      </c>
      <c r="B754" s="7" t="inlineStr">
        <is>
          <t>Algeria</t>
        </is>
      </c>
      <c r="C754" s="7" t="inlineStr">
        <is>
          <t>Middle East &amp; North Africa</t>
        </is>
      </c>
      <c r="D754" s="7" t="inlineStr">
        <is>
          <t>Upper middle income</t>
        </is>
      </c>
      <c r="E754" s="7" t="b">
        <v>0</v>
      </c>
      <c r="F754" s="7" t="inlineStr">
        <is>
          <t>em_oil_mt</t>
        </is>
      </c>
      <c r="G754" s="7" t="n">
        <v>0.217</v>
      </c>
      <c r="H754" s="7" t="n">
        <v>2024</v>
      </c>
      <c r="I754" s="7" t="inlineStr">
        <is>
          <t>release_generation_yearly_global.csv (Ember)</t>
        </is>
      </c>
    </row>
    <row r="755">
      <c r="A755" s="7" t="inlineStr">
        <is>
          <t>DZA</t>
        </is>
      </c>
      <c r="B755" s="7" t="inlineStr">
        <is>
          <t>Algeria</t>
        </is>
      </c>
      <c r="C755" s="7" t="inlineStr">
        <is>
          <t>Middle East &amp; North Africa</t>
        </is>
      </c>
      <c r="D755" s="7" t="inlineStr">
        <is>
          <t>Upper middle income</t>
        </is>
      </c>
      <c r="E755" s="7" t="b">
        <v>0</v>
      </c>
      <c r="F755" s="7" t="inlineStr">
        <is>
          <t>ff_subsidy_explicit_pct_gdp</t>
        </is>
      </c>
      <c r="G755" s="7" t="n">
        <v>9.347</v>
      </c>
      <c r="H755" s="7" t="inlineStr">
        <is>
          <t>2024</t>
        </is>
      </c>
      <c r="I755" s="7" t="inlineStr">
        <is>
          <t>imffossilfuelsubsidiesdata.xlsb</t>
        </is>
      </c>
    </row>
    <row r="756">
      <c r="A756" s="7" t="inlineStr">
        <is>
          <t>DZA</t>
        </is>
      </c>
      <c r="B756" s="7" t="inlineStr">
        <is>
          <t>Algeria</t>
        </is>
      </c>
      <c r="C756" s="7" t="inlineStr">
        <is>
          <t>Middle East &amp; North Africa</t>
        </is>
      </c>
      <c r="D756" s="7" t="inlineStr">
        <is>
          <t>Upper middle income</t>
        </is>
      </c>
      <c r="E756" s="7" t="b">
        <v>0</v>
      </c>
      <c r="F756" s="7" t="inlineStr">
        <is>
          <t>fuel_exports_pct_merch</t>
        </is>
      </c>
      <c r="G756" s="7" t="n">
        <v>96.11199999999999</v>
      </c>
      <c r="H756" s="7" t="inlineStr">
        <is>
          <t>2017</t>
        </is>
      </c>
      <c r="I756" s="7" t="inlineStr">
        <is>
          <t>API_TX_VAL_FUEL_ZS_UN_DS2_en_csv_v2_33055.zip</t>
        </is>
      </c>
    </row>
    <row r="757">
      <c r="A757" s="7" t="inlineStr">
        <is>
          <t>DZA</t>
        </is>
      </c>
      <c r="B757" s="7" t="inlineStr">
        <is>
          <t>Algeria</t>
        </is>
      </c>
      <c r="C757" s="7" t="inlineStr">
        <is>
          <t>Middle East &amp; North Africa</t>
        </is>
      </c>
      <c r="D757" s="7" t="inlineStr">
        <is>
          <t>Upper middle income</t>
        </is>
      </c>
      <c r="E757" s="7" t="b">
        <v>0</v>
      </c>
      <c r="F757" s="7" t="inlineStr">
        <is>
          <t>gen_coal_twh</t>
        </is>
      </c>
      <c r="G757" s="7" t="n">
        <v>0</v>
      </c>
      <c r="H757" s="7" t="n">
        <v>2024</v>
      </c>
      <c r="I757" s="7" t="inlineStr">
        <is>
          <t>release_generation_yearly_global.csv (Ember)</t>
        </is>
      </c>
    </row>
    <row r="758">
      <c r="A758" s="7" t="inlineStr">
        <is>
          <t>DZA</t>
        </is>
      </c>
      <c r="B758" s="7" t="inlineStr">
        <is>
          <t>Algeria</t>
        </is>
      </c>
      <c r="C758" s="7" t="inlineStr">
        <is>
          <t>Middle East &amp; North Africa</t>
        </is>
      </c>
      <c r="D758" s="7" t="inlineStr">
        <is>
          <t>Upper middle income</t>
        </is>
      </c>
      <c r="E758" s="7" t="b">
        <v>0</v>
      </c>
      <c r="F758" s="7" t="inlineStr">
        <is>
          <t>gen_gas_twh</t>
        </is>
      </c>
      <c r="G758" s="7" t="n">
        <v>95</v>
      </c>
      <c r="H758" s="7" t="n">
        <v>2024</v>
      </c>
      <c r="I758" s="7" t="inlineStr">
        <is>
          <t>release_generation_yearly_global.csv (Ember)</t>
        </is>
      </c>
    </row>
    <row r="759">
      <c r="A759" s="7" t="inlineStr">
        <is>
          <t>DZA</t>
        </is>
      </c>
      <c r="B759" s="7" t="inlineStr">
        <is>
          <t>Algeria</t>
        </is>
      </c>
      <c r="C759" s="7" t="inlineStr">
        <is>
          <t>Middle East &amp; North Africa</t>
        </is>
      </c>
      <c r="D759" s="7" t="inlineStr">
        <is>
          <t>Upper middle income</t>
        </is>
      </c>
      <c r="E759" s="7" t="b">
        <v>0</v>
      </c>
      <c r="F759" s="7" t="inlineStr">
        <is>
          <t>gen_oil_twh</t>
        </is>
      </c>
      <c r="G759" s="7" t="n">
        <v>0.33</v>
      </c>
      <c r="H759" s="7" t="n">
        <v>2024</v>
      </c>
      <c r="I759" s="7" t="inlineStr">
        <is>
          <t>release_generation_yearly_global.csv (Ember)</t>
        </is>
      </c>
    </row>
    <row r="760">
      <c r="A760" s="7" t="inlineStr">
        <is>
          <t>DZA</t>
        </is>
      </c>
      <c r="B760" s="7" t="inlineStr">
        <is>
          <t>Algeria</t>
        </is>
      </c>
      <c r="C760" s="7" t="inlineStr">
        <is>
          <t>Middle East &amp; North Africa</t>
        </is>
      </c>
      <c r="D760" s="7" t="inlineStr">
        <is>
          <t>Upper middle income</t>
        </is>
      </c>
      <c r="E760" s="7" t="b">
        <v>0</v>
      </c>
      <c r="F760" s="7" t="inlineStr">
        <is>
          <t>gen_total_twh</t>
        </is>
      </c>
      <c r="G760" s="7" t="n">
        <v>96.36</v>
      </c>
      <c r="H760" s="7" t="n">
        <v>2024</v>
      </c>
      <c r="I760" s="7" t="inlineStr">
        <is>
          <t>release_generation_yearly_global.csv (Ember)</t>
        </is>
      </c>
    </row>
    <row r="761">
      <c r="A761" s="7" t="inlineStr">
        <is>
          <t>DZA</t>
        </is>
      </c>
      <c r="B761" s="7" t="inlineStr">
        <is>
          <t>Algeria</t>
        </is>
      </c>
      <c r="C761" s="7" t="inlineStr">
        <is>
          <t>Middle East &amp; North Africa</t>
        </is>
      </c>
      <c r="D761" s="7" t="inlineStr">
        <is>
          <t>Upper middle income</t>
        </is>
      </c>
      <c r="E761" s="7" t="b">
        <v>0</v>
      </c>
      <c r="F761" s="7" t="inlineStr">
        <is>
          <t>power_market_structure</t>
        </is>
      </c>
      <c r="G761" s="7" t="n">
        <v>2</v>
      </c>
      <c r="H761" s="7" t="inlineStr">
        <is>
          <t>2013</t>
        </is>
      </c>
      <c r="I761" s="7" t="inlineStr">
        <is>
          <t>dataverse_files.zip</t>
        </is>
      </c>
    </row>
    <row r="762">
      <c r="A762" s="7" t="inlineStr">
        <is>
          <t>DZA</t>
        </is>
      </c>
      <c r="B762" s="7" t="inlineStr">
        <is>
          <t>Algeria</t>
        </is>
      </c>
      <c r="C762" s="7" t="inlineStr">
        <is>
          <t>Middle East &amp; North Africa</t>
        </is>
      </c>
      <c r="D762" s="7" t="inlineStr">
        <is>
          <t>Upper middle income</t>
        </is>
      </c>
      <c r="E762" s="7" t="b">
        <v>0</v>
      </c>
      <c r="F762" s="7" t="inlineStr">
        <is>
          <t>price_coal_power_usd_gj</t>
        </is>
      </c>
      <c r="G762" s="7" t="n">
        <v>5.787</v>
      </c>
      <c r="H762" s="7" t="inlineStr">
        <is>
          <t>2024</t>
        </is>
      </c>
      <c r="I762" s="7" t="inlineStr">
        <is>
          <t>imffossilfuelsubsidiesdata.xlsb</t>
        </is>
      </c>
    </row>
    <row r="763">
      <c r="A763" s="7" t="inlineStr">
        <is>
          <t>DZA</t>
        </is>
      </c>
      <c r="B763" s="7" t="inlineStr">
        <is>
          <t>Algeria</t>
        </is>
      </c>
      <c r="C763" s="7" t="inlineStr">
        <is>
          <t>Middle East &amp; North Africa</t>
        </is>
      </c>
      <c r="D763" s="7" t="inlineStr">
        <is>
          <t>Upper middle income</t>
        </is>
      </c>
      <c r="E763" s="7" t="b">
        <v>0</v>
      </c>
      <c r="F763" s="7" t="inlineStr">
        <is>
          <t>price_electricity_residential_usd_kwh</t>
        </is>
      </c>
      <c r="G763" s="7" t="n">
        <v>0.036</v>
      </c>
      <c r="H763" s="7" t="inlineStr">
        <is>
          <t>2024</t>
        </is>
      </c>
      <c r="I763" s="7" t="inlineStr">
        <is>
          <t>imffossilfuelsubsidiesdata.xlsb</t>
        </is>
      </c>
    </row>
    <row r="764">
      <c r="A764" s="7" t="inlineStr">
        <is>
          <t>DZA</t>
        </is>
      </c>
      <c r="B764" s="7" t="inlineStr">
        <is>
          <t>Algeria</t>
        </is>
      </c>
      <c r="C764" s="7" t="inlineStr">
        <is>
          <t>Middle East &amp; North Africa</t>
        </is>
      </c>
      <c r="D764" s="7" t="inlineStr">
        <is>
          <t>Upper middle income</t>
        </is>
      </c>
      <c r="E764" s="7" t="b">
        <v>0</v>
      </c>
      <c r="F764" s="7" t="inlineStr">
        <is>
          <t>price_gas_industry_usd_gj</t>
        </is>
      </c>
      <c r="G764" s="7" t="n">
        <v>0.99</v>
      </c>
      <c r="H764" s="7" t="inlineStr">
        <is>
          <t>2024</t>
        </is>
      </c>
      <c r="I764" s="7" t="inlineStr">
        <is>
          <t>imffossilfuelsubsidiesdata.xlsb</t>
        </is>
      </c>
    </row>
    <row r="765">
      <c r="A765" s="7" t="inlineStr">
        <is>
          <t>DZA</t>
        </is>
      </c>
      <c r="B765" s="7" t="inlineStr">
        <is>
          <t>Algeria</t>
        </is>
      </c>
      <c r="C765" s="7" t="inlineStr">
        <is>
          <t>Middle East &amp; North Africa</t>
        </is>
      </c>
      <c r="D765" s="7" t="inlineStr">
        <is>
          <t>Upper middle income</t>
        </is>
      </c>
      <c r="E765" s="7" t="b">
        <v>0</v>
      </c>
      <c r="F765" s="7" t="inlineStr">
        <is>
          <t>price_gas_power_usd_gj</t>
        </is>
      </c>
      <c r="G765" s="7" t="n">
        <v>1.262</v>
      </c>
      <c r="H765" s="7" t="inlineStr">
        <is>
          <t>2024</t>
        </is>
      </c>
      <c r="I765" s="7" t="inlineStr">
        <is>
          <t>imffossilfuelsubsidiesdata.xlsb</t>
        </is>
      </c>
    </row>
    <row r="766">
      <c r="A766" s="7" t="inlineStr">
        <is>
          <t>DZA</t>
        </is>
      </c>
      <c r="B766" s="7" t="inlineStr">
        <is>
          <t>Algeria</t>
        </is>
      </c>
      <c r="C766" s="7" t="inlineStr">
        <is>
          <t>Middle East &amp; North Africa</t>
        </is>
      </c>
      <c r="D766" s="7" t="inlineStr">
        <is>
          <t>Upper middle income</t>
        </is>
      </c>
      <c r="E766" s="7" t="b">
        <v>0</v>
      </c>
      <c r="F766" s="7" t="inlineStr">
        <is>
          <t>rise_renewable_energy_score</t>
        </is>
      </c>
      <c r="G766" s="7" t="n">
        <v>19.339</v>
      </c>
      <c r="H766" s="7" t="inlineStr">
        <is>
          <t>2023</t>
        </is>
      </c>
      <c r="I766" s="7" t="inlineStr">
        <is>
          <t>WB_RISE_WIDEF.csv</t>
        </is>
      </c>
    </row>
    <row r="767">
      <c r="A767" s="7" t="inlineStr">
        <is>
          <t>ECU</t>
        </is>
      </c>
      <c r="B767" s="7" t="inlineStr">
        <is>
          <t>Ecuador</t>
        </is>
      </c>
      <c r="C767" s="7" t="inlineStr">
        <is>
          <t>Latin America &amp; Caribbean</t>
        </is>
      </c>
      <c r="D767" s="7" t="inlineStr">
        <is>
          <t>Upper middle income</t>
        </is>
      </c>
      <c r="E767" s="7" t="b">
        <v>1</v>
      </c>
      <c r="F767" s="7" t="inlineStr">
        <is>
          <t>coal_rents_pct_gdp</t>
        </is>
      </c>
      <c r="G767" s="7" t="n">
        <v>0</v>
      </c>
      <c r="H767" s="7" t="inlineStr">
        <is>
          <t>2021</t>
        </is>
      </c>
      <c r="I767" s="7" t="inlineStr">
        <is>
          <t>API_NY_GDP_COAL_RT_ZS_DS2_en_csv_v2_35370.zip</t>
        </is>
      </c>
    </row>
    <row r="768">
      <c r="A768" s="7" t="inlineStr">
        <is>
          <t>ECU</t>
        </is>
      </c>
      <c r="B768" s="7" t="inlineStr">
        <is>
          <t>Ecuador</t>
        </is>
      </c>
      <c r="C768" s="7" t="inlineStr">
        <is>
          <t>Latin America &amp; Caribbean</t>
        </is>
      </c>
      <c r="D768" s="7" t="inlineStr">
        <is>
          <t>Upper middle income</t>
        </is>
      </c>
      <c r="E768" s="7" t="b">
        <v>1</v>
      </c>
      <c r="F768" s="7" t="inlineStr">
        <is>
          <t>em_coal_mt</t>
        </is>
      </c>
      <c r="G768" s="7" t="n">
        <v>0</v>
      </c>
      <c r="H768" s="7" t="n">
        <v>2024</v>
      </c>
      <c r="I768" s="7" t="inlineStr">
        <is>
          <t>release_generation_yearly_global.csv (Ember)</t>
        </is>
      </c>
    </row>
    <row r="769">
      <c r="A769" s="7" t="inlineStr">
        <is>
          <t>ECU</t>
        </is>
      </c>
      <c r="B769" s="7" t="inlineStr">
        <is>
          <t>Ecuador</t>
        </is>
      </c>
      <c r="C769" s="7" t="inlineStr">
        <is>
          <t>Latin America &amp; Caribbean</t>
        </is>
      </c>
      <c r="D769" s="7" t="inlineStr">
        <is>
          <t>Upper middle income</t>
        </is>
      </c>
      <c r="E769" s="7" t="b">
        <v>1</v>
      </c>
      <c r="F769" s="7" t="inlineStr">
        <is>
          <t>em_gas_mt</t>
        </is>
      </c>
      <c r="G769" s="7" t="n">
        <v>0.723</v>
      </c>
      <c r="H769" s="7" t="n">
        <v>2024</v>
      </c>
      <c r="I769" s="7" t="inlineStr">
        <is>
          <t>release_generation_yearly_global.csv (Ember)</t>
        </is>
      </c>
    </row>
    <row r="770">
      <c r="A770" s="7" t="inlineStr">
        <is>
          <t>ECU</t>
        </is>
      </c>
      <c r="B770" s="7" t="inlineStr">
        <is>
          <t>Ecuador</t>
        </is>
      </c>
      <c r="C770" s="7" t="inlineStr">
        <is>
          <t>Latin America &amp; Caribbean</t>
        </is>
      </c>
      <c r="D770" s="7" t="inlineStr">
        <is>
          <t>Upper middle income</t>
        </is>
      </c>
      <c r="E770" s="7" t="b">
        <v>1</v>
      </c>
      <c r="F770" s="7" t="inlineStr">
        <is>
          <t>em_oil_mt</t>
        </is>
      </c>
      <c r="G770" s="7" t="n">
        <v>5.297</v>
      </c>
      <c r="H770" s="7" t="n">
        <v>2024</v>
      </c>
      <c r="I770" s="7" t="inlineStr">
        <is>
          <t>release_generation_yearly_global.csv (Ember)</t>
        </is>
      </c>
    </row>
    <row r="771">
      <c r="A771" s="7" t="inlineStr">
        <is>
          <t>ECU</t>
        </is>
      </c>
      <c r="B771" s="7" t="inlineStr">
        <is>
          <t>Ecuador</t>
        </is>
      </c>
      <c r="C771" s="7" t="inlineStr">
        <is>
          <t>Latin America &amp; Caribbean</t>
        </is>
      </c>
      <c r="D771" s="7" t="inlineStr">
        <is>
          <t>Upper middle income</t>
        </is>
      </c>
      <c r="E771" s="7" t="b">
        <v>1</v>
      </c>
      <c r="F771" s="7" t="inlineStr">
        <is>
          <t>ff_subsidy_explicit_pct_gdp</t>
        </is>
      </c>
      <c r="G771" s="7" t="n">
        <v>4.171</v>
      </c>
      <c r="H771" s="7" t="inlineStr">
        <is>
          <t>2024</t>
        </is>
      </c>
      <c r="I771" s="7" t="inlineStr">
        <is>
          <t>imffossilfuelsubsidiesdata.xlsb</t>
        </is>
      </c>
    </row>
    <row r="772">
      <c r="A772" s="7" t="inlineStr">
        <is>
          <t>ECU</t>
        </is>
      </c>
      <c r="B772" s="7" t="inlineStr">
        <is>
          <t>Ecuador</t>
        </is>
      </c>
      <c r="C772" s="7" t="inlineStr">
        <is>
          <t>Latin America &amp; Caribbean</t>
        </is>
      </c>
      <c r="D772" s="7" t="inlineStr">
        <is>
          <t>Upper middle income</t>
        </is>
      </c>
      <c r="E772" s="7" t="b">
        <v>1</v>
      </c>
      <c r="F772" s="7" t="inlineStr">
        <is>
          <t>fuel_exports_pct_merch</t>
        </is>
      </c>
      <c r="G772" s="7" t="n">
        <v>27.481</v>
      </c>
      <c r="H772" s="7" t="inlineStr">
        <is>
          <t>2024</t>
        </is>
      </c>
      <c r="I772" s="7" t="inlineStr">
        <is>
          <t>API_TX_VAL_FUEL_ZS_UN_DS2_en_csv_v2_33055.zip</t>
        </is>
      </c>
    </row>
    <row r="773">
      <c r="A773" s="7" t="inlineStr">
        <is>
          <t>ECU</t>
        </is>
      </c>
      <c r="B773" s="7" t="inlineStr">
        <is>
          <t>Ecuador</t>
        </is>
      </c>
      <c r="C773" s="7" t="inlineStr">
        <is>
          <t>Latin America &amp; Caribbean</t>
        </is>
      </c>
      <c r="D773" s="7" t="inlineStr">
        <is>
          <t>Upper middle income</t>
        </is>
      </c>
      <c r="E773" s="7" t="b">
        <v>1</v>
      </c>
      <c r="F773" s="7" t="inlineStr">
        <is>
          <t>gen_coal_twh</t>
        </is>
      </c>
      <c r="G773" s="7" t="n">
        <v>0</v>
      </c>
      <c r="H773" s="7" t="n">
        <v>2024</v>
      </c>
      <c r="I773" s="7" t="inlineStr">
        <is>
          <t>release_generation_yearly_global.csv (Ember)</t>
        </is>
      </c>
    </row>
    <row r="774">
      <c r="A774" s="7" t="inlineStr">
        <is>
          <t>ECU</t>
        </is>
      </c>
      <c r="B774" s="7" t="inlineStr">
        <is>
          <t>Ecuador</t>
        </is>
      </c>
      <c r="C774" s="7" t="inlineStr">
        <is>
          <t>Latin America &amp; Caribbean</t>
        </is>
      </c>
      <c r="D774" s="7" t="inlineStr">
        <is>
          <t>Upper middle income</t>
        </is>
      </c>
      <c r="E774" s="7" t="b">
        <v>1</v>
      </c>
      <c r="F774" s="7" t="inlineStr">
        <is>
          <t>gen_gas_twh</t>
        </is>
      </c>
      <c r="G774" s="7" t="n">
        <v>0.95</v>
      </c>
      <c r="H774" s="7" t="n">
        <v>2024</v>
      </c>
      <c r="I774" s="7" t="inlineStr">
        <is>
          <t>release_generation_yearly_global.csv (Ember)</t>
        </is>
      </c>
    </row>
    <row r="775">
      <c r="A775" s="7" t="inlineStr">
        <is>
          <t>ECU</t>
        </is>
      </c>
      <c r="B775" s="7" t="inlineStr">
        <is>
          <t>Ecuador</t>
        </is>
      </c>
      <c r="C775" s="7" t="inlineStr">
        <is>
          <t>Latin America &amp; Caribbean</t>
        </is>
      </c>
      <c r="D775" s="7" t="inlineStr">
        <is>
          <t>Upper middle income</t>
        </is>
      </c>
      <c r="E775" s="7" t="b">
        <v>1</v>
      </c>
      <c r="F775" s="7" t="inlineStr">
        <is>
          <t>gen_oil_twh</t>
        </is>
      </c>
      <c r="G775" s="7" t="n">
        <v>8.050000000000001</v>
      </c>
      <c r="H775" s="7" t="n">
        <v>2024</v>
      </c>
      <c r="I775" s="7" t="inlineStr">
        <is>
          <t>release_generation_yearly_global.csv (Ember)</t>
        </is>
      </c>
    </row>
    <row r="776">
      <c r="A776" s="7" t="inlineStr">
        <is>
          <t>ECU</t>
        </is>
      </c>
      <c r="B776" s="7" t="inlineStr">
        <is>
          <t>Ecuador</t>
        </is>
      </c>
      <c r="C776" s="7" t="inlineStr">
        <is>
          <t>Latin America &amp; Caribbean</t>
        </is>
      </c>
      <c r="D776" s="7" t="inlineStr">
        <is>
          <t>Upper middle income</t>
        </is>
      </c>
      <c r="E776" s="7" t="b">
        <v>1</v>
      </c>
      <c r="F776" s="7" t="inlineStr">
        <is>
          <t>gen_total_twh</t>
        </is>
      </c>
      <c r="G776" s="7" t="n">
        <v>32.66</v>
      </c>
      <c r="H776" s="7" t="n">
        <v>2024</v>
      </c>
      <c r="I776" s="7" t="inlineStr">
        <is>
          <t>release_generation_yearly_global.csv (Ember)</t>
        </is>
      </c>
    </row>
    <row r="777">
      <c r="A777" s="7" t="inlineStr">
        <is>
          <t>ECU</t>
        </is>
      </c>
      <c r="B777" s="7" t="inlineStr">
        <is>
          <t>Ecuador</t>
        </is>
      </c>
      <c r="C777" s="7" t="inlineStr">
        <is>
          <t>Latin America &amp; Caribbean</t>
        </is>
      </c>
      <c r="D777" s="7" t="inlineStr">
        <is>
          <t>Upper middle income</t>
        </is>
      </c>
      <c r="E777" s="7" t="b">
        <v>1</v>
      </c>
      <c r="F777" s="7" t="inlineStr">
        <is>
          <t>power_market_structure</t>
        </is>
      </c>
      <c r="G777" s="7" t="n">
        <v>3</v>
      </c>
      <c r="H777" s="7" t="inlineStr">
        <is>
          <t>2013</t>
        </is>
      </c>
      <c r="I777" s="7" t="inlineStr">
        <is>
          <t>dataverse_files.zip</t>
        </is>
      </c>
    </row>
    <row r="778">
      <c r="A778" s="7" t="inlineStr">
        <is>
          <t>ECU</t>
        </is>
      </c>
      <c r="B778" s="7" t="inlineStr">
        <is>
          <t>Ecuador</t>
        </is>
      </c>
      <c r="C778" s="7" t="inlineStr">
        <is>
          <t>Latin America &amp; Caribbean</t>
        </is>
      </c>
      <c r="D778" s="7" t="inlineStr">
        <is>
          <t>Upper middle income</t>
        </is>
      </c>
      <c r="E778" s="7" t="b">
        <v>1</v>
      </c>
      <c r="F778" s="7" t="inlineStr">
        <is>
          <t>price_coal_power_usd_gj</t>
        </is>
      </c>
      <c r="G778" s="7" t="n">
        <v>5.575</v>
      </c>
      <c r="H778" s="7" t="inlineStr">
        <is>
          <t>2024</t>
        </is>
      </c>
      <c r="I778" s="7" t="inlineStr">
        <is>
          <t>imffossilfuelsubsidiesdata.xlsb</t>
        </is>
      </c>
    </row>
    <row r="779">
      <c r="A779" s="7" t="inlineStr">
        <is>
          <t>ECU</t>
        </is>
      </c>
      <c r="B779" s="7" t="inlineStr">
        <is>
          <t>Ecuador</t>
        </is>
      </c>
      <c r="C779" s="7" t="inlineStr">
        <is>
          <t>Latin America &amp; Caribbean</t>
        </is>
      </c>
      <c r="D779" s="7" t="inlineStr">
        <is>
          <t>Upper middle income</t>
        </is>
      </c>
      <c r="E779" s="7" t="b">
        <v>1</v>
      </c>
      <c r="F779" s="7" t="inlineStr">
        <is>
          <t>price_electricity_residential_usd_kwh</t>
        </is>
      </c>
      <c r="G779" s="7" t="n">
        <v>0.103</v>
      </c>
      <c r="H779" s="7" t="inlineStr">
        <is>
          <t>2024</t>
        </is>
      </c>
      <c r="I779" s="7" t="inlineStr">
        <is>
          <t>imffossilfuelsubsidiesdata.xlsb</t>
        </is>
      </c>
    </row>
    <row r="780">
      <c r="A780" s="7" t="inlineStr">
        <is>
          <t>ECU</t>
        </is>
      </c>
      <c r="B780" s="7" t="inlineStr">
        <is>
          <t>Ecuador</t>
        </is>
      </c>
      <c r="C780" s="7" t="inlineStr">
        <is>
          <t>Latin America &amp; Caribbean</t>
        </is>
      </c>
      <c r="D780" s="7" t="inlineStr">
        <is>
          <t>Upper middle income</t>
        </is>
      </c>
      <c r="E780" s="7" t="b">
        <v>1</v>
      </c>
      <c r="F780" s="7" t="inlineStr">
        <is>
          <t>price_gas_industry_usd_gj</t>
        </is>
      </c>
      <c r="G780" s="7" t="n">
        <v>11.17</v>
      </c>
      <c r="H780" s="7" t="inlineStr">
        <is>
          <t>2024</t>
        </is>
      </c>
      <c r="I780" s="7" t="inlineStr">
        <is>
          <t>imffossilfuelsubsidiesdata.xlsb</t>
        </is>
      </c>
    </row>
    <row r="781">
      <c r="A781" s="7" t="inlineStr">
        <is>
          <t>ECU</t>
        </is>
      </c>
      <c r="B781" s="7" t="inlineStr">
        <is>
          <t>Ecuador</t>
        </is>
      </c>
      <c r="C781" s="7" t="inlineStr">
        <is>
          <t>Latin America &amp; Caribbean</t>
        </is>
      </c>
      <c r="D781" s="7" t="inlineStr">
        <is>
          <t>Upper middle income</t>
        </is>
      </c>
      <c r="E781" s="7" t="b">
        <v>1</v>
      </c>
      <c r="F781" s="7" t="inlineStr">
        <is>
          <t>price_gas_power_usd_gj</t>
        </is>
      </c>
      <c r="G781" s="7" t="n">
        <v>10.508</v>
      </c>
      <c r="H781" s="7" t="inlineStr">
        <is>
          <t>2024</t>
        </is>
      </c>
      <c r="I781" s="7" t="inlineStr">
        <is>
          <t>imffossilfuelsubsidiesdata.xlsb</t>
        </is>
      </c>
    </row>
    <row r="782">
      <c r="A782" s="7" t="inlineStr">
        <is>
          <t>ECU</t>
        </is>
      </c>
      <c r="B782" s="7" t="inlineStr">
        <is>
          <t>Ecuador</t>
        </is>
      </c>
      <c r="C782" s="7" t="inlineStr">
        <is>
          <t>Latin America &amp; Caribbean</t>
        </is>
      </c>
      <c r="D782" s="7" t="inlineStr">
        <is>
          <t>Upper middle income</t>
        </is>
      </c>
      <c r="E782" s="7" t="b">
        <v>1</v>
      </c>
      <c r="F782" s="7" t="inlineStr">
        <is>
          <t>rise_renewable_energy_score</t>
        </is>
      </c>
      <c r="G782" s="7" t="n">
        <v>40.87</v>
      </c>
      <c r="H782" s="7" t="inlineStr">
        <is>
          <t>2023</t>
        </is>
      </c>
      <c r="I782" s="7" t="inlineStr">
        <is>
          <t>WB_RISE_WIDEF.csv</t>
        </is>
      </c>
    </row>
    <row r="783">
      <c r="A783" s="7" t="inlineStr">
        <is>
          <t>EGY</t>
        </is>
      </c>
      <c r="B783" s="7" t="inlineStr">
        <is>
          <t>Egypt, Arab Rep.</t>
        </is>
      </c>
      <c r="C783" s="7" t="inlineStr">
        <is>
          <t>Middle East &amp; North Africa</t>
        </is>
      </c>
      <c r="D783" s="7" t="inlineStr">
        <is>
          <t>Lower middle income</t>
        </is>
      </c>
      <c r="E783" s="7" t="b">
        <v>1</v>
      </c>
      <c r="F783" s="7" t="inlineStr">
        <is>
          <t>coal_rents_pct_gdp</t>
        </is>
      </c>
      <c r="G783" s="7" t="n">
        <v>0</v>
      </c>
      <c r="H783" s="7" t="inlineStr">
        <is>
          <t>2021</t>
        </is>
      </c>
      <c r="I783" s="7" t="inlineStr">
        <is>
          <t>API_NY_GDP_COAL_RT_ZS_DS2_en_csv_v2_35370.zip</t>
        </is>
      </c>
    </row>
    <row r="784">
      <c r="A784" s="7" t="inlineStr">
        <is>
          <t>EGY</t>
        </is>
      </c>
      <c r="B784" s="7" t="inlineStr">
        <is>
          <t>Egypt, Arab Rep.</t>
        </is>
      </c>
      <c r="C784" s="7" t="inlineStr">
        <is>
          <t>Middle East &amp; North Africa</t>
        </is>
      </c>
      <c r="D784" s="7" t="inlineStr">
        <is>
          <t>Lower middle income</t>
        </is>
      </c>
      <c r="E784" s="7" t="b">
        <v>1</v>
      </c>
      <c r="F784" s="7" t="inlineStr">
        <is>
          <t>em_coal_mt</t>
        </is>
      </c>
      <c r="G784" s="7" t="n">
        <v>0</v>
      </c>
      <c r="H784" s="7" t="n">
        <v>2024</v>
      </c>
      <c r="I784" s="7" t="inlineStr">
        <is>
          <t>release_generation_yearly_global.csv (Ember)</t>
        </is>
      </c>
    </row>
    <row r="785">
      <c r="A785" s="7" t="inlineStr">
        <is>
          <t>EGY</t>
        </is>
      </c>
      <c r="B785" s="7" t="inlineStr">
        <is>
          <t>Egypt, Arab Rep.</t>
        </is>
      </c>
      <c r="C785" s="7" t="inlineStr">
        <is>
          <t>Middle East &amp; North Africa</t>
        </is>
      </c>
      <c r="D785" s="7" t="inlineStr">
        <is>
          <t>Lower middle income</t>
        </is>
      </c>
      <c r="E785" s="7" t="b">
        <v>1</v>
      </c>
      <c r="F785" s="7" t="inlineStr">
        <is>
          <t>em_gas_mt</t>
        </is>
      </c>
      <c r="G785" s="7" t="n">
        <v>123.962</v>
      </c>
      <c r="H785" s="7" t="n">
        <v>2024</v>
      </c>
      <c r="I785" s="7" t="inlineStr">
        <is>
          <t>release_generation_yearly_global.csv (Ember)</t>
        </is>
      </c>
    </row>
    <row r="786">
      <c r="A786" s="7" t="inlineStr">
        <is>
          <t>EGY</t>
        </is>
      </c>
      <c r="B786" s="7" t="inlineStr">
        <is>
          <t>Egypt, Arab Rep.</t>
        </is>
      </c>
      <c r="C786" s="7" t="inlineStr">
        <is>
          <t>Middle East &amp; North Africa</t>
        </is>
      </c>
      <c r="D786" s="7" t="inlineStr">
        <is>
          <t>Lower middle income</t>
        </is>
      </c>
      <c r="E786" s="7" t="b">
        <v>1</v>
      </c>
      <c r="F786" s="7" t="inlineStr">
        <is>
          <t>em_oil_mt</t>
        </is>
      </c>
      <c r="G786" s="7" t="n">
        <v>11.732</v>
      </c>
      <c r="H786" s="7" t="n">
        <v>2024</v>
      </c>
      <c r="I786" s="7" t="inlineStr">
        <is>
          <t>release_generation_yearly_global.csv (Ember)</t>
        </is>
      </c>
    </row>
    <row r="787">
      <c r="A787" s="7" t="inlineStr">
        <is>
          <t>EGY</t>
        </is>
      </c>
      <c r="B787" s="7" t="inlineStr">
        <is>
          <t>Egypt, Arab Rep.</t>
        </is>
      </c>
      <c r="C787" s="7" t="inlineStr">
        <is>
          <t>Middle East &amp; North Africa</t>
        </is>
      </c>
      <c r="D787" s="7" t="inlineStr">
        <is>
          <t>Lower middle income</t>
        </is>
      </c>
      <c r="E787" s="7" t="b">
        <v>1</v>
      </c>
      <c r="F787" s="7" t="inlineStr">
        <is>
          <t>ff_subsidy_explicit_pct_gdp</t>
        </is>
      </c>
      <c r="G787" s="7" t="n">
        <v>12.535</v>
      </c>
      <c r="H787" s="7" t="inlineStr">
        <is>
          <t>2024</t>
        </is>
      </c>
      <c r="I787" s="7" t="inlineStr">
        <is>
          <t>imffossilfuelsubsidiesdata.xlsb</t>
        </is>
      </c>
    </row>
    <row r="788">
      <c r="A788" s="7" t="inlineStr">
        <is>
          <t>EGY</t>
        </is>
      </c>
      <c r="B788" s="7" t="inlineStr">
        <is>
          <t>Egypt, Arab Rep.</t>
        </is>
      </c>
      <c r="C788" s="7" t="inlineStr">
        <is>
          <t>Middle East &amp; North Africa</t>
        </is>
      </c>
      <c r="D788" s="7" t="inlineStr">
        <is>
          <t>Lower middle income</t>
        </is>
      </c>
      <c r="E788" s="7" t="b">
        <v>1</v>
      </c>
      <c r="F788" s="7" t="inlineStr">
        <is>
          <t>fuel_exports_pct_merch</t>
        </is>
      </c>
      <c r="G788" s="7" t="n">
        <v>12.454</v>
      </c>
      <c r="H788" s="7" t="inlineStr">
        <is>
          <t>2024</t>
        </is>
      </c>
      <c r="I788" s="7" t="inlineStr">
        <is>
          <t>API_TX_VAL_FUEL_ZS_UN_DS2_en_csv_v2_33055.zip</t>
        </is>
      </c>
    </row>
    <row r="789">
      <c r="A789" s="7" t="inlineStr">
        <is>
          <t>EGY</t>
        </is>
      </c>
      <c r="B789" s="7" t="inlineStr">
        <is>
          <t>Egypt, Arab Rep.</t>
        </is>
      </c>
      <c r="C789" s="7" t="inlineStr">
        <is>
          <t>Middle East &amp; North Africa</t>
        </is>
      </c>
      <c r="D789" s="7" t="inlineStr">
        <is>
          <t>Lower middle income</t>
        </is>
      </c>
      <c r="E789" s="7" t="b">
        <v>1</v>
      </c>
      <c r="F789" s="7" t="inlineStr">
        <is>
          <t>gen_coal_twh</t>
        </is>
      </c>
      <c r="G789" s="7" t="n">
        <v>0</v>
      </c>
      <c r="H789" s="7" t="n">
        <v>2024</v>
      </c>
      <c r="I789" s="7" t="inlineStr">
        <is>
          <t>release_generation_yearly_global.csv (Ember)</t>
        </is>
      </c>
    </row>
    <row r="790">
      <c r="A790" s="7" t="inlineStr">
        <is>
          <t>EGY</t>
        </is>
      </c>
      <c r="B790" s="7" t="inlineStr">
        <is>
          <t>Egypt, Arab Rep.</t>
        </is>
      </c>
      <c r="C790" s="7" t="inlineStr">
        <is>
          <t>Middle East &amp; North Africa</t>
        </is>
      </c>
      <c r="D790" s="7" t="inlineStr">
        <is>
          <t>Lower middle income</t>
        </is>
      </c>
      <c r="E790" s="7" t="b">
        <v>1</v>
      </c>
      <c r="F790" s="7" t="inlineStr">
        <is>
          <t>gen_gas_twh</t>
        </is>
      </c>
      <c r="G790" s="7" t="n">
        <v>192.98</v>
      </c>
      <c r="H790" s="7" t="n">
        <v>2024</v>
      </c>
      <c r="I790" s="7" t="inlineStr">
        <is>
          <t>release_generation_yearly_global.csv (Ember)</t>
        </is>
      </c>
    </row>
    <row r="791">
      <c r="A791" s="7" t="inlineStr">
        <is>
          <t>EGY</t>
        </is>
      </c>
      <c r="B791" s="7" t="inlineStr">
        <is>
          <t>Egypt, Arab Rep.</t>
        </is>
      </c>
      <c r="C791" s="7" t="inlineStr">
        <is>
          <t>Middle East &amp; North Africa</t>
        </is>
      </c>
      <c r="D791" s="7" t="inlineStr">
        <is>
          <t>Lower middle income</t>
        </is>
      </c>
      <c r="E791" s="7" t="b">
        <v>1</v>
      </c>
      <c r="F791" s="7" t="inlineStr">
        <is>
          <t>gen_oil_twh</t>
        </is>
      </c>
      <c r="G791" s="7" t="n">
        <v>17.83</v>
      </c>
      <c r="H791" s="7" t="n">
        <v>2024</v>
      </c>
      <c r="I791" s="7" t="inlineStr">
        <is>
          <t>release_generation_yearly_global.csv (Ember)</t>
        </is>
      </c>
    </row>
    <row r="792">
      <c r="A792" s="7" t="inlineStr">
        <is>
          <t>EGY</t>
        </is>
      </c>
      <c r="B792" s="7" t="inlineStr">
        <is>
          <t>Egypt, Arab Rep.</t>
        </is>
      </c>
      <c r="C792" s="7" t="inlineStr">
        <is>
          <t>Middle East &amp; North Africa</t>
        </is>
      </c>
      <c r="D792" s="7" t="inlineStr">
        <is>
          <t>Lower middle income</t>
        </is>
      </c>
      <c r="E792" s="7" t="b">
        <v>1</v>
      </c>
      <c r="F792" s="7" t="inlineStr">
        <is>
          <t>gen_total_twh</t>
        </is>
      </c>
      <c r="G792" s="7" t="n">
        <v>237.39</v>
      </c>
      <c r="H792" s="7" t="n">
        <v>2024</v>
      </c>
      <c r="I792" s="7" t="inlineStr">
        <is>
          <t>release_generation_yearly_global.csv (Ember)</t>
        </is>
      </c>
    </row>
    <row r="793">
      <c r="A793" s="7" t="inlineStr">
        <is>
          <t>EGY</t>
        </is>
      </c>
      <c r="B793" s="7" t="inlineStr">
        <is>
          <t>Egypt, Arab Rep.</t>
        </is>
      </c>
      <c r="C793" s="7" t="inlineStr">
        <is>
          <t>Middle East &amp; North Africa</t>
        </is>
      </c>
      <c r="D793" s="7" t="inlineStr">
        <is>
          <t>Lower middle income</t>
        </is>
      </c>
      <c r="E793" s="7" t="b">
        <v>1</v>
      </c>
      <c r="F793" s="7" t="inlineStr">
        <is>
          <t>power_market_structure</t>
        </is>
      </c>
      <c r="G793" s="7" t="n">
        <v>3</v>
      </c>
      <c r="H793" s="7" t="inlineStr">
        <is>
          <t>2013</t>
        </is>
      </c>
      <c r="I793" s="7" t="inlineStr">
        <is>
          <t>dataverse_files.zip</t>
        </is>
      </c>
    </row>
    <row r="794">
      <c r="A794" s="7" t="inlineStr">
        <is>
          <t>EGY</t>
        </is>
      </c>
      <c r="B794" s="7" t="inlineStr">
        <is>
          <t>Egypt, Arab Rep.</t>
        </is>
      </c>
      <c r="C794" s="7" t="inlineStr">
        <is>
          <t>Middle East &amp; North Africa</t>
        </is>
      </c>
      <c r="D794" s="7" t="inlineStr">
        <is>
          <t>Lower middle income</t>
        </is>
      </c>
      <c r="E794" s="7" t="b">
        <v>1</v>
      </c>
      <c r="F794" s="7" t="inlineStr">
        <is>
          <t>price_coal_power_usd_gj</t>
        </is>
      </c>
      <c r="G794" s="7" t="n">
        <v>5.575</v>
      </c>
      <c r="H794" s="7" t="inlineStr">
        <is>
          <t>2024</t>
        </is>
      </c>
      <c r="I794" s="7" t="inlineStr">
        <is>
          <t>imffossilfuelsubsidiesdata.xlsb</t>
        </is>
      </c>
    </row>
    <row r="795">
      <c r="A795" s="7" t="inlineStr">
        <is>
          <t>EGY</t>
        </is>
      </c>
      <c r="B795" s="7" t="inlineStr">
        <is>
          <t>Egypt, Arab Rep.</t>
        </is>
      </c>
      <c r="C795" s="7" t="inlineStr">
        <is>
          <t>Middle East &amp; North Africa</t>
        </is>
      </c>
      <c r="D795" s="7" t="inlineStr">
        <is>
          <t>Lower middle income</t>
        </is>
      </c>
      <c r="E795" s="7" t="b">
        <v>1</v>
      </c>
      <c r="F795" s="7" t="inlineStr">
        <is>
          <t>price_electricity_residential_usd_kwh</t>
        </is>
      </c>
      <c r="G795" s="7" t="n">
        <v>0.043</v>
      </c>
      <c r="H795" s="7" t="inlineStr">
        <is>
          <t>2024</t>
        </is>
      </c>
      <c r="I795" s="7" t="inlineStr">
        <is>
          <t>imffossilfuelsubsidiesdata.xlsb</t>
        </is>
      </c>
    </row>
    <row r="796">
      <c r="A796" s="7" t="inlineStr">
        <is>
          <t>EGY</t>
        </is>
      </c>
      <c r="B796" s="7" t="inlineStr">
        <is>
          <t>Egypt, Arab Rep.</t>
        </is>
      </c>
      <c r="C796" s="7" t="inlineStr">
        <is>
          <t>Middle East &amp; North Africa</t>
        </is>
      </c>
      <c r="D796" s="7" t="inlineStr">
        <is>
          <t>Lower middle income</t>
        </is>
      </c>
      <c r="E796" s="7" t="b">
        <v>1</v>
      </c>
      <c r="F796" s="7" t="inlineStr">
        <is>
          <t>price_gas_industry_usd_gj</t>
        </is>
      </c>
      <c r="G796" s="7" t="n">
        <v>4.797</v>
      </c>
      <c r="H796" s="7" t="inlineStr">
        <is>
          <t>2024</t>
        </is>
      </c>
      <c r="I796" s="7" t="inlineStr">
        <is>
          <t>imffossilfuelsubsidiesdata.xlsb</t>
        </is>
      </c>
    </row>
    <row r="797">
      <c r="A797" s="7" t="inlineStr">
        <is>
          <t>EGY</t>
        </is>
      </c>
      <c r="B797" s="7" t="inlineStr">
        <is>
          <t>Egypt, Arab Rep.</t>
        </is>
      </c>
      <c r="C797" s="7" t="inlineStr">
        <is>
          <t>Middle East &amp; North Africa</t>
        </is>
      </c>
      <c r="D797" s="7" t="inlineStr">
        <is>
          <t>Lower middle income</t>
        </is>
      </c>
      <c r="E797" s="7" t="b">
        <v>1</v>
      </c>
      <c r="F797" s="7" t="inlineStr">
        <is>
          <t>price_gas_power_usd_gj</t>
        </is>
      </c>
      <c r="G797" s="7" t="n">
        <v>2.503</v>
      </c>
      <c r="H797" s="7" t="inlineStr">
        <is>
          <t>2024</t>
        </is>
      </c>
      <c r="I797" s="7" t="inlineStr">
        <is>
          <t>imffossilfuelsubsidiesdata.xlsb</t>
        </is>
      </c>
    </row>
    <row r="798">
      <c r="A798" s="7" t="inlineStr">
        <is>
          <t>EGY</t>
        </is>
      </c>
      <c r="B798" s="7" t="inlineStr">
        <is>
          <t>Egypt, Arab Rep.</t>
        </is>
      </c>
      <c r="C798" s="7" t="inlineStr">
        <is>
          <t>Middle East &amp; North Africa</t>
        </is>
      </c>
      <c r="D798" s="7" t="inlineStr">
        <is>
          <t>Lower middle income</t>
        </is>
      </c>
      <c r="E798" s="7" t="b">
        <v>1</v>
      </c>
      <c r="F798" s="7" t="inlineStr">
        <is>
          <t>rise_renewable_energy_score</t>
        </is>
      </c>
      <c r="G798" s="7" t="n">
        <v>44.188</v>
      </c>
      <c r="H798" s="7" t="inlineStr">
        <is>
          <t>2023</t>
        </is>
      </c>
      <c r="I798" s="7" t="inlineStr">
        <is>
          <t>WB_RISE_WIDEF.csv</t>
        </is>
      </c>
    </row>
    <row r="799">
      <c r="A799" s="7" t="inlineStr">
        <is>
          <t>ERI</t>
        </is>
      </c>
      <c r="B799" s="7" t="inlineStr">
        <is>
          <t>Eritrea</t>
        </is>
      </c>
      <c r="C799" s="7" t="inlineStr">
        <is>
          <t>Sub-Saharan Africa</t>
        </is>
      </c>
      <c r="D799" s="7" t="inlineStr">
        <is>
          <t>Low income</t>
        </is>
      </c>
      <c r="E799" s="7" t="b">
        <v>0</v>
      </c>
      <c r="F799" s="7" t="inlineStr">
        <is>
          <t>coal_rents_pct_gdp</t>
        </is>
      </c>
      <c r="G799" s="7" t="n">
        <v>0</v>
      </c>
      <c r="H799" s="7" t="inlineStr">
        <is>
          <t>2011</t>
        </is>
      </c>
      <c r="I799" s="7" t="inlineStr">
        <is>
          <t>API_NY_GDP_COAL_RT_ZS_DS2_en_csv_v2_35370.zip</t>
        </is>
      </c>
    </row>
    <row r="800">
      <c r="A800" s="7" t="inlineStr">
        <is>
          <t>ERI</t>
        </is>
      </c>
      <c r="B800" s="7" t="inlineStr">
        <is>
          <t>Eritrea</t>
        </is>
      </c>
      <c r="C800" s="7" t="inlineStr">
        <is>
          <t>Sub-Saharan Africa</t>
        </is>
      </c>
      <c r="D800" s="7" t="inlineStr">
        <is>
          <t>Low income</t>
        </is>
      </c>
      <c r="E800" s="7" t="b">
        <v>0</v>
      </c>
      <c r="F800" s="7" t="inlineStr">
        <is>
          <t>em_coal_mt</t>
        </is>
      </c>
      <c r="G800" s="7" t="n">
        <v>0</v>
      </c>
      <c r="H800" s="7" t="n">
        <v>2024</v>
      </c>
      <c r="I800" s="7" t="inlineStr">
        <is>
          <t>release_generation_yearly_global.csv (Ember)</t>
        </is>
      </c>
    </row>
    <row r="801">
      <c r="A801" s="7" t="inlineStr">
        <is>
          <t>ERI</t>
        </is>
      </c>
      <c r="B801" s="7" t="inlineStr">
        <is>
          <t>Eritrea</t>
        </is>
      </c>
      <c r="C801" s="7" t="inlineStr">
        <is>
          <t>Sub-Saharan Africa</t>
        </is>
      </c>
      <c r="D801" s="7" t="inlineStr">
        <is>
          <t>Low income</t>
        </is>
      </c>
      <c r="E801" s="7" t="b">
        <v>0</v>
      </c>
      <c r="F801" s="7" t="inlineStr">
        <is>
          <t>em_gas_mt</t>
        </is>
      </c>
      <c r="G801" s="7" t="n">
        <v>0</v>
      </c>
      <c r="H801" s="7" t="n">
        <v>2024</v>
      </c>
      <c r="I801" s="7" t="inlineStr">
        <is>
          <t>release_generation_yearly_global.csv (Ember)</t>
        </is>
      </c>
    </row>
    <row r="802">
      <c r="A802" s="7" t="inlineStr">
        <is>
          <t>ERI</t>
        </is>
      </c>
      <c r="B802" s="7" t="inlineStr">
        <is>
          <t>Eritrea</t>
        </is>
      </c>
      <c r="C802" s="7" t="inlineStr">
        <is>
          <t>Sub-Saharan Africa</t>
        </is>
      </c>
      <c r="D802" s="7" t="inlineStr">
        <is>
          <t>Low income</t>
        </is>
      </c>
      <c r="E802" s="7" t="b">
        <v>0</v>
      </c>
      <c r="F802" s="7" t="inlineStr">
        <is>
          <t>em_oil_mt</t>
        </is>
      </c>
      <c r="G802" s="7" t="n">
        <v>0.263</v>
      </c>
      <c r="H802" s="7" t="n">
        <v>2024</v>
      </c>
      <c r="I802" s="7" t="inlineStr">
        <is>
          <t>release_generation_yearly_global.csv (Ember)</t>
        </is>
      </c>
    </row>
    <row r="803">
      <c r="A803" s="7" t="inlineStr">
        <is>
          <t>ERI</t>
        </is>
      </c>
      <c r="B803" s="7" t="inlineStr">
        <is>
          <t>Eritrea</t>
        </is>
      </c>
      <c r="C803" s="7" t="inlineStr">
        <is>
          <t>Sub-Saharan Africa</t>
        </is>
      </c>
      <c r="D803" s="7" t="inlineStr">
        <is>
          <t>Low income</t>
        </is>
      </c>
      <c r="E803" s="7" t="b">
        <v>0</v>
      </c>
      <c r="F803" s="7" t="inlineStr">
        <is>
          <t>fuel_exports_pct_merch</t>
        </is>
      </c>
      <c r="G803" s="7" t="n">
        <v>0</v>
      </c>
      <c r="H803" s="7" t="inlineStr">
        <is>
          <t>2002</t>
        </is>
      </c>
      <c r="I803" s="7" t="inlineStr">
        <is>
          <t>API_TX_VAL_FUEL_ZS_UN_DS2_en_csv_v2_33055.zip</t>
        </is>
      </c>
    </row>
    <row r="804">
      <c r="A804" s="7" t="inlineStr">
        <is>
          <t>ERI</t>
        </is>
      </c>
      <c r="B804" s="7" t="inlineStr">
        <is>
          <t>Eritrea</t>
        </is>
      </c>
      <c r="C804" s="7" t="inlineStr">
        <is>
          <t>Sub-Saharan Africa</t>
        </is>
      </c>
      <c r="D804" s="7" t="inlineStr">
        <is>
          <t>Low income</t>
        </is>
      </c>
      <c r="E804" s="7" t="b">
        <v>0</v>
      </c>
      <c r="F804" s="7" t="inlineStr">
        <is>
          <t>gen_coal_twh</t>
        </is>
      </c>
      <c r="G804" s="7" t="n">
        <v>0</v>
      </c>
      <c r="H804" s="7" t="n">
        <v>2024</v>
      </c>
      <c r="I804" s="7" t="inlineStr">
        <is>
          <t>release_generation_yearly_global.csv (Ember)</t>
        </is>
      </c>
    </row>
    <row r="805">
      <c r="A805" s="7" t="inlineStr">
        <is>
          <t>ERI</t>
        </is>
      </c>
      <c r="B805" s="7" t="inlineStr">
        <is>
          <t>Eritrea</t>
        </is>
      </c>
      <c r="C805" s="7" t="inlineStr">
        <is>
          <t>Sub-Saharan Africa</t>
        </is>
      </c>
      <c r="D805" s="7" t="inlineStr">
        <is>
          <t>Low income</t>
        </is>
      </c>
      <c r="E805" s="7" t="b">
        <v>0</v>
      </c>
      <c r="F805" s="7" t="inlineStr">
        <is>
          <t>gen_gas_twh</t>
        </is>
      </c>
      <c r="G805" s="7" t="n">
        <v>0</v>
      </c>
      <c r="H805" s="7" t="n">
        <v>2024</v>
      </c>
      <c r="I805" s="7" t="inlineStr">
        <is>
          <t>release_generation_yearly_global.csv (Ember)</t>
        </is>
      </c>
    </row>
    <row r="806">
      <c r="A806" s="7" t="inlineStr">
        <is>
          <t>ERI</t>
        </is>
      </c>
      <c r="B806" s="7" t="inlineStr">
        <is>
          <t>Eritrea</t>
        </is>
      </c>
      <c r="C806" s="7" t="inlineStr">
        <is>
          <t>Sub-Saharan Africa</t>
        </is>
      </c>
      <c r="D806" s="7" t="inlineStr">
        <is>
          <t>Low income</t>
        </is>
      </c>
      <c r="E806" s="7" t="b">
        <v>0</v>
      </c>
      <c r="F806" s="7" t="inlineStr">
        <is>
          <t>gen_oil_twh</t>
        </is>
      </c>
      <c r="G806" s="7" t="n">
        <v>0.4</v>
      </c>
      <c r="H806" s="7" t="n">
        <v>2024</v>
      </c>
      <c r="I806" s="7" t="inlineStr">
        <is>
          <t>release_generation_yearly_global.csv (Ember)</t>
        </is>
      </c>
    </row>
    <row r="807">
      <c r="A807" s="7" t="inlineStr">
        <is>
          <t>ERI</t>
        </is>
      </c>
      <c r="B807" s="7" t="inlineStr">
        <is>
          <t>Eritrea</t>
        </is>
      </c>
      <c r="C807" s="7" t="inlineStr">
        <is>
          <t>Sub-Saharan Africa</t>
        </is>
      </c>
      <c r="D807" s="7" t="inlineStr">
        <is>
          <t>Low income</t>
        </is>
      </c>
      <c r="E807" s="7" t="b">
        <v>0</v>
      </c>
      <c r="F807" s="7" t="inlineStr">
        <is>
          <t>gen_total_twh</t>
        </is>
      </c>
      <c r="G807" s="7" t="n">
        <v>0.45</v>
      </c>
      <c r="H807" s="7" t="n">
        <v>2024</v>
      </c>
      <c r="I807" s="7" t="inlineStr">
        <is>
          <t>release_generation_yearly_global.csv (Ember)</t>
        </is>
      </c>
    </row>
    <row r="808">
      <c r="A808" s="7" t="inlineStr">
        <is>
          <t>ERI</t>
        </is>
      </c>
      <c r="B808" s="7" t="inlineStr">
        <is>
          <t>Eritrea</t>
        </is>
      </c>
      <c r="C808" s="7" t="inlineStr">
        <is>
          <t>Sub-Saharan Africa</t>
        </is>
      </c>
      <c r="D808" s="7" t="inlineStr">
        <is>
          <t>Low income</t>
        </is>
      </c>
      <c r="E808" s="7" t="b">
        <v>0</v>
      </c>
      <c r="F808" s="7" t="inlineStr">
        <is>
          <t>power_market_structure</t>
        </is>
      </c>
      <c r="G808" s="7" t="n">
        <v>1</v>
      </c>
      <c r="H808" s="7" t="inlineStr">
        <is>
          <t>2013</t>
        </is>
      </c>
      <c r="I808" s="7" t="inlineStr">
        <is>
          <t>dataverse_files.zip</t>
        </is>
      </c>
    </row>
    <row r="809">
      <c r="A809" s="7" t="inlineStr">
        <is>
          <t>ERI</t>
        </is>
      </c>
      <c r="B809" s="7" t="inlineStr">
        <is>
          <t>Eritrea</t>
        </is>
      </c>
      <c r="C809" s="7" t="inlineStr">
        <is>
          <t>Sub-Saharan Africa</t>
        </is>
      </c>
      <c r="D809" s="7" t="inlineStr">
        <is>
          <t>Low income</t>
        </is>
      </c>
      <c r="E809" s="7" t="b">
        <v>0</v>
      </c>
      <c r="F809" s="7" t="inlineStr">
        <is>
          <t>rise_renewable_energy_score</t>
        </is>
      </c>
      <c r="G809" s="7" t="n">
        <v>7.426</v>
      </c>
      <c r="H809" s="7" t="inlineStr">
        <is>
          <t>2023</t>
        </is>
      </c>
      <c r="I809" s="7" t="inlineStr">
        <is>
          <t>WB_RISE_WIDEF.csv</t>
        </is>
      </c>
    </row>
    <row r="810">
      <c r="A810" s="7" t="inlineStr">
        <is>
          <t>ESP</t>
        </is>
      </c>
      <c r="B810" s="7" t="inlineStr">
        <is>
          <t>Spain</t>
        </is>
      </c>
      <c r="C810" s="7" t="inlineStr">
        <is>
          <t>Europe &amp; Central Asia</t>
        </is>
      </c>
      <c r="D810" s="7" t="inlineStr">
        <is>
          <t>High income</t>
        </is>
      </c>
      <c r="E810" s="7" t="b">
        <v>0</v>
      </c>
      <c r="F810" s="7" t="inlineStr">
        <is>
          <t>coal_rents_pct_gdp</t>
        </is>
      </c>
      <c r="G810" s="7" t="n">
        <v>0</v>
      </c>
      <c r="H810" s="7" t="inlineStr">
        <is>
          <t>2021</t>
        </is>
      </c>
      <c r="I810" s="7" t="inlineStr">
        <is>
          <t>API_NY_GDP_COAL_RT_ZS_DS2_en_csv_v2_35370.zip</t>
        </is>
      </c>
    </row>
    <row r="811">
      <c r="A811" s="7" t="inlineStr">
        <is>
          <t>ESP</t>
        </is>
      </c>
      <c r="B811" s="7" t="inlineStr">
        <is>
          <t>Spain</t>
        </is>
      </c>
      <c r="C811" s="7" t="inlineStr">
        <is>
          <t>Europe &amp; Central Asia</t>
        </is>
      </c>
      <c r="D811" s="7" t="inlineStr">
        <is>
          <t>High income</t>
        </is>
      </c>
      <c r="E811" s="7" t="b">
        <v>0</v>
      </c>
      <c r="F811" s="7" t="inlineStr">
        <is>
          <t>em_coal_mt</t>
        </is>
      </c>
      <c r="G811" s="7" t="n">
        <v>2.486</v>
      </c>
      <c r="H811" s="7" t="n">
        <v>2024</v>
      </c>
      <c r="I811" s="7" t="inlineStr">
        <is>
          <t>release_generation_yearly_global.csv (Ember)</t>
        </is>
      </c>
    </row>
    <row r="812">
      <c r="A812" s="7" t="inlineStr">
        <is>
          <t>ESP</t>
        </is>
      </c>
      <c r="B812" s="7" t="inlineStr">
        <is>
          <t>Spain</t>
        </is>
      </c>
      <c r="C812" s="7" t="inlineStr">
        <is>
          <t>Europe &amp; Central Asia</t>
        </is>
      </c>
      <c r="D812" s="7" t="inlineStr">
        <is>
          <t>High income</t>
        </is>
      </c>
      <c r="E812" s="7" t="b">
        <v>0</v>
      </c>
      <c r="F812" s="7" t="inlineStr">
        <is>
          <t>em_gas_mt</t>
        </is>
      </c>
      <c r="G812" s="7" t="n">
        <v>25.803</v>
      </c>
      <c r="H812" s="7" t="n">
        <v>2024</v>
      </c>
      <c r="I812" s="7" t="inlineStr">
        <is>
          <t>release_generation_yearly_global.csv (Ember)</t>
        </is>
      </c>
    </row>
    <row r="813">
      <c r="A813" s="7" t="inlineStr">
        <is>
          <t>ESP</t>
        </is>
      </c>
      <c r="B813" s="7" t="inlineStr">
        <is>
          <t>Spain</t>
        </is>
      </c>
      <c r="C813" s="7" t="inlineStr">
        <is>
          <t>Europe &amp; Central Asia</t>
        </is>
      </c>
      <c r="D813" s="7" t="inlineStr">
        <is>
          <t>High income</t>
        </is>
      </c>
      <c r="E813" s="7" t="b">
        <v>0</v>
      </c>
      <c r="F813" s="7" t="inlineStr">
        <is>
          <t>em_oil_mt</t>
        </is>
      </c>
      <c r="G813" s="7" t="n">
        <v>6.85</v>
      </c>
      <c r="H813" s="7" t="n">
        <v>2024</v>
      </c>
      <c r="I813" s="7" t="inlineStr">
        <is>
          <t>release_generation_yearly_global.csv (Ember)</t>
        </is>
      </c>
    </row>
    <row r="814">
      <c r="A814" s="7" t="inlineStr">
        <is>
          <t>ESP</t>
        </is>
      </c>
      <c r="B814" s="7" t="inlineStr">
        <is>
          <t>Spain</t>
        </is>
      </c>
      <c r="C814" s="7" t="inlineStr">
        <is>
          <t>Europe &amp; Central Asia</t>
        </is>
      </c>
      <c r="D814" s="7" t="inlineStr">
        <is>
          <t>High income</t>
        </is>
      </c>
      <c r="E814" s="7" t="b">
        <v>0</v>
      </c>
      <c r="F814" s="7" t="inlineStr">
        <is>
          <t>ff_subsidy_explicit_pct_gdp</t>
        </is>
      </c>
      <c r="G814" s="7" t="n">
        <v>0.014</v>
      </c>
      <c r="H814" s="7" t="inlineStr">
        <is>
          <t>2024</t>
        </is>
      </c>
      <c r="I814" s="7" t="inlineStr">
        <is>
          <t>imffossilfuelsubsidiesdata.xlsb</t>
        </is>
      </c>
    </row>
    <row r="815">
      <c r="A815" s="7" t="inlineStr">
        <is>
          <t>ESP</t>
        </is>
      </c>
      <c r="B815" s="7" t="inlineStr">
        <is>
          <t>Spain</t>
        </is>
      </c>
      <c r="C815" s="7" t="inlineStr">
        <is>
          <t>Europe &amp; Central Asia</t>
        </is>
      </c>
      <c r="D815" s="7" t="inlineStr">
        <is>
          <t>High income</t>
        </is>
      </c>
      <c r="E815" s="7" t="b">
        <v>0</v>
      </c>
      <c r="F815" s="7" t="inlineStr">
        <is>
          <t>fuel_exports_pct_merch</t>
        </is>
      </c>
      <c r="G815" s="7" t="n">
        <v>5.795</v>
      </c>
      <c r="H815" s="7" t="inlineStr">
        <is>
          <t>2024</t>
        </is>
      </c>
      <c r="I815" s="7" t="inlineStr">
        <is>
          <t>API_TX_VAL_FUEL_ZS_UN_DS2_en_csv_v2_33055.zip</t>
        </is>
      </c>
    </row>
    <row r="816">
      <c r="A816" s="7" t="inlineStr">
        <is>
          <t>ESP</t>
        </is>
      </c>
      <c r="B816" s="7" t="inlineStr">
        <is>
          <t>Spain</t>
        </is>
      </c>
      <c r="C816" s="7" t="inlineStr">
        <is>
          <t>Europe &amp; Central Asia</t>
        </is>
      </c>
      <c r="D816" s="7" t="inlineStr">
        <is>
          <t>High income</t>
        </is>
      </c>
      <c r="E816" s="7" t="b">
        <v>0</v>
      </c>
      <c r="F816" s="7" t="inlineStr">
        <is>
          <t>gen_coal_twh</t>
        </is>
      </c>
      <c r="G816" s="7" t="n">
        <v>2.58</v>
      </c>
      <c r="H816" s="7" t="n">
        <v>2024</v>
      </c>
      <c r="I816" s="7" t="inlineStr">
        <is>
          <t>release_generation_yearly_global.csv (Ember)</t>
        </is>
      </c>
    </row>
    <row r="817">
      <c r="A817" s="7" t="inlineStr">
        <is>
          <t>ESP</t>
        </is>
      </c>
      <c r="B817" s="7" t="inlineStr">
        <is>
          <t>Spain</t>
        </is>
      </c>
      <c r="C817" s="7" t="inlineStr">
        <is>
          <t>Europe &amp; Central Asia</t>
        </is>
      </c>
      <c r="D817" s="7" t="inlineStr">
        <is>
          <t>High income</t>
        </is>
      </c>
      <c r="E817" s="7" t="b">
        <v>0</v>
      </c>
      <c r="F817" s="7" t="inlineStr">
        <is>
          <t>gen_gas_twh</t>
        </is>
      </c>
      <c r="G817" s="7" t="n">
        <v>52.34</v>
      </c>
      <c r="H817" s="7" t="n">
        <v>2024</v>
      </c>
      <c r="I817" s="7" t="inlineStr">
        <is>
          <t>release_generation_yearly_global.csv (Ember)</t>
        </is>
      </c>
    </row>
    <row r="818">
      <c r="A818" s="7" t="inlineStr">
        <is>
          <t>ESP</t>
        </is>
      </c>
      <c r="B818" s="7" t="inlineStr">
        <is>
          <t>Spain</t>
        </is>
      </c>
      <c r="C818" s="7" t="inlineStr">
        <is>
          <t>Europe &amp; Central Asia</t>
        </is>
      </c>
      <c r="D818" s="7" t="inlineStr">
        <is>
          <t>High income</t>
        </is>
      </c>
      <c r="E818" s="7" t="b">
        <v>0</v>
      </c>
      <c r="F818" s="7" t="inlineStr">
        <is>
          <t>gen_oil_twh</t>
        </is>
      </c>
      <c r="G818" s="7" t="n">
        <v>10.41</v>
      </c>
      <c r="H818" s="7" t="n">
        <v>2024</v>
      </c>
      <c r="I818" s="7" t="inlineStr">
        <is>
          <t>release_generation_yearly_global.csv (Ember)</t>
        </is>
      </c>
    </row>
    <row r="819">
      <c r="A819" s="7" t="inlineStr">
        <is>
          <t>ESP</t>
        </is>
      </c>
      <c r="B819" s="7" t="inlineStr">
        <is>
          <t>Spain</t>
        </is>
      </c>
      <c r="C819" s="7" t="inlineStr">
        <is>
          <t>Europe &amp; Central Asia</t>
        </is>
      </c>
      <c r="D819" s="7" t="inlineStr">
        <is>
          <t>High income</t>
        </is>
      </c>
      <c r="E819" s="7" t="b">
        <v>0</v>
      </c>
      <c r="F819" s="7" t="inlineStr">
        <is>
          <t>gen_total_twh</t>
        </is>
      </c>
      <c r="G819" s="7" t="n">
        <v>280.94</v>
      </c>
      <c r="H819" s="7" t="n">
        <v>2024</v>
      </c>
      <c r="I819" s="7" t="inlineStr">
        <is>
          <t>release_generation_yearly_global.csv (Ember)</t>
        </is>
      </c>
    </row>
    <row r="820">
      <c r="A820" s="7" t="inlineStr">
        <is>
          <t>ESP</t>
        </is>
      </c>
      <c r="B820" s="7" t="inlineStr">
        <is>
          <t>Spain</t>
        </is>
      </c>
      <c r="C820" s="7" t="inlineStr">
        <is>
          <t>Europe &amp; Central Asia</t>
        </is>
      </c>
      <c r="D820" s="7" t="inlineStr">
        <is>
          <t>High income</t>
        </is>
      </c>
      <c r="E820" s="7" t="b">
        <v>0</v>
      </c>
      <c r="F820" s="7" t="inlineStr">
        <is>
          <t>price_coal_power_usd_gj</t>
        </is>
      </c>
      <c r="G820" s="7" t="n">
        <v>13.341</v>
      </c>
      <c r="H820" s="7" t="inlineStr">
        <is>
          <t>2024</t>
        </is>
      </c>
      <c r="I820" s="7" t="inlineStr">
        <is>
          <t>imffossilfuelsubsidiesdata.xlsb</t>
        </is>
      </c>
    </row>
    <row r="821">
      <c r="A821" s="7" t="inlineStr">
        <is>
          <t>ESP</t>
        </is>
      </c>
      <c r="B821" s="7" t="inlineStr">
        <is>
          <t>Spain</t>
        </is>
      </c>
      <c r="C821" s="7" t="inlineStr">
        <is>
          <t>Europe &amp; Central Asia</t>
        </is>
      </c>
      <c r="D821" s="7" t="inlineStr">
        <is>
          <t>High income</t>
        </is>
      </c>
      <c r="E821" s="7" t="b">
        <v>0</v>
      </c>
      <c r="F821" s="7" t="inlineStr">
        <is>
          <t>price_electricity_residential_usd_kwh</t>
        </is>
      </c>
      <c r="G821" s="7" t="n">
        <v>0.261</v>
      </c>
      <c r="H821" s="7" t="inlineStr">
        <is>
          <t>2024</t>
        </is>
      </c>
      <c r="I821" s="7" t="inlineStr">
        <is>
          <t>imffossilfuelsubsidiesdata.xlsb</t>
        </is>
      </c>
    </row>
    <row r="822">
      <c r="A822" s="7" t="inlineStr">
        <is>
          <t>ESP</t>
        </is>
      </c>
      <c r="B822" s="7" t="inlineStr">
        <is>
          <t>Spain</t>
        </is>
      </c>
      <c r="C822" s="7" t="inlineStr">
        <is>
          <t>Europe &amp; Central Asia</t>
        </is>
      </c>
      <c r="D822" s="7" t="inlineStr">
        <is>
          <t>High income</t>
        </is>
      </c>
      <c r="E822" s="7" t="b">
        <v>0</v>
      </c>
      <c r="F822" s="7" t="inlineStr">
        <is>
          <t>price_gas_industry_usd_gj</t>
        </is>
      </c>
      <c r="G822" s="7" t="n">
        <v>17.958</v>
      </c>
      <c r="H822" s="7" t="inlineStr">
        <is>
          <t>2024</t>
        </is>
      </c>
      <c r="I822" s="7" t="inlineStr">
        <is>
          <t>imffossilfuelsubsidiesdata.xlsb</t>
        </is>
      </c>
    </row>
    <row r="823">
      <c r="A823" s="7" t="inlineStr">
        <is>
          <t>ESP</t>
        </is>
      </c>
      <c r="B823" s="7" t="inlineStr">
        <is>
          <t>Spain</t>
        </is>
      </c>
      <c r="C823" s="7" t="inlineStr">
        <is>
          <t>Europe &amp; Central Asia</t>
        </is>
      </c>
      <c r="D823" s="7" t="inlineStr">
        <is>
          <t>High income</t>
        </is>
      </c>
      <c r="E823" s="7" t="b">
        <v>0</v>
      </c>
      <c r="F823" s="7" t="inlineStr">
        <is>
          <t>price_gas_power_usd_gj</t>
        </is>
      </c>
      <c r="G823" s="7" t="n">
        <v>17.958</v>
      </c>
      <c r="H823" s="7" t="inlineStr">
        <is>
          <t>2024</t>
        </is>
      </c>
      <c r="I823" s="7" t="inlineStr">
        <is>
          <t>imffossilfuelsubsidiesdata.xlsb</t>
        </is>
      </c>
    </row>
    <row r="824">
      <c r="A824" s="7" t="inlineStr">
        <is>
          <t>ESP</t>
        </is>
      </c>
      <c r="B824" s="7" t="inlineStr">
        <is>
          <t>Spain</t>
        </is>
      </c>
      <c r="C824" s="7" t="inlineStr">
        <is>
          <t>Europe &amp; Central Asia</t>
        </is>
      </c>
      <c r="D824" s="7" t="inlineStr">
        <is>
          <t>High income</t>
        </is>
      </c>
      <c r="E824" s="7" t="b">
        <v>0</v>
      </c>
      <c r="F824" s="7" t="inlineStr">
        <is>
          <t>rise_renewable_energy_score</t>
        </is>
      </c>
      <c r="G824" s="7" t="n">
        <v>83.333</v>
      </c>
      <c r="H824" s="7" t="inlineStr">
        <is>
          <t>2023</t>
        </is>
      </c>
      <c r="I824" s="7" t="inlineStr">
        <is>
          <t>WB_RISE_WIDEF.csv</t>
        </is>
      </c>
    </row>
    <row r="825">
      <c r="A825" s="7" t="inlineStr">
        <is>
          <t>EST</t>
        </is>
      </c>
      <c r="B825" s="7" t="inlineStr">
        <is>
          <t>Estonia</t>
        </is>
      </c>
      <c r="C825" s="7" t="inlineStr">
        <is>
          <t>Europe &amp; Central Asia</t>
        </is>
      </c>
      <c r="D825" s="7" t="inlineStr">
        <is>
          <t>High income</t>
        </is>
      </c>
      <c r="E825" s="7" t="b">
        <v>0</v>
      </c>
      <c r="F825" s="7" t="inlineStr">
        <is>
          <t>coal_rents_pct_gdp</t>
        </is>
      </c>
      <c r="G825" s="7" t="n">
        <v>0</v>
      </c>
      <c r="H825" s="7" t="inlineStr">
        <is>
          <t>2021</t>
        </is>
      </c>
      <c r="I825" s="7" t="inlineStr">
        <is>
          <t>API_NY_GDP_COAL_RT_ZS_DS2_en_csv_v2_35370.zip</t>
        </is>
      </c>
    </row>
    <row r="826">
      <c r="A826" s="7" t="inlineStr">
        <is>
          <t>EST</t>
        </is>
      </c>
      <c r="B826" s="7" t="inlineStr">
        <is>
          <t>Estonia</t>
        </is>
      </c>
      <c r="C826" s="7" t="inlineStr">
        <is>
          <t>Europe &amp; Central Asia</t>
        </is>
      </c>
      <c r="D826" s="7" t="inlineStr">
        <is>
          <t>High income</t>
        </is>
      </c>
      <c r="E826" s="7" t="b">
        <v>0</v>
      </c>
      <c r="F826" s="7" t="inlineStr">
        <is>
          <t>em_coal_mt</t>
        </is>
      </c>
      <c r="G826" s="7" t="n">
        <v>0</v>
      </c>
      <c r="H826" s="7" t="n">
        <v>2024</v>
      </c>
      <c r="I826" s="7" t="inlineStr">
        <is>
          <t>release_generation_yearly_global.csv (Ember)</t>
        </is>
      </c>
    </row>
    <row r="827">
      <c r="A827" s="7" t="inlineStr">
        <is>
          <t>EST</t>
        </is>
      </c>
      <c r="B827" s="7" t="inlineStr">
        <is>
          <t>Estonia</t>
        </is>
      </c>
      <c r="C827" s="7" t="inlineStr">
        <is>
          <t>Europe &amp; Central Asia</t>
        </is>
      </c>
      <c r="D827" s="7" t="inlineStr">
        <is>
          <t>High income</t>
        </is>
      </c>
      <c r="E827" s="7" t="b">
        <v>0</v>
      </c>
      <c r="F827" s="7" t="inlineStr">
        <is>
          <t>em_gas_mt</t>
        </is>
      </c>
      <c r="G827" s="7" t="n">
        <v>0.026</v>
      </c>
      <c r="H827" s="7" t="n">
        <v>2024</v>
      </c>
      <c r="I827" s="7" t="inlineStr">
        <is>
          <t>release_generation_yearly_global.csv (Ember)</t>
        </is>
      </c>
    </row>
    <row r="828">
      <c r="A828" s="7" t="inlineStr">
        <is>
          <t>EST</t>
        </is>
      </c>
      <c r="B828" s="7" t="inlineStr">
        <is>
          <t>Estonia</t>
        </is>
      </c>
      <c r="C828" s="7" t="inlineStr">
        <is>
          <t>Europe &amp; Central Asia</t>
        </is>
      </c>
      <c r="D828" s="7" t="inlineStr">
        <is>
          <t>High income</t>
        </is>
      </c>
      <c r="E828" s="7" t="b">
        <v>0</v>
      </c>
      <c r="F828" s="7" t="inlineStr">
        <is>
          <t>em_oil_mt</t>
        </is>
      </c>
      <c r="G828" s="7" t="n">
        <v>1.77</v>
      </c>
      <c r="H828" s="7" t="n">
        <v>2024</v>
      </c>
      <c r="I828" s="7" t="inlineStr">
        <is>
          <t>release_generation_yearly_global.csv (Ember)</t>
        </is>
      </c>
    </row>
    <row r="829">
      <c r="A829" s="7" t="inlineStr">
        <is>
          <t>EST</t>
        </is>
      </c>
      <c r="B829" s="7" t="inlineStr">
        <is>
          <t>Estonia</t>
        </is>
      </c>
      <c r="C829" s="7" t="inlineStr">
        <is>
          <t>Europe &amp; Central Asia</t>
        </is>
      </c>
      <c r="D829" s="7" t="inlineStr">
        <is>
          <t>High income</t>
        </is>
      </c>
      <c r="E829" s="7" t="b">
        <v>0</v>
      </c>
      <c r="F829" s="7" t="inlineStr">
        <is>
          <t>ff_subsidy_explicit_pct_gdp</t>
        </is>
      </c>
      <c r="G829" s="7" t="n">
        <v>0.045</v>
      </c>
      <c r="H829" s="7" t="inlineStr">
        <is>
          <t>2024</t>
        </is>
      </c>
      <c r="I829" s="7" t="inlineStr">
        <is>
          <t>imffossilfuelsubsidiesdata.xlsb</t>
        </is>
      </c>
    </row>
    <row r="830">
      <c r="A830" s="7" t="inlineStr">
        <is>
          <t>EST</t>
        </is>
      </c>
      <c r="B830" s="7" t="inlineStr">
        <is>
          <t>Estonia</t>
        </is>
      </c>
      <c r="C830" s="7" t="inlineStr">
        <is>
          <t>Europe &amp; Central Asia</t>
        </is>
      </c>
      <c r="D830" s="7" t="inlineStr">
        <is>
          <t>High income</t>
        </is>
      </c>
      <c r="E830" s="7" t="b">
        <v>0</v>
      </c>
      <c r="F830" s="7" t="inlineStr">
        <is>
          <t>fuel_exports_pct_merch</t>
        </is>
      </c>
      <c r="G830" s="7" t="n">
        <v>7.771</v>
      </c>
      <c r="H830" s="7" t="inlineStr">
        <is>
          <t>2024</t>
        </is>
      </c>
      <c r="I830" s="7" t="inlineStr">
        <is>
          <t>API_TX_VAL_FUEL_ZS_UN_DS2_en_csv_v2_33055.zip</t>
        </is>
      </c>
    </row>
    <row r="831">
      <c r="A831" s="7" t="inlineStr">
        <is>
          <t>EST</t>
        </is>
      </c>
      <c r="B831" s="7" t="inlineStr">
        <is>
          <t>Estonia</t>
        </is>
      </c>
      <c r="C831" s="7" t="inlineStr">
        <is>
          <t>Europe &amp; Central Asia</t>
        </is>
      </c>
      <c r="D831" s="7" t="inlineStr">
        <is>
          <t>High income</t>
        </is>
      </c>
      <c r="E831" s="7" t="b">
        <v>0</v>
      </c>
      <c r="F831" s="7" t="inlineStr">
        <is>
          <t>gen_coal_twh</t>
        </is>
      </c>
      <c r="G831" s="7" t="n">
        <v>0</v>
      </c>
      <c r="H831" s="7" t="n">
        <v>2024</v>
      </c>
      <c r="I831" s="7" t="inlineStr">
        <is>
          <t>release_generation_yearly_global.csv (Ember)</t>
        </is>
      </c>
    </row>
    <row r="832">
      <c r="A832" s="7" t="inlineStr">
        <is>
          <t>EST</t>
        </is>
      </c>
      <c r="B832" s="7" t="inlineStr">
        <is>
          <t>Estonia</t>
        </is>
      </c>
      <c r="C832" s="7" t="inlineStr">
        <is>
          <t>Europe &amp; Central Asia</t>
        </is>
      </c>
      <c r="D832" s="7" t="inlineStr">
        <is>
          <t>High income</t>
        </is>
      </c>
      <c r="E832" s="7" t="b">
        <v>0</v>
      </c>
      <c r="F832" s="7" t="inlineStr">
        <is>
          <t>gen_gas_twh</t>
        </is>
      </c>
      <c r="G832" s="7" t="n">
        <v>0.08</v>
      </c>
      <c r="H832" s="7" t="n">
        <v>2024</v>
      </c>
      <c r="I832" s="7" t="inlineStr">
        <is>
          <t>release_generation_yearly_global.csv (Ember)</t>
        </is>
      </c>
    </row>
    <row r="833">
      <c r="A833" s="7" t="inlineStr">
        <is>
          <t>EST</t>
        </is>
      </c>
      <c r="B833" s="7" t="inlineStr">
        <is>
          <t>Estonia</t>
        </is>
      </c>
      <c r="C833" s="7" t="inlineStr">
        <is>
          <t>Europe &amp; Central Asia</t>
        </is>
      </c>
      <c r="D833" s="7" t="inlineStr">
        <is>
          <t>High income</t>
        </is>
      </c>
      <c r="E833" s="7" t="b">
        <v>0</v>
      </c>
      <c r="F833" s="7" t="inlineStr">
        <is>
          <t>gen_oil_twh</t>
        </is>
      </c>
      <c r="G833" s="7" t="n">
        <v>2.69</v>
      </c>
      <c r="H833" s="7" t="n">
        <v>2024</v>
      </c>
      <c r="I833" s="7" t="inlineStr">
        <is>
          <t>release_generation_yearly_global.csv (Ember)</t>
        </is>
      </c>
    </row>
    <row r="834">
      <c r="A834" s="7" t="inlineStr">
        <is>
          <t>EST</t>
        </is>
      </c>
      <c r="B834" s="7" t="inlineStr">
        <is>
          <t>Estonia</t>
        </is>
      </c>
      <c r="C834" s="7" t="inlineStr">
        <is>
          <t>Europe &amp; Central Asia</t>
        </is>
      </c>
      <c r="D834" s="7" t="inlineStr">
        <is>
          <t>High income</t>
        </is>
      </c>
      <c r="E834" s="7" t="b">
        <v>0</v>
      </c>
      <c r="F834" s="7" t="inlineStr">
        <is>
          <t>gen_total_twh</t>
        </is>
      </c>
      <c r="G834" s="7" t="n">
        <v>6.26</v>
      </c>
      <c r="H834" s="7" t="n">
        <v>2024</v>
      </c>
      <c r="I834" s="7" t="inlineStr">
        <is>
          <t>release_generation_yearly_global.csv (Ember)</t>
        </is>
      </c>
    </row>
    <row r="835">
      <c r="A835" s="7" t="inlineStr">
        <is>
          <t>EST</t>
        </is>
      </c>
      <c r="B835" s="7" t="inlineStr">
        <is>
          <t>Estonia</t>
        </is>
      </c>
      <c r="C835" s="7" t="inlineStr">
        <is>
          <t>Europe &amp; Central Asia</t>
        </is>
      </c>
      <c r="D835" s="7" t="inlineStr">
        <is>
          <t>High income</t>
        </is>
      </c>
      <c r="E835" s="7" t="b">
        <v>0</v>
      </c>
      <c r="F835" s="7" t="inlineStr">
        <is>
          <t>price_coal_power_usd_gj</t>
        </is>
      </c>
      <c r="G835" s="7" t="n">
        <v>9.254</v>
      </c>
      <c r="H835" s="7" t="inlineStr">
        <is>
          <t>2024</t>
        </is>
      </c>
      <c r="I835" s="7" t="inlineStr">
        <is>
          <t>imffossilfuelsubsidiesdata.xlsb</t>
        </is>
      </c>
    </row>
    <row r="836">
      <c r="A836" s="7" t="inlineStr">
        <is>
          <t>EST</t>
        </is>
      </c>
      <c r="B836" s="7" t="inlineStr">
        <is>
          <t>Estonia</t>
        </is>
      </c>
      <c r="C836" s="7" t="inlineStr">
        <is>
          <t>Europe &amp; Central Asia</t>
        </is>
      </c>
      <c r="D836" s="7" t="inlineStr">
        <is>
          <t>High income</t>
        </is>
      </c>
      <c r="E836" s="7" t="b">
        <v>0</v>
      </c>
      <c r="F836" s="7" t="inlineStr">
        <is>
          <t>price_electricity_residential_usd_kwh</t>
        </is>
      </c>
      <c r="G836" s="7" t="n">
        <v>0.244</v>
      </c>
      <c r="H836" s="7" t="inlineStr">
        <is>
          <t>2024</t>
        </is>
      </c>
      <c r="I836" s="7" t="inlineStr">
        <is>
          <t>imffossilfuelsubsidiesdata.xlsb</t>
        </is>
      </c>
    </row>
    <row r="837">
      <c r="A837" s="7" t="inlineStr">
        <is>
          <t>EST</t>
        </is>
      </c>
      <c r="B837" s="7" t="inlineStr">
        <is>
          <t>Estonia</t>
        </is>
      </c>
      <c r="C837" s="7" t="inlineStr">
        <is>
          <t>Europe &amp; Central Asia</t>
        </is>
      </c>
      <c r="D837" s="7" t="inlineStr">
        <is>
          <t>High income</t>
        </is>
      </c>
      <c r="E837" s="7" t="b">
        <v>0</v>
      </c>
      <c r="F837" s="7" t="inlineStr">
        <is>
          <t>price_gas_industry_usd_gj</t>
        </is>
      </c>
      <c r="G837" s="7" t="n">
        <v>20.556</v>
      </c>
      <c r="H837" s="7" t="inlineStr">
        <is>
          <t>2024</t>
        </is>
      </c>
      <c r="I837" s="7" t="inlineStr">
        <is>
          <t>imffossilfuelsubsidiesdata.xlsb</t>
        </is>
      </c>
    </row>
    <row r="838">
      <c r="A838" s="7" t="inlineStr">
        <is>
          <t>EST</t>
        </is>
      </c>
      <c r="B838" s="7" t="inlineStr">
        <is>
          <t>Estonia</t>
        </is>
      </c>
      <c r="C838" s="7" t="inlineStr">
        <is>
          <t>Europe &amp; Central Asia</t>
        </is>
      </c>
      <c r="D838" s="7" t="inlineStr">
        <is>
          <t>High income</t>
        </is>
      </c>
      <c r="E838" s="7" t="b">
        <v>0</v>
      </c>
      <c r="F838" s="7" t="inlineStr">
        <is>
          <t>price_gas_power_usd_gj</t>
        </is>
      </c>
      <c r="G838" s="7" t="n">
        <v>20.556</v>
      </c>
      <c r="H838" s="7" t="inlineStr">
        <is>
          <t>2024</t>
        </is>
      </c>
      <c r="I838" s="7" t="inlineStr">
        <is>
          <t>imffossilfuelsubsidiesdata.xlsb</t>
        </is>
      </c>
    </row>
    <row r="839">
      <c r="A839" s="7" t="inlineStr">
        <is>
          <t>ETH</t>
        </is>
      </c>
      <c r="B839" s="7" t="inlineStr">
        <is>
          <t>Ethiopia</t>
        </is>
      </c>
      <c r="C839" s="7" t="inlineStr">
        <is>
          <t>Sub-Saharan Africa</t>
        </is>
      </c>
      <c r="D839" s="7" t="inlineStr">
        <is>
          <t>Low income</t>
        </is>
      </c>
      <c r="E839" s="7" t="b">
        <v>1</v>
      </c>
      <c r="F839" s="7" t="inlineStr">
        <is>
          <t>coal_rents_pct_gdp</t>
        </is>
      </c>
      <c r="G839" s="7" t="n">
        <v>0</v>
      </c>
      <c r="H839" s="7" t="inlineStr">
        <is>
          <t>2021</t>
        </is>
      </c>
      <c r="I839" s="7" t="inlineStr">
        <is>
          <t>API_NY_GDP_COAL_RT_ZS_DS2_en_csv_v2_35370.zip</t>
        </is>
      </c>
    </row>
    <row r="840">
      <c r="A840" s="7" t="inlineStr">
        <is>
          <t>ETH</t>
        </is>
      </c>
      <c r="B840" s="7" t="inlineStr">
        <is>
          <t>Ethiopia</t>
        </is>
      </c>
      <c r="C840" s="7" t="inlineStr">
        <is>
          <t>Sub-Saharan Africa</t>
        </is>
      </c>
      <c r="D840" s="7" t="inlineStr">
        <is>
          <t>Low income</t>
        </is>
      </c>
      <c r="E840" s="7" t="b">
        <v>1</v>
      </c>
      <c r="F840" s="7" t="inlineStr">
        <is>
          <t>em_coal_mt</t>
        </is>
      </c>
      <c r="G840" s="7" t="n">
        <v>0</v>
      </c>
      <c r="H840" s="7" t="n">
        <v>2024</v>
      </c>
      <c r="I840" s="7" t="inlineStr">
        <is>
          <t>release_generation_yearly_global.csv (Ember)</t>
        </is>
      </c>
    </row>
    <row r="841">
      <c r="A841" s="7" t="inlineStr">
        <is>
          <t>ETH</t>
        </is>
      </c>
      <c r="B841" s="7" t="inlineStr">
        <is>
          <t>Ethiopia</t>
        </is>
      </c>
      <c r="C841" s="7" t="inlineStr">
        <is>
          <t>Sub-Saharan Africa</t>
        </is>
      </c>
      <c r="D841" s="7" t="inlineStr">
        <is>
          <t>Low income</t>
        </is>
      </c>
      <c r="E841" s="7" t="b">
        <v>1</v>
      </c>
      <c r="F841" s="7" t="inlineStr">
        <is>
          <t>em_gas_mt</t>
        </is>
      </c>
      <c r="G841" s="7" t="n">
        <v>0</v>
      </c>
      <c r="H841" s="7" t="n">
        <v>2024</v>
      </c>
      <c r="I841" s="7" t="inlineStr">
        <is>
          <t>release_generation_yearly_global.csv (Ember)</t>
        </is>
      </c>
    </row>
    <row r="842">
      <c r="A842" s="7" t="inlineStr">
        <is>
          <t>ETH</t>
        </is>
      </c>
      <c r="B842" s="7" t="inlineStr">
        <is>
          <t>Ethiopia</t>
        </is>
      </c>
      <c r="C842" s="7" t="inlineStr">
        <is>
          <t>Sub-Saharan Africa</t>
        </is>
      </c>
      <c r="D842" s="7" t="inlineStr">
        <is>
          <t>Low income</t>
        </is>
      </c>
      <c r="E842" s="7" t="b">
        <v>1</v>
      </c>
      <c r="F842" s="7" t="inlineStr">
        <is>
          <t>em_oil_mt</t>
        </is>
      </c>
      <c r="G842" s="7" t="n">
        <v>0</v>
      </c>
      <c r="H842" s="7" t="n">
        <v>2024</v>
      </c>
      <c r="I842" s="7" t="inlineStr">
        <is>
          <t>release_generation_yearly_global.csv (Ember)</t>
        </is>
      </c>
    </row>
    <row r="843">
      <c r="A843" s="7" t="inlineStr">
        <is>
          <t>ETH</t>
        </is>
      </c>
      <c r="B843" s="7" t="inlineStr">
        <is>
          <t>Ethiopia</t>
        </is>
      </c>
      <c r="C843" s="7" t="inlineStr">
        <is>
          <t>Sub-Saharan Africa</t>
        </is>
      </c>
      <c r="D843" s="7" t="inlineStr">
        <is>
          <t>Low income</t>
        </is>
      </c>
      <c r="E843" s="7" t="b">
        <v>1</v>
      </c>
      <c r="F843" s="7" t="inlineStr">
        <is>
          <t>ff_subsidy_explicit_pct_gdp</t>
        </is>
      </c>
      <c r="G843" s="7" t="n">
        <v>0.105</v>
      </c>
      <c r="H843" s="7" t="inlineStr">
        <is>
          <t>2024</t>
        </is>
      </c>
      <c r="I843" s="7" t="inlineStr">
        <is>
          <t>imffossilfuelsubsidiesdata.xlsb</t>
        </is>
      </c>
    </row>
    <row r="844">
      <c r="A844" s="7" t="inlineStr">
        <is>
          <t>ETH</t>
        </is>
      </c>
      <c r="B844" s="7" t="inlineStr">
        <is>
          <t>Ethiopia</t>
        </is>
      </c>
      <c r="C844" s="7" t="inlineStr">
        <is>
          <t>Sub-Saharan Africa</t>
        </is>
      </c>
      <c r="D844" s="7" t="inlineStr">
        <is>
          <t>Low income</t>
        </is>
      </c>
      <c r="E844" s="7" t="b">
        <v>1</v>
      </c>
      <c r="F844" s="7" t="inlineStr">
        <is>
          <t>fuel_exports_pct_merch</t>
        </is>
      </c>
      <c r="G844" s="7" t="n">
        <v>0.032</v>
      </c>
      <c r="H844" s="7" t="inlineStr">
        <is>
          <t>2023</t>
        </is>
      </c>
      <c r="I844" s="7" t="inlineStr">
        <is>
          <t>API_TX_VAL_FUEL_ZS_UN_DS2_en_csv_v2_33055.zip</t>
        </is>
      </c>
    </row>
    <row r="845">
      <c r="A845" s="7" t="inlineStr">
        <is>
          <t>ETH</t>
        </is>
      </c>
      <c r="B845" s="7" t="inlineStr">
        <is>
          <t>Ethiopia</t>
        </is>
      </c>
      <c r="C845" s="7" t="inlineStr">
        <is>
          <t>Sub-Saharan Africa</t>
        </is>
      </c>
      <c r="D845" s="7" t="inlineStr">
        <is>
          <t>Low income</t>
        </is>
      </c>
      <c r="E845" s="7" t="b">
        <v>1</v>
      </c>
      <c r="F845" s="7" t="inlineStr">
        <is>
          <t>gen_coal_twh</t>
        </is>
      </c>
      <c r="G845" s="7" t="n">
        <v>0</v>
      </c>
      <c r="H845" s="7" t="n">
        <v>2024</v>
      </c>
      <c r="I845" s="7" t="inlineStr">
        <is>
          <t>release_generation_yearly_global.csv (Ember)</t>
        </is>
      </c>
    </row>
    <row r="846">
      <c r="A846" s="7" t="inlineStr">
        <is>
          <t>ETH</t>
        </is>
      </c>
      <c r="B846" s="7" t="inlineStr">
        <is>
          <t>Ethiopia</t>
        </is>
      </c>
      <c r="C846" s="7" t="inlineStr">
        <is>
          <t>Sub-Saharan Africa</t>
        </is>
      </c>
      <c r="D846" s="7" t="inlineStr">
        <is>
          <t>Low income</t>
        </is>
      </c>
      <c r="E846" s="7" t="b">
        <v>1</v>
      </c>
      <c r="F846" s="7" t="inlineStr">
        <is>
          <t>gen_gas_twh</t>
        </is>
      </c>
      <c r="G846" s="7" t="n">
        <v>0</v>
      </c>
      <c r="H846" s="7" t="n">
        <v>2024</v>
      </c>
      <c r="I846" s="7" t="inlineStr">
        <is>
          <t>release_generation_yearly_global.csv (Ember)</t>
        </is>
      </c>
    </row>
    <row r="847">
      <c r="A847" s="7" t="inlineStr">
        <is>
          <t>ETH</t>
        </is>
      </c>
      <c r="B847" s="7" t="inlineStr">
        <is>
          <t>Ethiopia</t>
        </is>
      </c>
      <c r="C847" s="7" t="inlineStr">
        <is>
          <t>Sub-Saharan Africa</t>
        </is>
      </c>
      <c r="D847" s="7" t="inlineStr">
        <is>
          <t>Low income</t>
        </is>
      </c>
      <c r="E847" s="7" t="b">
        <v>1</v>
      </c>
      <c r="F847" s="7" t="inlineStr">
        <is>
          <t>gen_oil_twh</t>
        </is>
      </c>
      <c r="G847" s="7" t="n">
        <v>0</v>
      </c>
      <c r="H847" s="7" t="n">
        <v>2024</v>
      </c>
      <c r="I847" s="7" t="inlineStr">
        <is>
          <t>release_generation_yearly_global.csv (Ember)</t>
        </is>
      </c>
    </row>
    <row r="848">
      <c r="A848" s="7" t="inlineStr">
        <is>
          <t>ETH</t>
        </is>
      </c>
      <c r="B848" s="7" t="inlineStr">
        <is>
          <t>Ethiopia</t>
        </is>
      </c>
      <c r="C848" s="7" t="inlineStr">
        <is>
          <t>Sub-Saharan Africa</t>
        </is>
      </c>
      <c r="D848" s="7" t="inlineStr">
        <is>
          <t>Low income</t>
        </is>
      </c>
      <c r="E848" s="7" t="b">
        <v>1</v>
      </c>
      <c r="F848" s="7" t="inlineStr">
        <is>
          <t>gen_total_twh</t>
        </is>
      </c>
      <c r="G848" s="7" t="n">
        <v>25.2</v>
      </c>
      <c r="H848" s="7" t="n">
        <v>2024</v>
      </c>
      <c r="I848" s="7" t="inlineStr">
        <is>
          <t>release_generation_yearly_global.csv (Ember)</t>
        </is>
      </c>
    </row>
    <row r="849">
      <c r="A849" s="7" t="inlineStr">
        <is>
          <t>ETH</t>
        </is>
      </c>
      <c r="B849" s="7" t="inlineStr">
        <is>
          <t>Ethiopia</t>
        </is>
      </c>
      <c r="C849" s="7" t="inlineStr">
        <is>
          <t>Sub-Saharan Africa</t>
        </is>
      </c>
      <c r="D849" s="7" t="inlineStr">
        <is>
          <t>Low income</t>
        </is>
      </c>
      <c r="E849" s="7" t="b">
        <v>1</v>
      </c>
      <c r="F849" s="7" t="inlineStr">
        <is>
          <t>power_market_structure</t>
        </is>
      </c>
      <c r="G849" s="7" t="n">
        <v>2</v>
      </c>
      <c r="H849" s="7" t="inlineStr">
        <is>
          <t>2013</t>
        </is>
      </c>
      <c r="I849" s="7" t="inlineStr">
        <is>
          <t>dataverse_files.zip</t>
        </is>
      </c>
    </row>
    <row r="850">
      <c r="A850" s="7" t="inlineStr">
        <is>
          <t>ETH</t>
        </is>
      </c>
      <c r="B850" s="7" t="inlineStr">
        <is>
          <t>Ethiopia</t>
        </is>
      </c>
      <c r="C850" s="7" t="inlineStr">
        <is>
          <t>Sub-Saharan Africa</t>
        </is>
      </c>
      <c r="D850" s="7" t="inlineStr">
        <is>
          <t>Low income</t>
        </is>
      </c>
      <c r="E850" s="7" t="b">
        <v>1</v>
      </c>
      <c r="F850" s="7" t="inlineStr">
        <is>
          <t>price_coal_power_usd_gj</t>
        </is>
      </c>
      <c r="G850" s="7" t="n">
        <v>4.142</v>
      </c>
      <c r="H850" s="7" t="inlineStr">
        <is>
          <t>2024</t>
        </is>
      </c>
      <c r="I850" s="7" t="inlineStr">
        <is>
          <t>imffossilfuelsubsidiesdata.xlsb</t>
        </is>
      </c>
    </row>
    <row r="851">
      <c r="A851" s="7" t="inlineStr">
        <is>
          <t>ETH</t>
        </is>
      </c>
      <c r="B851" s="7" t="inlineStr">
        <is>
          <t>Ethiopia</t>
        </is>
      </c>
      <c r="C851" s="7" t="inlineStr">
        <is>
          <t>Sub-Saharan Africa</t>
        </is>
      </c>
      <c r="D851" s="7" t="inlineStr">
        <is>
          <t>Low income</t>
        </is>
      </c>
      <c r="E851" s="7" t="b">
        <v>1</v>
      </c>
      <c r="F851" s="7" t="inlineStr">
        <is>
          <t>price_electricity_residential_usd_kwh</t>
        </is>
      </c>
      <c r="G851" s="7" t="n">
        <v>0.04</v>
      </c>
      <c r="H851" s="7" t="inlineStr">
        <is>
          <t>2024</t>
        </is>
      </c>
      <c r="I851" s="7" t="inlineStr">
        <is>
          <t>imffossilfuelsubsidiesdata.xlsb</t>
        </is>
      </c>
    </row>
    <row r="852">
      <c r="A852" s="7" t="inlineStr">
        <is>
          <t>ETH</t>
        </is>
      </c>
      <c r="B852" s="7" t="inlineStr">
        <is>
          <t>Ethiopia</t>
        </is>
      </c>
      <c r="C852" s="7" t="inlineStr">
        <is>
          <t>Sub-Saharan Africa</t>
        </is>
      </c>
      <c r="D852" s="7" t="inlineStr">
        <is>
          <t>Low income</t>
        </is>
      </c>
      <c r="E852" s="7" t="b">
        <v>1</v>
      </c>
      <c r="F852" s="7" t="inlineStr">
        <is>
          <t>price_gas_industry_usd_gj</t>
        </is>
      </c>
      <c r="G852" s="7" t="n">
        <v>8.185</v>
      </c>
      <c r="H852" s="7" t="inlineStr">
        <is>
          <t>2024</t>
        </is>
      </c>
      <c r="I852" s="7" t="inlineStr">
        <is>
          <t>imffossilfuelsubsidiesdata.xlsb</t>
        </is>
      </c>
    </row>
    <row r="853">
      <c r="A853" s="7" t="inlineStr">
        <is>
          <t>ETH</t>
        </is>
      </c>
      <c r="B853" s="7" t="inlineStr">
        <is>
          <t>Ethiopia</t>
        </is>
      </c>
      <c r="C853" s="7" t="inlineStr">
        <is>
          <t>Sub-Saharan Africa</t>
        </is>
      </c>
      <c r="D853" s="7" t="inlineStr">
        <is>
          <t>Low income</t>
        </is>
      </c>
      <c r="E853" s="7" t="b">
        <v>1</v>
      </c>
      <c r="F853" s="7" t="inlineStr">
        <is>
          <t>price_gas_power_usd_gj</t>
        </is>
      </c>
      <c r="G853" s="7" t="n">
        <v>6.861</v>
      </c>
      <c r="H853" s="7" t="inlineStr">
        <is>
          <t>2024</t>
        </is>
      </c>
      <c r="I853" s="7" t="inlineStr">
        <is>
          <t>imffossilfuelsubsidiesdata.xlsb</t>
        </is>
      </c>
    </row>
    <row r="854">
      <c r="A854" s="7" t="inlineStr">
        <is>
          <t>ETH</t>
        </is>
      </c>
      <c r="B854" s="7" t="inlineStr">
        <is>
          <t>Ethiopia</t>
        </is>
      </c>
      <c r="C854" s="7" t="inlineStr">
        <is>
          <t>Sub-Saharan Africa</t>
        </is>
      </c>
      <c r="D854" s="7" t="inlineStr">
        <is>
          <t>Low income</t>
        </is>
      </c>
      <c r="E854" s="7" t="b">
        <v>1</v>
      </c>
      <c r="F854" s="7" t="inlineStr">
        <is>
          <t>rise_renewable_energy_score</t>
        </is>
      </c>
      <c r="G854" s="7" t="n">
        <v>33.146</v>
      </c>
      <c r="H854" s="7" t="inlineStr">
        <is>
          <t>2023</t>
        </is>
      </c>
      <c r="I854" s="7" t="inlineStr">
        <is>
          <t>WB_RISE_WIDEF.csv</t>
        </is>
      </c>
    </row>
    <row r="855">
      <c r="A855" s="7" t="inlineStr">
        <is>
          <t>FIN</t>
        </is>
      </c>
      <c r="B855" s="7" t="inlineStr">
        <is>
          <t>Finland</t>
        </is>
      </c>
      <c r="C855" s="7" t="inlineStr">
        <is>
          <t>Europe &amp; Central Asia</t>
        </is>
      </c>
      <c r="D855" s="7" t="inlineStr">
        <is>
          <t>High income</t>
        </is>
      </c>
      <c r="E855" s="7" t="b">
        <v>0</v>
      </c>
      <c r="F855" s="7" t="inlineStr">
        <is>
          <t>coal_rents_pct_gdp</t>
        </is>
      </c>
      <c r="G855" s="7" t="n">
        <v>0</v>
      </c>
      <c r="H855" s="7" t="inlineStr">
        <is>
          <t>2021</t>
        </is>
      </c>
      <c r="I855" s="7" t="inlineStr">
        <is>
          <t>API_NY_GDP_COAL_RT_ZS_DS2_en_csv_v2_35370.zip</t>
        </is>
      </c>
    </row>
    <row r="856">
      <c r="A856" s="7" t="inlineStr">
        <is>
          <t>FIN</t>
        </is>
      </c>
      <c r="B856" s="7" t="inlineStr">
        <is>
          <t>Finland</t>
        </is>
      </c>
      <c r="C856" s="7" t="inlineStr">
        <is>
          <t>Europe &amp; Central Asia</t>
        </is>
      </c>
      <c r="D856" s="7" t="inlineStr">
        <is>
          <t>High income</t>
        </is>
      </c>
      <c r="E856" s="7" t="b">
        <v>0</v>
      </c>
      <c r="F856" s="7" t="inlineStr">
        <is>
          <t>em_coal_mt</t>
        </is>
      </c>
      <c r="G856" s="7" t="n">
        <v>0.772</v>
      </c>
      <c r="H856" s="7" t="n">
        <v>2024</v>
      </c>
      <c r="I856" s="7" t="inlineStr">
        <is>
          <t>release_generation_yearly_global.csv (Ember)</t>
        </is>
      </c>
    </row>
    <row r="857">
      <c r="A857" s="7" t="inlineStr">
        <is>
          <t>FIN</t>
        </is>
      </c>
      <c r="B857" s="7" t="inlineStr">
        <is>
          <t>Finland</t>
        </is>
      </c>
      <c r="C857" s="7" t="inlineStr">
        <is>
          <t>Europe &amp; Central Asia</t>
        </is>
      </c>
      <c r="D857" s="7" t="inlineStr">
        <is>
          <t>High income</t>
        </is>
      </c>
      <c r="E857" s="7" t="b">
        <v>0</v>
      </c>
      <c r="F857" s="7" t="inlineStr">
        <is>
          <t>em_gas_mt</t>
        </is>
      </c>
      <c r="G857" s="7" t="n">
        <v>0.262</v>
      </c>
      <c r="H857" s="7" t="n">
        <v>2024</v>
      </c>
      <c r="I857" s="7" t="inlineStr">
        <is>
          <t>release_generation_yearly_global.csv (Ember)</t>
        </is>
      </c>
    </row>
    <row r="858">
      <c r="A858" s="7" t="inlineStr">
        <is>
          <t>FIN</t>
        </is>
      </c>
      <c r="B858" s="7" t="inlineStr">
        <is>
          <t>Finland</t>
        </is>
      </c>
      <c r="C858" s="7" t="inlineStr">
        <is>
          <t>Europe &amp; Central Asia</t>
        </is>
      </c>
      <c r="D858" s="7" t="inlineStr">
        <is>
          <t>High income</t>
        </is>
      </c>
      <c r="E858" s="7" t="b">
        <v>0</v>
      </c>
      <c r="F858" s="7" t="inlineStr">
        <is>
          <t>em_oil_mt</t>
        </is>
      </c>
      <c r="G858" s="7" t="n">
        <v>1.441</v>
      </c>
      <c r="H858" s="7" t="n">
        <v>2024</v>
      </c>
      <c r="I858" s="7" t="inlineStr">
        <is>
          <t>release_generation_yearly_global.csv (Ember)</t>
        </is>
      </c>
    </row>
    <row r="859">
      <c r="A859" s="7" t="inlineStr">
        <is>
          <t>FIN</t>
        </is>
      </c>
      <c r="B859" s="7" t="inlineStr">
        <is>
          <t>Finland</t>
        </is>
      </c>
      <c r="C859" s="7" t="inlineStr">
        <is>
          <t>Europe &amp; Central Asia</t>
        </is>
      </c>
      <c r="D859" s="7" t="inlineStr">
        <is>
          <t>High income</t>
        </is>
      </c>
      <c r="E859" s="7" t="b">
        <v>0</v>
      </c>
      <c r="F859" s="7" t="inlineStr">
        <is>
          <t>ff_subsidy_explicit_pct_gdp</t>
        </is>
      </c>
      <c r="G859" s="7" t="n">
        <v>0</v>
      </c>
      <c r="H859" s="7" t="inlineStr">
        <is>
          <t>2024</t>
        </is>
      </c>
      <c r="I859" s="7" t="inlineStr">
        <is>
          <t>imffossilfuelsubsidiesdata.xlsb</t>
        </is>
      </c>
    </row>
    <row r="860">
      <c r="A860" s="7" t="inlineStr">
        <is>
          <t>FIN</t>
        </is>
      </c>
      <c r="B860" s="7" t="inlineStr">
        <is>
          <t>Finland</t>
        </is>
      </c>
      <c r="C860" s="7" t="inlineStr">
        <is>
          <t>Europe &amp; Central Asia</t>
        </is>
      </c>
      <c r="D860" s="7" t="inlineStr">
        <is>
          <t>High income</t>
        </is>
      </c>
      <c r="E860" s="7" t="b">
        <v>0</v>
      </c>
      <c r="F860" s="7" t="inlineStr">
        <is>
          <t>fuel_exports_pct_merch</t>
        </is>
      </c>
      <c r="G860" s="7" t="n">
        <v>7.532</v>
      </c>
      <c r="H860" s="7" t="inlineStr">
        <is>
          <t>2024</t>
        </is>
      </c>
      <c r="I860" s="7" t="inlineStr">
        <is>
          <t>API_TX_VAL_FUEL_ZS_UN_DS2_en_csv_v2_33055.zip</t>
        </is>
      </c>
    </row>
    <row r="861">
      <c r="A861" s="7" t="inlineStr">
        <is>
          <t>FIN</t>
        </is>
      </c>
      <c r="B861" s="7" t="inlineStr">
        <is>
          <t>Finland</t>
        </is>
      </c>
      <c r="C861" s="7" t="inlineStr">
        <is>
          <t>Europe &amp; Central Asia</t>
        </is>
      </c>
      <c r="D861" s="7" t="inlineStr">
        <is>
          <t>High income</t>
        </is>
      </c>
      <c r="E861" s="7" t="b">
        <v>0</v>
      </c>
      <c r="F861" s="7" t="inlineStr">
        <is>
          <t>gen_coal_twh</t>
        </is>
      </c>
      <c r="G861" s="7" t="n">
        <v>0.83</v>
      </c>
      <c r="H861" s="7" t="n">
        <v>2024</v>
      </c>
      <c r="I861" s="7" t="inlineStr">
        <is>
          <t>release_generation_yearly_global.csv (Ember)</t>
        </is>
      </c>
    </row>
    <row r="862">
      <c r="A862" s="7" t="inlineStr">
        <is>
          <t>FIN</t>
        </is>
      </c>
      <c r="B862" s="7" t="inlineStr">
        <is>
          <t>Finland</t>
        </is>
      </c>
      <c r="C862" s="7" t="inlineStr">
        <is>
          <t>Europe &amp; Central Asia</t>
        </is>
      </c>
      <c r="D862" s="7" t="inlineStr">
        <is>
          <t>High income</t>
        </is>
      </c>
      <c r="E862" s="7" t="b">
        <v>0</v>
      </c>
      <c r="F862" s="7" t="inlineStr">
        <is>
          <t>gen_gas_twh</t>
        </is>
      </c>
      <c r="G862" s="7" t="n">
        <v>0.82</v>
      </c>
      <c r="H862" s="7" t="n">
        <v>2024</v>
      </c>
      <c r="I862" s="7" t="inlineStr">
        <is>
          <t>release_generation_yearly_global.csv (Ember)</t>
        </is>
      </c>
    </row>
    <row r="863">
      <c r="A863" s="7" t="inlineStr">
        <is>
          <t>FIN</t>
        </is>
      </c>
      <c r="B863" s="7" t="inlineStr">
        <is>
          <t>Finland</t>
        </is>
      </c>
      <c r="C863" s="7" t="inlineStr">
        <is>
          <t>Europe &amp; Central Asia</t>
        </is>
      </c>
      <c r="D863" s="7" t="inlineStr">
        <is>
          <t>High income</t>
        </is>
      </c>
      <c r="E863" s="7" t="b">
        <v>0</v>
      </c>
      <c r="F863" s="7" t="inlineStr">
        <is>
          <t>gen_oil_twh</t>
        </is>
      </c>
      <c r="G863" s="7" t="n">
        <v>2.19</v>
      </c>
      <c r="H863" s="7" t="n">
        <v>2024</v>
      </c>
      <c r="I863" s="7" t="inlineStr">
        <is>
          <t>release_generation_yearly_global.csv (Ember)</t>
        </is>
      </c>
    </row>
    <row r="864">
      <c r="A864" s="7" t="inlineStr">
        <is>
          <t>FIN</t>
        </is>
      </c>
      <c r="B864" s="7" t="inlineStr">
        <is>
          <t>Finland</t>
        </is>
      </c>
      <c r="C864" s="7" t="inlineStr">
        <is>
          <t>Europe &amp; Central Asia</t>
        </is>
      </c>
      <c r="D864" s="7" t="inlineStr">
        <is>
          <t>High income</t>
        </is>
      </c>
      <c r="E864" s="7" t="b">
        <v>0</v>
      </c>
      <c r="F864" s="7" t="inlineStr">
        <is>
          <t>gen_total_twh</t>
        </is>
      </c>
      <c r="G864" s="7" t="n">
        <v>82.55</v>
      </c>
      <c r="H864" s="7" t="n">
        <v>2024</v>
      </c>
      <c r="I864" s="7" t="inlineStr">
        <is>
          <t>release_generation_yearly_global.csv (Ember)</t>
        </is>
      </c>
    </row>
    <row r="865">
      <c r="A865" s="7" t="inlineStr">
        <is>
          <t>FIN</t>
        </is>
      </c>
      <c r="B865" s="7" t="inlineStr">
        <is>
          <t>Finland</t>
        </is>
      </c>
      <c r="C865" s="7" t="inlineStr">
        <is>
          <t>Europe &amp; Central Asia</t>
        </is>
      </c>
      <c r="D865" s="7" t="inlineStr">
        <is>
          <t>High income</t>
        </is>
      </c>
      <c r="E865" s="7" t="b">
        <v>0</v>
      </c>
      <c r="F865" s="7" t="inlineStr">
        <is>
          <t>price_coal_power_usd_gj</t>
        </is>
      </c>
      <c r="G865" s="7" t="n">
        <v>15.278</v>
      </c>
      <c r="H865" s="7" t="inlineStr">
        <is>
          <t>2024</t>
        </is>
      </c>
      <c r="I865" s="7" t="inlineStr">
        <is>
          <t>imffossilfuelsubsidiesdata.xlsb</t>
        </is>
      </c>
    </row>
    <row r="866">
      <c r="A866" s="7" t="inlineStr">
        <is>
          <t>FIN</t>
        </is>
      </c>
      <c r="B866" s="7" t="inlineStr">
        <is>
          <t>Finland</t>
        </is>
      </c>
      <c r="C866" s="7" t="inlineStr">
        <is>
          <t>Europe &amp; Central Asia</t>
        </is>
      </c>
      <c r="D866" s="7" t="inlineStr">
        <is>
          <t>High income</t>
        </is>
      </c>
      <c r="E866" s="7" t="b">
        <v>0</v>
      </c>
      <c r="F866" s="7" t="inlineStr">
        <is>
          <t>price_electricity_residential_usd_kwh</t>
        </is>
      </c>
      <c r="G866" s="7" t="n">
        <v>0.306</v>
      </c>
      <c r="H866" s="7" t="inlineStr">
        <is>
          <t>2024</t>
        </is>
      </c>
      <c r="I866" s="7" t="inlineStr">
        <is>
          <t>imffossilfuelsubsidiesdata.xlsb</t>
        </is>
      </c>
    </row>
    <row r="867">
      <c r="A867" s="7" t="inlineStr">
        <is>
          <t>FIN</t>
        </is>
      </c>
      <c r="B867" s="7" t="inlineStr">
        <is>
          <t>Finland</t>
        </is>
      </c>
      <c r="C867" s="7" t="inlineStr">
        <is>
          <t>Europe &amp; Central Asia</t>
        </is>
      </c>
      <c r="D867" s="7" t="inlineStr">
        <is>
          <t>High income</t>
        </is>
      </c>
      <c r="E867" s="7" t="b">
        <v>0</v>
      </c>
      <c r="F867" s="7" t="inlineStr">
        <is>
          <t>price_gas_industry_usd_gj</t>
        </is>
      </c>
      <c r="G867" s="7" t="n">
        <v>30.216</v>
      </c>
      <c r="H867" s="7" t="inlineStr">
        <is>
          <t>2024</t>
        </is>
      </c>
      <c r="I867" s="7" t="inlineStr">
        <is>
          <t>imffossilfuelsubsidiesdata.xlsb</t>
        </is>
      </c>
    </row>
    <row r="868">
      <c r="A868" s="7" t="inlineStr">
        <is>
          <t>FIN</t>
        </is>
      </c>
      <c r="B868" s="7" t="inlineStr">
        <is>
          <t>Finland</t>
        </is>
      </c>
      <c r="C868" s="7" t="inlineStr">
        <is>
          <t>Europe &amp; Central Asia</t>
        </is>
      </c>
      <c r="D868" s="7" t="inlineStr">
        <is>
          <t>High income</t>
        </is>
      </c>
      <c r="E868" s="7" t="b">
        <v>0</v>
      </c>
      <c r="F868" s="7" t="inlineStr">
        <is>
          <t>price_gas_power_usd_gj</t>
        </is>
      </c>
      <c r="G868" s="7" t="n">
        <v>30.216</v>
      </c>
      <c r="H868" s="7" t="inlineStr">
        <is>
          <t>2024</t>
        </is>
      </c>
      <c r="I868" s="7" t="inlineStr">
        <is>
          <t>imffossilfuelsubsidiesdata.xlsb</t>
        </is>
      </c>
    </row>
    <row r="869">
      <c r="A869" s="7" t="inlineStr">
        <is>
          <t>FIN</t>
        </is>
      </c>
      <c r="B869" s="7" t="inlineStr">
        <is>
          <t>Finland</t>
        </is>
      </c>
      <c r="C869" s="7" t="inlineStr">
        <is>
          <t>Europe &amp; Central Asia</t>
        </is>
      </c>
      <c r="D869" s="7" t="inlineStr">
        <is>
          <t>High income</t>
        </is>
      </c>
      <c r="E869" s="7" t="b">
        <v>0</v>
      </c>
      <c r="F869" s="7" t="inlineStr">
        <is>
          <t>rise_renewable_energy_score</t>
        </is>
      </c>
      <c r="G869" s="7" t="n">
        <v>80.96299999999999</v>
      </c>
      <c r="H869" s="7" t="inlineStr">
        <is>
          <t>2023</t>
        </is>
      </c>
      <c r="I869" s="7" t="inlineStr">
        <is>
          <t>WB_RISE_WIDEF.csv</t>
        </is>
      </c>
    </row>
    <row r="870">
      <c r="A870" s="7" t="inlineStr">
        <is>
          <t>FJI</t>
        </is>
      </c>
      <c r="B870" s="7" t="inlineStr">
        <is>
          <t>Fiji</t>
        </is>
      </c>
      <c r="C870" s="7" t="inlineStr">
        <is>
          <t>East Asia &amp; Pacific</t>
        </is>
      </c>
      <c r="D870" s="7" t="inlineStr">
        <is>
          <t>Upper middle income</t>
        </is>
      </c>
      <c r="E870" s="7" t="b">
        <v>1</v>
      </c>
      <c r="F870" s="7" t="inlineStr">
        <is>
          <t>coal_rents_pct_gdp</t>
        </is>
      </c>
      <c r="G870" s="7" t="n">
        <v>0</v>
      </c>
      <c r="H870" s="7" t="inlineStr">
        <is>
          <t>2021</t>
        </is>
      </c>
      <c r="I870" s="7" t="inlineStr">
        <is>
          <t>API_NY_GDP_COAL_RT_ZS_DS2_en_csv_v2_35370.zip</t>
        </is>
      </c>
    </row>
    <row r="871">
      <c r="A871" s="7" t="inlineStr">
        <is>
          <t>FJI</t>
        </is>
      </c>
      <c r="B871" s="7" t="inlineStr">
        <is>
          <t>Fiji</t>
        </is>
      </c>
      <c r="C871" s="7" t="inlineStr">
        <is>
          <t>East Asia &amp; Pacific</t>
        </is>
      </c>
      <c r="D871" s="7" t="inlineStr">
        <is>
          <t>Upper middle income</t>
        </is>
      </c>
      <c r="E871" s="7" t="b">
        <v>1</v>
      </c>
      <c r="F871" s="7" t="inlineStr">
        <is>
          <t>em_coal_mt</t>
        </is>
      </c>
      <c r="G871" s="7" t="n">
        <v>0</v>
      </c>
      <c r="H871" s="7" t="n">
        <v>2024</v>
      </c>
      <c r="I871" s="7" t="inlineStr">
        <is>
          <t>release_generation_yearly_global.csv (Ember)</t>
        </is>
      </c>
    </row>
    <row r="872">
      <c r="A872" s="7" t="inlineStr">
        <is>
          <t>FJI</t>
        </is>
      </c>
      <c r="B872" s="7" t="inlineStr">
        <is>
          <t>Fiji</t>
        </is>
      </c>
      <c r="C872" s="7" t="inlineStr">
        <is>
          <t>East Asia &amp; Pacific</t>
        </is>
      </c>
      <c r="D872" s="7" t="inlineStr">
        <is>
          <t>Upper middle income</t>
        </is>
      </c>
      <c r="E872" s="7" t="b">
        <v>1</v>
      </c>
      <c r="F872" s="7" t="inlineStr">
        <is>
          <t>em_gas_mt</t>
        </is>
      </c>
      <c r="G872" s="7" t="n">
        <v>0</v>
      </c>
      <c r="H872" s="7" t="n">
        <v>2024</v>
      </c>
      <c r="I872" s="7" t="inlineStr">
        <is>
          <t>release_generation_yearly_global.csv (Ember)</t>
        </is>
      </c>
    </row>
    <row r="873">
      <c r="A873" s="7" t="inlineStr">
        <is>
          <t>FJI</t>
        </is>
      </c>
      <c r="B873" s="7" t="inlineStr">
        <is>
          <t>Fiji</t>
        </is>
      </c>
      <c r="C873" s="7" t="inlineStr">
        <is>
          <t>East Asia &amp; Pacific</t>
        </is>
      </c>
      <c r="D873" s="7" t="inlineStr">
        <is>
          <t>Upper middle income</t>
        </is>
      </c>
      <c r="E873" s="7" t="b">
        <v>1</v>
      </c>
      <c r="F873" s="7" t="inlineStr">
        <is>
          <t>em_oil_mt</t>
        </is>
      </c>
      <c r="G873" s="7" t="n">
        <v>0.276</v>
      </c>
      <c r="H873" s="7" t="n">
        <v>2024</v>
      </c>
      <c r="I873" s="7" t="inlineStr">
        <is>
          <t>release_generation_yearly_global.csv (Ember)</t>
        </is>
      </c>
    </row>
    <row r="874">
      <c r="A874" s="7" t="inlineStr">
        <is>
          <t>FJI</t>
        </is>
      </c>
      <c r="B874" s="7" t="inlineStr">
        <is>
          <t>Fiji</t>
        </is>
      </c>
      <c r="C874" s="7" t="inlineStr">
        <is>
          <t>East Asia &amp; Pacific</t>
        </is>
      </c>
      <c r="D874" s="7" t="inlineStr">
        <is>
          <t>Upper middle income</t>
        </is>
      </c>
      <c r="E874" s="7" t="b">
        <v>1</v>
      </c>
      <c r="F874" s="7" t="inlineStr">
        <is>
          <t>ff_subsidy_explicit_pct_gdp</t>
        </is>
      </c>
      <c r="G874" s="7" t="n">
        <v>0.042</v>
      </c>
      <c r="H874" s="7" t="inlineStr">
        <is>
          <t>2024</t>
        </is>
      </c>
      <c r="I874" s="7" t="inlineStr">
        <is>
          <t>imffossilfuelsubsidiesdata.xlsb</t>
        </is>
      </c>
    </row>
    <row r="875">
      <c r="A875" s="7" t="inlineStr">
        <is>
          <t>FJI</t>
        </is>
      </c>
      <c r="B875" s="7" t="inlineStr">
        <is>
          <t>Fiji</t>
        </is>
      </c>
      <c r="C875" s="7" t="inlineStr">
        <is>
          <t>East Asia &amp; Pacific</t>
        </is>
      </c>
      <c r="D875" s="7" t="inlineStr">
        <is>
          <t>Upper middle income</t>
        </is>
      </c>
      <c r="E875" s="7" t="b">
        <v>1</v>
      </c>
      <c r="F875" s="7" t="inlineStr">
        <is>
          <t>fuel_exports_pct_merch</t>
        </is>
      </c>
      <c r="G875" s="7" t="n">
        <v>0.039</v>
      </c>
      <c r="H875" s="7" t="inlineStr">
        <is>
          <t>2024</t>
        </is>
      </c>
      <c r="I875" s="7" t="inlineStr">
        <is>
          <t>API_TX_VAL_FUEL_ZS_UN_DS2_en_csv_v2_33055.zip</t>
        </is>
      </c>
    </row>
    <row r="876">
      <c r="A876" s="7" t="inlineStr">
        <is>
          <t>FJI</t>
        </is>
      </c>
      <c r="B876" s="7" t="inlineStr">
        <is>
          <t>Fiji</t>
        </is>
      </c>
      <c r="C876" s="7" t="inlineStr">
        <is>
          <t>East Asia &amp; Pacific</t>
        </is>
      </c>
      <c r="D876" s="7" t="inlineStr">
        <is>
          <t>Upper middle income</t>
        </is>
      </c>
      <c r="E876" s="7" t="b">
        <v>1</v>
      </c>
      <c r="F876" s="7" t="inlineStr">
        <is>
          <t>gen_coal_twh</t>
        </is>
      </c>
      <c r="G876" s="7" t="n">
        <v>0</v>
      </c>
      <c r="H876" s="7" t="n">
        <v>2024</v>
      </c>
      <c r="I876" s="7" t="inlineStr">
        <is>
          <t>release_generation_yearly_global.csv (Ember)</t>
        </is>
      </c>
    </row>
    <row r="877">
      <c r="A877" s="7" t="inlineStr">
        <is>
          <t>FJI</t>
        </is>
      </c>
      <c r="B877" s="7" t="inlineStr">
        <is>
          <t>Fiji</t>
        </is>
      </c>
      <c r="C877" s="7" t="inlineStr">
        <is>
          <t>East Asia &amp; Pacific</t>
        </is>
      </c>
      <c r="D877" s="7" t="inlineStr">
        <is>
          <t>Upper middle income</t>
        </is>
      </c>
      <c r="E877" s="7" t="b">
        <v>1</v>
      </c>
      <c r="F877" s="7" t="inlineStr">
        <is>
          <t>gen_gas_twh</t>
        </is>
      </c>
      <c r="G877" s="7" t="n">
        <v>0</v>
      </c>
      <c r="H877" s="7" t="n">
        <v>2024</v>
      </c>
      <c r="I877" s="7" t="inlineStr">
        <is>
          <t>release_generation_yearly_global.csv (Ember)</t>
        </is>
      </c>
    </row>
    <row r="878">
      <c r="A878" s="7" t="inlineStr">
        <is>
          <t>FJI</t>
        </is>
      </c>
      <c r="B878" s="7" t="inlineStr">
        <is>
          <t>Fiji</t>
        </is>
      </c>
      <c r="C878" s="7" t="inlineStr">
        <is>
          <t>East Asia &amp; Pacific</t>
        </is>
      </c>
      <c r="D878" s="7" t="inlineStr">
        <is>
          <t>Upper middle income</t>
        </is>
      </c>
      <c r="E878" s="7" t="b">
        <v>1</v>
      </c>
      <c r="F878" s="7" t="inlineStr">
        <is>
          <t>gen_oil_twh</t>
        </is>
      </c>
      <c r="G878" s="7" t="n">
        <v>0.42</v>
      </c>
      <c r="H878" s="7" t="n">
        <v>2024</v>
      </c>
      <c r="I878" s="7" t="inlineStr">
        <is>
          <t>release_generation_yearly_global.csv (Ember)</t>
        </is>
      </c>
    </row>
    <row r="879">
      <c r="A879" s="7" t="inlineStr">
        <is>
          <t>FJI</t>
        </is>
      </c>
      <c r="B879" s="7" t="inlineStr">
        <is>
          <t>Fiji</t>
        </is>
      </c>
      <c r="C879" s="7" t="inlineStr">
        <is>
          <t>East Asia &amp; Pacific</t>
        </is>
      </c>
      <c r="D879" s="7" t="inlineStr">
        <is>
          <t>Upper middle income</t>
        </is>
      </c>
      <c r="E879" s="7" t="b">
        <v>1</v>
      </c>
      <c r="F879" s="7" t="inlineStr">
        <is>
          <t>gen_total_twh</t>
        </is>
      </c>
      <c r="G879" s="7" t="n">
        <v>1.15</v>
      </c>
      <c r="H879" s="7" t="n">
        <v>2024</v>
      </c>
      <c r="I879" s="7" t="inlineStr">
        <is>
          <t>release_generation_yearly_global.csv (Ember)</t>
        </is>
      </c>
    </row>
    <row r="880">
      <c r="A880" s="7" t="inlineStr">
        <is>
          <t>FJI</t>
        </is>
      </c>
      <c r="B880" s="7" t="inlineStr">
        <is>
          <t>Fiji</t>
        </is>
      </c>
      <c r="C880" s="7" t="inlineStr">
        <is>
          <t>East Asia &amp; Pacific</t>
        </is>
      </c>
      <c r="D880" s="7" t="inlineStr">
        <is>
          <t>Upper middle income</t>
        </is>
      </c>
      <c r="E880" s="7" t="b">
        <v>1</v>
      </c>
      <c r="F880" s="7" t="inlineStr">
        <is>
          <t>power_market_structure</t>
        </is>
      </c>
      <c r="G880" s="7" t="n">
        <v>1</v>
      </c>
      <c r="H880" s="7" t="inlineStr">
        <is>
          <t>2013</t>
        </is>
      </c>
      <c r="I880" s="7" t="inlineStr">
        <is>
          <t>dataverse_files.zip</t>
        </is>
      </c>
    </row>
    <row r="881">
      <c r="A881" s="7" t="inlineStr">
        <is>
          <t>FJI</t>
        </is>
      </c>
      <c r="B881" s="7" t="inlineStr">
        <is>
          <t>Fiji</t>
        </is>
      </c>
      <c r="C881" s="7" t="inlineStr">
        <is>
          <t>East Asia &amp; Pacific</t>
        </is>
      </c>
      <c r="D881" s="7" t="inlineStr">
        <is>
          <t>Upper middle income</t>
        </is>
      </c>
      <c r="E881" s="7" t="b">
        <v>1</v>
      </c>
      <c r="F881" s="7" t="inlineStr">
        <is>
          <t>price_coal_power_usd_gj</t>
        </is>
      </c>
      <c r="G881" s="7" t="n">
        <v>4.833</v>
      </c>
      <c r="H881" s="7" t="inlineStr">
        <is>
          <t>2024</t>
        </is>
      </c>
      <c r="I881" s="7" t="inlineStr">
        <is>
          <t>imffossilfuelsubsidiesdata.xlsb</t>
        </is>
      </c>
    </row>
    <row r="882">
      <c r="A882" s="7" t="inlineStr">
        <is>
          <t>FJI</t>
        </is>
      </c>
      <c r="B882" s="7" t="inlineStr">
        <is>
          <t>Fiji</t>
        </is>
      </c>
      <c r="C882" s="7" t="inlineStr">
        <is>
          <t>East Asia &amp; Pacific</t>
        </is>
      </c>
      <c r="D882" s="7" t="inlineStr">
        <is>
          <t>Upper middle income</t>
        </is>
      </c>
      <c r="E882" s="7" t="b">
        <v>1</v>
      </c>
      <c r="F882" s="7" t="inlineStr">
        <is>
          <t>price_electricity_residential_usd_kwh</t>
        </is>
      </c>
      <c r="G882" s="7" t="n">
        <v>0.19</v>
      </c>
      <c r="H882" s="7" t="inlineStr">
        <is>
          <t>2024</t>
        </is>
      </c>
      <c r="I882" s="7" t="inlineStr">
        <is>
          <t>imffossilfuelsubsidiesdata.xlsb</t>
        </is>
      </c>
    </row>
    <row r="883">
      <c r="A883" s="7" t="inlineStr">
        <is>
          <t>FJI</t>
        </is>
      </c>
      <c r="B883" s="7" t="inlineStr">
        <is>
          <t>Fiji</t>
        </is>
      </c>
      <c r="C883" s="7" t="inlineStr">
        <is>
          <t>East Asia &amp; Pacific</t>
        </is>
      </c>
      <c r="D883" s="7" t="inlineStr">
        <is>
          <t>Upper middle income</t>
        </is>
      </c>
      <c r="E883" s="7" t="b">
        <v>1</v>
      </c>
      <c r="F883" s="7" t="inlineStr">
        <is>
          <t>price_gas_industry_usd_gj</t>
        </is>
      </c>
      <c r="G883" s="7" t="n">
        <v>8.176</v>
      </c>
      <c r="H883" s="7" t="inlineStr">
        <is>
          <t>2024</t>
        </is>
      </c>
      <c r="I883" s="7" t="inlineStr">
        <is>
          <t>imffossilfuelsubsidiesdata.xlsb</t>
        </is>
      </c>
    </row>
    <row r="884">
      <c r="A884" s="7" t="inlineStr">
        <is>
          <t>FJI</t>
        </is>
      </c>
      <c r="B884" s="7" t="inlineStr">
        <is>
          <t>Fiji</t>
        </is>
      </c>
      <c r="C884" s="7" t="inlineStr">
        <is>
          <t>East Asia &amp; Pacific</t>
        </is>
      </c>
      <c r="D884" s="7" t="inlineStr">
        <is>
          <t>Upper middle income</t>
        </is>
      </c>
      <c r="E884" s="7" t="b">
        <v>1</v>
      </c>
      <c r="F884" s="7" t="inlineStr">
        <is>
          <t>price_gas_power_usd_gj</t>
        </is>
      </c>
      <c r="G884" s="7" t="n">
        <v>6.853</v>
      </c>
      <c r="H884" s="7" t="inlineStr">
        <is>
          <t>2024</t>
        </is>
      </c>
      <c r="I884" s="7" t="inlineStr">
        <is>
          <t>imffossilfuelsubsidiesdata.xlsb</t>
        </is>
      </c>
    </row>
    <row r="885">
      <c r="A885" s="7" t="inlineStr">
        <is>
          <t>FRA</t>
        </is>
      </c>
      <c r="B885" s="7" t="inlineStr">
        <is>
          <t>France</t>
        </is>
      </c>
      <c r="C885" s="7" t="inlineStr">
        <is>
          <t>Europe &amp; Central Asia</t>
        </is>
      </c>
      <c r="D885" s="7" t="inlineStr">
        <is>
          <t>High income</t>
        </is>
      </c>
      <c r="E885" s="7" t="b">
        <v>0</v>
      </c>
      <c r="F885" s="7" t="inlineStr">
        <is>
          <t>coal_rents_pct_gdp</t>
        </is>
      </c>
      <c r="G885" s="7" t="n">
        <v>0</v>
      </c>
      <c r="H885" s="7" t="inlineStr">
        <is>
          <t>2021</t>
        </is>
      </c>
      <c r="I885" s="7" t="inlineStr">
        <is>
          <t>API_NY_GDP_COAL_RT_ZS_DS2_en_csv_v2_35370.zip</t>
        </is>
      </c>
    </row>
    <row r="886">
      <c r="A886" s="7" t="inlineStr">
        <is>
          <t>FRA</t>
        </is>
      </c>
      <c r="B886" s="7" t="inlineStr">
        <is>
          <t>France</t>
        </is>
      </c>
      <c r="C886" s="7" t="inlineStr">
        <is>
          <t>Europe &amp; Central Asia</t>
        </is>
      </c>
      <c r="D886" s="7" t="inlineStr">
        <is>
          <t>High income</t>
        </is>
      </c>
      <c r="E886" s="7" t="b">
        <v>0</v>
      </c>
      <c r="F886" s="7" t="inlineStr">
        <is>
          <t>em_coal_mt</t>
        </is>
      </c>
      <c r="G886" s="7" t="n">
        <v>0.981</v>
      </c>
      <c r="H886" s="7" t="n">
        <v>2024</v>
      </c>
      <c r="I886" s="7" t="inlineStr">
        <is>
          <t>release_generation_yearly_global.csv (Ember)</t>
        </is>
      </c>
    </row>
    <row r="887">
      <c r="A887" s="7" t="inlineStr">
        <is>
          <t>FRA</t>
        </is>
      </c>
      <c r="B887" s="7" t="inlineStr">
        <is>
          <t>France</t>
        </is>
      </c>
      <c r="C887" s="7" t="inlineStr">
        <is>
          <t>Europe &amp; Central Asia</t>
        </is>
      </c>
      <c r="D887" s="7" t="inlineStr">
        <is>
          <t>High income</t>
        </is>
      </c>
      <c r="E887" s="7" t="b">
        <v>0</v>
      </c>
      <c r="F887" s="7" t="inlineStr">
        <is>
          <t>em_gas_mt</t>
        </is>
      </c>
      <c r="G887" s="7" t="n">
        <v>7.876</v>
      </c>
      <c r="H887" s="7" t="n">
        <v>2024</v>
      </c>
      <c r="I887" s="7" t="inlineStr">
        <is>
          <t>release_generation_yearly_global.csv (Ember)</t>
        </is>
      </c>
    </row>
    <row r="888">
      <c r="A888" s="7" t="inlineStr">
        <is>
          <t>FRA</t>
        </is>
      </c>
      <c r="B888" s="7" t="inlineStr">
        <is>
          <t>France</t>
        </is>
      </c>
      <c r="C888" s="7" t="inlineStr">
        <is>
          <t>Europe &amp; Central Asia</t>
        </is>
      </c>
      <c r="D888" s="7" t="inlineStr">
        <is>
          <t>High income</t>
        </is>
      </c>
      <c r="E888" s="7" t="b">
        <v>0</v>
      </c>
      <c r="F888" s="7" t="inlineStr">
        <is>
          <t>em_oil_mt</t>
        </is>
      </c>
      <c r="G888" s="7" t="n">
        <v>6.277</v>
      </c>
      <c r="H888" s="7" t="n">
        <v>2024</v>
      </c>
      <c r="I888" s="7" t="inlineStr">
        <is>
          <t>release_generation_yearly_global.csv (Ember)</t>
        </is>
      </c>
    </row>
    <row r="889">
      <c r="A889" s="7" t="inlineStr">
        <is>
          <t>FRA</t>
        </is>
      </c>
      <c r="B889" s="7" t="inlineStr">
        <is>
          <t>France</t>
        </is>
      </c>
      <c r="C889" s="7" t="inlineStr">
        <is>
          <t>Europe &amp; Central Asia</t>
        </is>
      </c>
      <c r="D889" s="7" t="inlineStr">
        <is>
          <t>High income</t>
        </is>
      </c>
      <c r="E889" s="7" t="b">
        <v>0</v>
      </c>
      <c r="F889" s="7" t="inlineStr">
        <is>
          <t>ff_subsidy_explicit_pct_gdp</t>
        </is>
      </c>
      <c r="G889" s="7" t="n">
        <v>0.002</v>
      </c>
      <c r="H889" s="7" t="inlineStr">
        <is>
          <t>2024</t>
        </is>
      </c>
      <c r="I889" s="7" t="inlineStr">
        <is>
          <t>imffossilfuelsubsidiesdata.xlsb</t>
        </is>
      </c>
    </row>
    <row r="890">
      <c r="A890" s="7" t="inlineStr">
        <is>
          <t>FRA</t>
        </is>
      </c>
      <c r="B890" s="7" t="inlineStr">
        <is>
          <t>France</t>
        </is>
      </c>
      <c r="C890" s="7" t="inlineStr">
        <is>
          <t>Europe &amp; Central Asia</t>
        </is>
      </c>
      <c r="D890" s="7" t="inlineStr">
        <is>
          <t>High income</t>
        </is>
      </c>
      <c r="E890" s="7" t="b">
        <v>0</v>
      </c>
      <c r="F890" s="7" t="inlineStr">
        <is>
          <t>fuel_exports_pct_merch</t>
        </is>
      </c>
      <c r="G890" s="7" t="n">
        <v>4.409</v>
      </c>
      <c r="H890" s="7" t="inlineStr">
        <is>
          <t>2024</t>
        </is>
      </c>
      <c r="I890" s="7" t="inlineStr">
        <is>
          <t>API_TX_VAL_FUEL_ZS_UN_DS2_en_csv_v2_33055.zip</t>
        </is>
      </c>
    </row>
    <row r="891">
      <c r="A891" s="7" t="inlineStr">
        <is>
          <t>FRA</t>
        </is>
      </c>
      <c r="B891" s="7" t="inlineStr">
        <is>
          <t>France</t>
        </is>
      </c>
      <c r="C891" s="7" t="inlineStr">
        <is>
          <t>Europe &amp; Central Asia</t>
        </is>
      </c>
      <c r="D891" s="7" t="inlineStr">
        <is>
          <t>High income</t>
        </is>
      </c>
      <c r="E891" s="7" t="b">
        <v>0</v>
      </c>
      <c r="F891" s="7" t="inlineStr">
        <is>
          <t>gen_coal_twh</t>
        </is>
      </c>
      <c r="G891" s="7" t="n">
        <v>1.02</v>
      </c>
      <c r="H891" s="7" t="n">
        <v>2024</v>
      </c>
      <c r="I891" s="7" t="inlineStr">
        <is>
          <t>release_generation_yearly_global.csv (Ember)</t>
        </is>
      </c>
    </row>
    <row r="892">
      <c r="A892" s="7" t="inlineStr">
        <is>
          <t>FRA</t>
        </is>
      </c>
      <c r="B892" s="7" t="inlineStr">
        <is>
          <t>France</t>
        </is>
      </c>
      <c r="C892" s="7" t="inlineStr">
        <is>
          <t>Europe &amp; Central Asia</t>
        </is>
      </c>
      <c r="D892" s="7" t="inlineStr">
        <is>
          <t>High income</t>
        </is>
      </c>
      <c r="E892" s="7" t="b">
        <v>0</v>
      </c>
      <c r="F892" s="7" t="inlineStr">
        <is>
          <t>gen_gas_twh</t>
        </is>
      </c>
      <c r="G892" s="7" t="n">
        <v>18.1</v>
      </c>
      <c r="H892" s="7" t="n">
        <v>2024</v>
      </c>
      <c r="I892" s="7" t="inlineStr">
        <is>
          <t>release_generation_yearly_global.csv (Ember)</t>
        </is>
      </c>
    </row>
    <row r="893">
      <c r="A893" s="7" t="inlineStr">
        <is>
          <t>FRA</t>
        </is>
      </c>
      <c r="B893" s="7" t="inlineStr">
        <is>
          <t>France</t>
        </is>
      </c>
      <c r="C893" s="7" t="inlineStr">
        <is>
          <t>Europe &amp; Central Asia</t>
        </is>
      </c>
      <c r="D893" s="7" t="inlineStr">
        <is>
          <t>High income</t>
        </is>
      </c>
      <c r="E893" s="7" t="b">
        <v>0</v>
      </c>
      <c r="F893" s="7" t="inlineStr">
        <is>
          <t>gen_oil_twh</t>
        </is>
      </c>
      <c r="G893" s="7" t="n">
        <v>9.539999999999999</v>
      </c>
      <c r="H893" s="7" t="n">
        <v>2024</v>
      </c>
      <c r="I893" s="7" t="inlineStr">
        <is>
          <t>release_generation_yearly_global.csv (Ember)</t>
        </is>
      </c>
    </row>
    <row r="894">
      <c r="A894" s="7" t="inlineStr">
        <is>
          <t>FRA</t>
        </is>
      </c>
      <c r="B894" s="7" t="inlineStr">
        <is>
          <t>France</t>
        </is>
      </c>
      <c r="C894" s="7" t="inlineStr">
        <is>
          <t>Europe &amp; Central Asia</t>
        </is>
      </c>
      <c r="D894" s="7" t="inlineStr">
        <is>
          <t>High income</t>
        </is>
      </c>
      <c r="E894" s="7" t="b">
        <v>0</v>
      </c>
      <c r="F894" s="7" t="inlineStr">
        <is>
          <t>gen_total_twh</t>
        </is>
      </c>
      <c r="G894" s="7" t="n">
        <v>561.9400000000001</v>
      </c>
      <c r="H894" s="7" t="n">
        <v>2024</v>
      </c>
      <c r="I894" s="7" t="inlineStr">
        <is>
          <t>release_generation_yearly_global.csv (Ember)</t>
        </is>
      </c>
    </row>
    <row r="895">
      <c r="A895" s="7" t="inlineStr">
        <is>
          <t>FRA</t>
        </is>
      </c>
      <c r="B895" s="7" t="inlineStr">
        <is>
          <t>France</t>
        </is>
      </c>
      <c r="C895" s="7" t="inlineStr">
        <is>
          <t>Europe &amp; Central Asia</t>
        </is>
      </c>
      <c r="D895" s="7" t="inlineStr">
        <is>
          <t>High income</t>
        </is>
      </c>
      <c r="E895" s="7" t="b">
        <v>0</v>
      </c>
      <c r="F895" s="7" t="inlineStr">
        <is>
          <t>price_coal_power_usd_gj</t>
        </is>
      </c>
      <c r="G895" s="7" t="n">
        <v>24.374</v>
      </c>
      <c r="H895" s="7" t="inlineStr">
        <is>
          <t>2024</t>
        </is>
      </c>
      <c r="I895" s="7" t="inlineStr">
        <is>
          <t>imffossilfuelsubsidiesdata.xlsb</t>
        </is>
      </c>
    </row>
    <row r="896">
      <c r="A896" s="7" t="inlineStr">
        <is>
          <t>FRA</t>
        </is>
      </c>
      <c r="B896" s="7" t="inlineStr">
        <is>
          <t>France</t>
        </is>
      </c>
      <c r="C896" s="7" t="inlineStr">
        <is>
          <t>Europe &amp; Central Asia</t>
        </is>
      </c>
      <c r="D896" s="7" t="inlineStr">
        <is>
          <t>High income</t>
        </is>
      </c>
      <c r="E896" s="7" t="b">
        <v>0</v>
      </c>
      <c r="F896" s="7" t="inlineStr">
        <is>
          <t>price_electricity_residential_usd_kwh</t>
        </is>
      </c>
      <c r="G896" s="7" t="n">
        <v>0.312</v>
      </c>
      <c r="H896" s="7" t="inlineStr">
        <is>
          <t>2024</t>
        </is>
      </c>
      <c r="I896" s="7" t="inlineStr">
        <is>
          <t>imffossilfuelsubsidiesdata.xlsb</t>
        </is>
      </c>
    </row>
    <row r="897">
      <c r="A897" s="7" t="inlineStr">
        <is>
          <t>FRA</t>
        </is>
      </c>
      <c r="B897" s="7" t="inlineStr">
        <is>
          <t>France</t>
        </is>
      </c>
      <c r="C897" s="7" t="inlineStr">
        <is>
          <t>Europe &amp; Central Asia</t>
        </is>
      </c>
      <c r="D897" s="7" t="inlineStr">
        <is>
          <t>High income</t>
        </is>
      </c>
      <c r="E897" s="7" t="b">
        <v>0</v>
      </c>
      <c r="F897" s="7" t="inlineStr">
        <is>
          <t>price_gas_industry_usd_gj</t>
        </is>
      </c>
      <c r="G897" s="7" t="n">
        <v>24.543</v>
      </c>
      <c r="H897" s="7" t="inlineStr">
        <is>
          <t>2024</t>
        </is>
      </c>
      <c r="I897" s="7" t="inlineStr">
        <is>
          <t>imffossilfuelsubsidiesdata.xlsb</t>
        </is>
      </c>
    </row>
    <row r="898">
      <c r="A898" s="7" t="inlineStr">
        <is>
          <t>FRA</t>
        </is>
      </c>
      <c r="B898" s="7" t="inlineStr">
        <is>
          <t>France</t>
        </is>
      </c>
      <c r="C898" s="7" t="inlineStr">
        <is>
          <t>Europe &amp; Central Asia</t>
        </is>
      </c>
      <c r="D898" s="7" t="inlineStr">
        <is>
          <t>High income</t>
        </is>
      </c>
      <c r="E898" s="7" t="b">
        <v>0</v>
      </c>
      <c r="F898" s="7" t="inlineStr">
        <is>
          <t>price_gas_power_usd_gj</t>
        </is>
      </c>
      <c r="G898" s="7" t="n">
        <v>24.484</v>
      </c>
      <c r="H898" s="7" t="inlineStr">
        <is>
          <t>2024</t>
        </is>
      </c>
      <c r="I898" s="7" t="inlineStr">
        <is>
          <t>imffossilfuelsubsidiesdata.xlsb</t>
        </is>
      </c>
    </row>
    <row r="899">
      <c r="A899" s="7" t="inlineStr">
        <is>
          <t>FRA</t>
        </is>
      </c>
      <c r="B899" s="7" t="inlineStr">
        <is>
          <t>France</t>
        </is>
      </c>
      <c r="C899" s="7" t="inlineStr">
        <is>
          <t>Europe &amp; Central Asia</t>
        </is>
      </c>
      <c r="D899" s="7" t="inlineStr">
        <is>
          <t>High income</t>
        </is>
      </c>
      <c r="E899" s="7" t="b">
        <v>0</v>
      </c>
      <c r="F899" s="7" t="inlineStr">
        <is>
          <t>rise_renewable_energy_score</t>
        </is>
      </c>
      <c r="G899" s="7" t="n">
        <v>88.074</v>
      </c>
      <c r="H899" s="7" t="inlineStr">
        <is>
          <t>2023</t>
        </is>
      </c>
      <c r="I899" s="7" t="inlineStr">
        <is>
          <t>WB_RISE_WIDEF.csv</t>
        </is>
      </c>
    </row>
    <row r="900">
      <c r="A900" s="7" t="inlineStr">
        <is>
          <t>FRO</t>
        </is>
      </c>
      <c r="B900" s="7" t="inlineStr">
        <is>
          <t>Faroe Islands</t>
        </is>
      </c>
      <c r="C900" s="7" t="inlineStr">
        <is>
          <t>Europe &amp; Central Asia</t>
        </is>
      </c>
      <c r="D900" s="7" t="inlineStr">
        <is>
          <t>High income</t>
        </is>
      </c>
      <c r="E900" s="7" t="b">
        <v>0</v>
      </c>
      <c r="F900" s="7" t="inlineStr">
        <is>
          <t>coal_rents_pct_gdp</t>
        </is>
      </c>
      <c r="G900" s="7" t="n">
        <v>0</v>
      </c>
      <c r="H900" s="7" t="inlineStr">
        <is>
          <t>2012</t>
        </is>
      </c>
      <c r="I900" s="7" t="inlineStr">
        <is>
          <t>API_NY_GDP_COAL_RT_ZS_DS2_en_csv_v2_35370.zip</t>
        </is>
      </c>
    </row>
    <row r="901">
      <c r="A901" s="7" t="inlineStr">
        <is>
          <t>FRO</t>
        </is>
      </c>
      <c r="B901" s="7" t="inlineStr">
        <is>
          <t>Faroe Islands</t>
        </is>
      </c>
      <c r="C901" s="7" t="inlineStr">
        <is>
          <t>Europe &amp; Central Asia</t>
        </is>
      </c>
      <c r="D901" s="7" t="inlineStr">
        <is>
          <t>High income</t>
        </is>
      </c>
      <c r="E901" s="7" t="b">
        <v>0</v>
      </c>
      <c r="F901" s="7" t="inlineStr">
        <is>
          <t>fuel_exports_pct_merch</t>
        </is>
      </c>
      <c r="G901" s="7" t="n">
        <v>2.8</v>
      </c>
      <c r="H901" s="7" t="inlineStr">
        <is>
          <t>2009</t>
        </is>
      </c>
      <c r="I901" s="7" t="inlineStr">
        <is>
          <t>API_TX_VAL_FUEL_ZS_UN_DS2_en_csv_v2_33055.zip</t>
        </is>
      </c>
    </row>
    <row r="902">
      <c r="A902" s="7" t="inlineStr">
        <is>
          <t>GAB</t>
        </is>
      </c>
      <c r="B902" s="7" t="inlineStr">
        <is>
          <t>Gabon</t>
        </is>
      </c>
      <c r="C902" s="7" t="inlineStr">
        <is>
          <t>Sub-Saharan Africa</t>
        </is>
      </c>
      <c r="D902" s="7" t="inlineStr">
        <is>
          <t>Upper middle income</t>
        </is>
      </c>
      <c r="E902" s="7" t="b">
        <v>1</v>
      </c>
      <c r="F902" s="7" t="inlineStr">
        <is>
          <t>coal_rents_pct_gdp</t>
        </is>
      </c>
      <c r="G902" s="7" t="n">
        <v>0</v>
      </c>
      <c r="H902" s="7" t="inlineStr">
        <is>
          <t>2021</t>
        </is>
      </c>
      <c r="I902" s="7" t="inlineStr">
        <is>
          <t>API_NY_GDP_COAL_RT_ZS_DS2_en_csv_v2_35370.zip</t>
        </is>
      </c>
    </row>
    <row r="903">
      <c r="A903" s="7" t="inlineStr">
        <is>
          <t>GAB</t>
        </is>
      </c>
      <c r="B903" s="7" t="inlineStr">
        <is>
          <t>Gabon</t>
        </is>
      </c>
      <c r="C903" s="7" t="inlineStr">
        <is>
          <t>Sub-Saharan Africa</t>
        </is>
      </c>
      <c r="D903" s="7" t="inlineStr">
        <is>
          <t>Upper middle income</t>
        </is>
      </c>
      <c r="E903" s="7" t="b">
        <v>1</v>
      </c>
      <c r="F903" s="7" t="inlineStr">
        <is>
          <t>em_coal_mt</t>
        </is>
      </c>
      <c r="G903" s="7" t="n">
        <v>0</v>
      </c>
      <c r="H903" s="7" t="n">
        <v>2024</v>
      </c>
      <c r="I903" s="7" t="inlineStr">
        <is>
          <t>release_generation_yearly_global.csv (Ember)</t>
        </is>
      </c>
    </row>
    <row r="904">
      <c r="A904" s="7" t="inlineStr">
        <is>
          <t>GAB</t>
        </is>
      </c>
      <c r="B904" s="7" t="inlineStr">
        <is>
          <t>Gabon</t>
        </is>
      </c>
      <c r="C904" s="7" t="inlineStr">
        <is>
          <t>Sub-Saharan Africa</t>
        </is>
      </c>
      <c r="D904" s="7" t="inlineStr">
        <is>
          <t>Upper middle income</t>
        </is>
      </c>
      <c r="E904" s="7" t="b">
        <v>1</v>
      </c>
      <c r="F904" s="7" t="inlineStr">
        <is>
          <t>em_gas_mt</t>
        </is>
      </c>
      <c r="G904" s="7" t="n">
        <v>0.994</v>
      </c>
      <c r="H904" s="7" t="n">
        <v>2024</v>
      </c>
      <c r="I904" s="7" t="inlineStr">
        <is>
          <t>release_generation_yearly_global.csv (Ember)</t>
        </is>
      </c>
    </row>
    <row r="905">
      <c r="A905" s="7" t="inlineStr">
        <is>
          <t>GAB</t>
        </is>
      </c>
      <c r="B905" s="7" t="inlineStr">
        <is>
          <t>Gabon</t>
        </is>
      </c>
      <c r="C905" s="7" t="inlineStr">
        <is>
          <t>Sub-Saharan Africa</t>
        </is>
      </c>
      <c r="D905" s="7" t="inlineStr">
        <is>
          <t>Upper middle income</t>
        </is>
      </c>
      <c r="E905" s="7" t="b">
        <v>1</v>
      </c>
      <c r="F905" s="7" t="inlineStr">
        <is>
          <t>em_oil_mt</t>
        </is>
      </c>
      <c r="G905" s="7" t="n">
        <v>0.349</v>
      </c>
      <c r="H905" s="7" t="n">
        <v>2024</v>
      </c>
      <c r="I905" s="7" t="inlineStr">
        <is>
          <t>release_generation_yearly_global.csv (Ember)</t>
        </is>
      </c>
    </row>
    <row r="906">
      <c r="A906" s="7" t="inlineStr">
        <is>
          <t>GAB</t>
        </is>
      </c>
      <c r="B906" s="7" t="inlineStr">
        <is>
          <t>Gabon</t>
        </is>
      </c>
      <c r="C906" s="7" t="inlineStr">
        <is>
          <t>Sub-Saharan Africa</t>
        </is>
      </c>
      <c r="D906" s="7" t="inlineStr">
        <is>
          <t>Upper middle income</t>
        </is>
      </c>
      <c r="E906" s="7" t="b">
        <v>1</v>
      </c>
      <c r="F906" s="7" t="inlineStr">
        <is>
          <t>ff_subsidy_explicit_pct_gdp</t>
        </is>
      </c>
      <c r="G906" s="7" t="n">
        <v>0.223</v>
      </c>
      <c r="H906" s="7" t="inlineStr">
        <is>
          <t>2024</t>
        </is>
      </c>
      <c r="I906" s="7" t="inlineStr">
        <is>
          <t>imffossilfuelsubsidiesdata.xlsb</t>
        </is>
      </c>
    </row>
    <row r="907">
      <c r="A907" s="7" t="inlineStr">
        <is>
          <t>GAB</t>
        </is>
      </c>
      <c r="B907" s="7" t="inlineStr">
        <is>
          <t>Gabon</t>
        </is>
      </c>
      <c r="C907" s="7" t="inlineStr">
        <is>
          <t>Sub-Saharan Africa</t>
        </is>
      </c>
      <c r="D907" s="7" t="inlineStr">
        <is>
          <t>Upper middle income</t>
        </is>
      </c>
      <c r="E907" s="7" t="b">
        <v>1</v>
      </c>
      <c r="F907" s="7" t="inlineStr">
        <is>
          <t>fuel_exports_pct_merch</t>
        </is>
      </c>
      <c r="G907" s="7" t="n">
        <v>53.987</v>
      </c>
      <c r="H907" s="7" t="inlineStr">
        <is>
          <t>2023</t>
        </is>
      </c>
      <c r="I907" s="7" t="inlineStr">
        <is>
          <t>API_TX_VAL_FUEL_ZS_UN_DS2_en_csv_v2_33055.zip</t>
        </is>
      </c>
    </row>
    <row r="908">
      <c r="A908" s="7" t="inlineStr">
        <is>
          <t>GAB</t>
        </is>
      </c>
      <c r="B908" s="7" t="inlineStr">
        <is>
          <t>Gabon</t>
        </is>
      </c>
      <c r="C908" s="7" t="inlineStr">
        <is>
          <t>Sub-Saharan Africa</t>
        </is>
      </c>
      <c r="D908" s="7" t="inlineStr">
        <is>
          <t>Upper middle income</t>
        </is>
      </c>
      <c r="E908" s="7" t="b">
        <v>1</v>
      </c>
      <c r="F908" s="7" t="inlineStr">
        <is>
          <t>gen_coal_twh</t>
        </is>
      </c>
      <c r="G908" s="7" t="n">
        <v>0</v>
      </c>
      <c r="H908" s="7" t="n">
        <v>2024</v>
      </c>
      <c r="I908" s="7" t="inlineStr">
        <is>
          <t>release_generation_yearly_global.csv (Ember)</t>
        </is>
      </c>
    </row>
    <row r="909">
      <c r="A909" s="7" t="inlineStr">
        <is>
          <t>GAB</t>
        </is>
      </c>
      <c r="B909" s="7" t="inlineStr">
        <is>
          <t>Gabon</t>
        </is>
      </c>
      <c r="C909" s="7" t="inlineStr">
        <is>
          <t>Sub-Saharan Africa</t>
        </is>
      </c>
      <c r="D909" s="7" t="inlineStr">
        <is>
          <t>Upper middle income</t>
        </is>
      </c>
      <c r="E909" s="7" t="b">
        <v>1</v>
      </c>
      <c r="F909" s="7" t="inlineStr">
        <is>
          <t>gen_gas_twh</t>
        </is>
      </c>
      <c r="G909" s="7" t="n">
        <v>1.15</v>
      </c>
      <c r="H909" s="7" t="n">
        <v>2024</v>
      </c>
      <c r="I909" s="7" t="inlineStr">
        <is>
          <t>release_generation_yearly_global.csv (Ember)</t>
        </is>
      </c>
    </row>
    <row r="910">
      <c r="A910" s="7" t="inlineStr">
        <is>
          <t>GAB</t>
        </is>
      </c>
      <c r="B910" s="7" t="inlineStr">
        <is>
          <t>Gabon</t>
        </is>
      </c>
      <c r="C910" s="7" t="inlineStr">
        <is>
          <t>Sub-Saharan Africa</t>
        </is>
      </c>
      <c r="D910" s="7" t="inlineStr">
        <is>
          <t>Upper middle income</t>
        </is>
      </c>
      <c r="E910" s="7" t="b">
        <v>1</v>
      </c>
      <c r="F910" s="7" t="inlineStr">
        <is>
          <t>gen_oil_twh</t>
        </is>
      </c>
      <c r="G910" s="7" t="n">
        <v>0.53</v>
      </c>
      <c r="H910" s="7" t="n">
        <v>2024</v>
      </c>
      <c r="I910" s="7" t="inlineStr">
        <is>
          <t>release_generation_yearly_global.csv (Ember)</t>
        </is>
      </c>
    </row>
    <row r="911">
      <c r="A911" s="7" t="inlineStr">
        <is>
          <t>GAB</t>
        </is>
      </c>
      <c r="B911" s="7" t="inlineStr">
        <is>
          <t>Gabon</t>
        </is>
      </c>
      <c r="C911" s="7" t="inlineStr">
        <is>
          <t>Sub-Saharan Africa</t>
        </is>
      </c>
      <c r="D911" s="7" t="inlineStr">
        <is>
          <t>Upper middle income</t>
        </is>
      </c>
      <c r="E911" s="7" t="b">
        <v>1</v>
      </c>
      <c r="F911" s="7" t="inlineStr">
        <is>
          <t>gen_total_twh</t>
        </is>
      </c>
      <c r="G911" s="7" t="n">
        <v>2.6</v>
      </c>
      <c r="H911" s="7" t="n">
        <v>2024</v>
      </c>
      <c r="I911" s="7" t="inlineStr">
        <is>
          <t>release_generation_yearly_global.csv (Ember)</t>
        </is>
      </c>
    </row>
    <row r="912">
      <c r="A912" s="7" t="inlineStr">
        <is>
          <t>GAB</t>
        </is>
      </c>
      <c r="B912" s="7" t="inlineStr">
        <is>
          <t>Gabon</t>
        </is>
      </c>
      <c r="C912" s="7" t="inlineStr">
        <is>
          <t>Sub-Saharan Africa</t>
        </is>
      </c>
      <c r="D912" s="7" t="inlineStr">
        <is>
          <t>Upper middle income</t>
        </is>
      </c>
      <c r="E912" s="7" t="b">
        <v>1</v>
      </c>
      <c r="F912" s="7" t="inlineStr">
        <is>
          <t>power_market_structure</t>
        </is>
      </c>
      <c r="G912" s="7" t="n">
        <v>2</v>
      </c>
      <c r="H912" s="7" t="inlineStr">
        <is>
          <t>2013</t>
        </is>
      </c>
      <c r="I912" s="7" t="inlineStr">
        <is>
          <t>dataverse_files.zip</t>
        </is>
      </c>
    </row>
    <row r="913">
      <c r="A913" s="7" t="inlineStr">
        <is>
          <t>GAB</t>
        </is>
      </c>
      <c r="B913" s="7" t="inlineStr">
        <is>
          <t>Gabon</t>
        </is>
      </c>
      <c r="C913" s="7" t="inlineStr">
        <is>
          <t>Sub-Saharan Africa</t>
        </is>
      </c>
      <c r="D913" s="7" t="inlineStr">
        <is>
          <t>Upper middle income</t>
        </is>
      </c>
      <c r="E913" s="7" t="b">
        <v>1</v>
      </c>
      <c r="F913" s="7" t="inlineStr">
        <is>
          <t>price_coal_power_usd_gj</t>
        </is>
      </c>
      <c r="G913" s="7" t="n">
        <v>6</v>
      </c>
      <c r="H913" s="7" t="inlineStr">
        <is>
          <t>2024</t>
        </is>
      </c>
      <c r="I913" s="7" t="inlineStr">
        <is>
          <t>imffossilfuelsubsidiesdata.xlsb</t>
        </is>
      </c>
    </row>
    <row r="914">
      <c r="A914" s="7" t="inlineStr">
        <is>
          <t>GAB</t>
        </is>
      </c>
      <c r="B914" s="7" t="inlineStr">
        <is>
          <t>Gabon</t>
        </is>
      </c>
      <c r="C914" s="7" t="inlineStr">
        <is>
          <t>Sub-Saharan Africa</t>
        </is>
      </c>
      <c r="D914" s="7" t="inlineStr">
        <is>
          <t>Upper middle income</t>
        </is>
      </c>
      <c r="E914" s="7" t="b">
        <v>1</v>
      </c>
      <c r="F914" s="7" t="inlineStr">
        <is>
          <t>price_electricity_residential_usd_kwh</t>
        </is>
      </c>
      <c r="G914" s="7" t="n">
        <v>0.203</v>
      </c>
      <c r="H914" s="7" t="inlineStr">
        <is>
          <t>2024</t>
        </is>
      </c>
      <c r="I914" s="7" t="inlineStr">
        <is>
          <t>imffossilfuelsubsidiesdata.xlsb</t>
        </is>
      </c>
    </row>
    <row r="915">
      <c r="A915" s="7" t="inlineStr">
        <is>
          <t>GAB</t>
        </is>
      </c>
      <c r="B915" s="7" t="inlineStr">
        <is>
          <t>Gabon</t>
        </is>
      </c>
      <c r="C915" s="7" t="inlineStr">
        <is>
          <t>Sub-Saharan Africa</t>
        </is>
      </c>
      <c r="D915" s="7" t="inlineStr">
        <is>
          <t>Upper middle income</t>
        </is>
      </c>
      <c r="E915" s="7" t="b">
        <v>1</v>
      </c>
      <c r="F915" s="7" t="inlineStr">
        <is>
          <t>price_gas_industry_usd_gj</t>
        </is>
      </c>
      <c r="G915" s="7" t="n">
        <v>6.721</v>
      </c>
      <c r="H915" s="7" t="inlineStr">
        <is>
          <t>2024</t>
        </is>
      </c>
      <c r="I915" s="7" t="inlineStr">
        <is>
          <t>imffossilfuelsubsidiesdata.xlsb</t>
        </is>
      </c>
    </row>
    <row r="916">
      <c r="A916" s="7" t="inlineStr">
        <is>
          <t>GAB</t>
        </is>
      </c>
      <c r="B916" s="7" t="inlineStr">
        <is>
          <t>Gabon</t>
        </is>
      </c>
      <c r="C916" s="7" t="inlineStr">
        <is>
          <t>Sub-Saharan Africa</t>
        </is>
      </c>
      <c r="D916" s="7" t="inlineStr">
        <is>
          <t>Upper middle income</t>
        </is>
      </c>
      <c r="E916" s="7" t="b">
        <v>1</v>
      </c>
      <c r="F916" s="7" t="inlineStr">
        <is>
          <t>price_gas_power_usd_gj</t>
        </is>
      </c>
      <c r="G916" s="7" t="n">
        <v>6.06</v>
      </c>
      <c r="H916" s="7" t="inlineStr">
        <is>
          <t>2024</t>
        </is>
      </c>
      <c r="I916" s="7" t="inlineStr">
        <is>
          <t>imffossilfuelsubsidiesdata.xlsb</t>
        </is>
      </c>
    </row>
    <row r="917">
      <c r="A917" s="7" t="inlineStr">
        <is>
          <t>GBR</t>
        </is>
      </c>
      <c r="B917" s="7" t="inlineStr">
        <is>
          <t>United Kingdom</t>
        </is>
      </c>
      <c r="C917" s="7" t="inlineStr">
        <is>
          <t>Europe &amp; Central Asia</t>
        </is>
      </c>
      <c r="D917" s="7" t="inlineStr">
        <is>
          <t>High income</t>
        </is>
      </c>
      <c r="E917" s="7" t="b">
        <v>0</v>
      </c>
      <c r="F917" s="7" t="inlineStr">
        <is>
          <t>coal_rents_pct_gdp</t>
        </is>
      </c>
      <c r="G917" s="7" t="n">
        <v>0.001</v>
      </c>
      <c r="H917" s="7" t="inlineStr">
        <is>
          <t>2021</t>
        </is>
      </c>
      <c r="I917" s="7" t="inlineStr">
        <is>
          <t>API_NY_GDP_COAL_RT_ZS_DS2_en_csv_v2_35370.zip</t>
        </is>
      </c>
    </row>
    <row r="918">
      <c r="A918" s="7" t="inlineStr">
        <is>
          <t>GBR</t>
        </is>
      </c>
      <c r="B918" s="7" t="inlineStr">
        <is>
          <t>United Kingdom</t>
        </is>
      </c>
      <c r="C918" s="7" t="inlineStr">
        <is>
          <t>Europe &amp; Central Asia</t>
        </is>
      </c>
      <c r="D918" s="7" t="inlineStr">
        <is>
          <t>High income</t>
        </is>
      </c>
      <c r="E918" s="7" t="b">
        <v>0</v>
      </c>
      <c r="F918" s="7" t="inlineStr">
        <is>
          <t>em_coal_mt</t>
        </is>
      </c>
      <c r="G918" s="7" t="n">
        <v>1.827</v>
      </c>
      <c r="H918" s="7" t="n">
        <v>2024</v>
      </c>
      <c r="I918" s="7" t="inlineStr">
        <is>
          <t>release_generation_yearly_global.csv (Ember)</t>
        </is>
      </c>
    </row>
    <row r="919">
      <c r="A919" s="7" t="inlineStr">
        <is>
          <t>GBR</t>
        </is>
      </c>
      <c r="B919" s="7" t="inlineStr">
        <is>
          <t>United Kingdom</t>
        </is>
      </c>
      <c r="C919" s="7" t="inlineStr">
        <is>
          <t>Europe &amp; Central Asia</t>
        </is>
      </c>
      <c r="D919" s="7" t="inlineStr">
        <is>
          <t>High income</t>
        </is>
      </c>
      <c r="E919" s="7" t="b">
        <v>0</v>
      </c>
      <c r="F919" s="7" t="inlineStr">
        <is>
          <t>em_gas_mt</t>
        </is>
      </c>
      <c r="G919" s="7" t="n">
        <v>41.384</v>
      </c>
      <c r="H919" s="7" t="n">
        <v>2024</v>
      </c>
      <c r="I919" s="7" t="inlineStr">
        <is>
          <t>release_generation_yearly_global.csv (Ember)</t>
        </is>
      </c>
    </row>
    <row r="920">
      <c r="A920" s="7" t="inlineStr">
        <is>
          <t>GBR</t>
        </is>
      </c>
      <c r="B920" s="7" t="inlineStr">
        <is>
          <t>United Kingdom</t>
        </is>
      </c>
      <c r="C920" s="7" t="inlineStr">
        <is>
          <t>Europe &amp; Central Asia</t>
        </is>
      </c>
      <c r="D920" s="7" t="inlineStr">
        <is>
          <t>High income</t>
        </is>
      </c>
      <c r="E920" s="7" t="b">
        <v>0</v>
      </c>
      <c r="F920" s="7" t="inlineStr">
        <is>
          <t>em_oil_mt</t>
        </is>
      </c>
      <c r="G920" s="7" t="n">
        <v>7.534</v>
      </c>
      <c r="H920" s="7" t="n">
        <v>2024</v>
      </c>
      <c r="I920" s="7" t="inlineStr">
        <is>
          <t>release_generation_yearly_global.csv (Ember)</t>
        </is>
      </c>
    </row>
    <row r="921">
      <c r="A921" s="7" t="inlineStr">
        <is>
          <t>GBR</t>
        </is>
      </c>
      <c r="B921" s="7" t="inlineStr">
        <is>
          <t>United Kingdom</t>
        </is>
      </c>
      <c r="C921" s="7" t="inlineStr">
        <is>
          <t>Europe &amp; Central Asia</t>
        </is>
      </c>
      <c r="D921" s="7" t="inlineStr">
        <is>
          <t>High income</t>
        </is>
      </c>
      <c r="E921" s="7" t="b">
        <v>0</v>
      </c>
      <c r="F921" s="7" t="inlineStr">
        <is>
          <t>ff_subsidy_explicit_pct_gdp</t>
        </is>
      </c>
      <c r="G921" s="7" t="n">
        <v>0.373</v>
      </c>
      <c r="H921" s="7" t="inlineStr">
        <is>
          <t>2024</t>
        </is>
      </c>
      <c r="I921" s="7" t="inlineStr">
        <is>
          <t>imffossilfuelsubsidiesdata.xlsb</t>
        </is>
      </c>
    </row>
    <row r="922">
      <c r="A922" s="7" t="inlineStr">
        <is>
          <t>GBR</t>
        </is>
      </c>
      <c r="B922" s="7" t="inlineStr">
        <is>
          <t>United Kingdom</t>
        </is>
      </c>
      <c r="C922" s="7" t="inlineStr">
        <is>
          <t>Europe &amp; Central Asia</t>
        </is>
      </c>
      <c r="D922" s="7" t="inlineStr">
        <is>
          <t>High income</t>
        </is>
      </c>
      <c r="E922" s="7" t="b">
        <v>0</v>
      </c>
      <c r="F922" s="7" t="inlineStr">
        <is>
          <t>fuel_exports_pct_merch</t>
        </is>
      </c>
      <c r="G922" s="7" t="n">
        <v>7.102</v>
      </c>
      <c r="H922" s="7" t="inlineStr">
        <is>
          <t>2025</t>
        </is>
      </c>
      <c r="I922" s="7" t="inlineStr">
        <is>
          <t>API_TX_VAL_FUEL_ZS_UN_DS2_en_csv_v2_33055.zip</t>
        </is>
      </c>
    </row>
    <row r="923">
      <c r="A923" s="7" t="inlineStr">
        <is>
          <t>GBR</t>
        </is>
      </c>
      <c r="B923" s="7" t="inlineStr">
        <is>
          <t>United Kingdom</t>
        </is>
      </c>
      <c r="C923" s="7" t="inlineStr">
        <is>
          <t>Europe &amp; Central Asia</t>
        </is>
      </c>
      <c r="D923" s="7" t="inlineStr">
        <is>
          <t>High income</t>
        </is>
      </c>
      <c r="E923" s="7" t="b">
        <v>0</v>
      </c>
      <c r="F923" s="7" t="inlineStr">
        <is>
          <t>gen_coal_twh</t>
        </is>
      </c>
      <c r="G923" s="7" t="n">
        <v>1.9</v>
      </c>
      <c r="H923" s="7" t="n">
        <v>2024</v>
      </c>
      <c r="I923" s="7" t="inlineStr">
        <is>
          <t>release_generation_yearly_global.csv (Ember)</t>
        </is>
      </c>
    </row>
    <row r="924">
      <c r="A924" s="7" t="inlineStr">
        <is>
          <t>GBR</t>
        </is>
      </c>
      <c r="B924" s="7" t="inlineStr">
        <is>
          <t>United Kingdom</t>
        </is>
      </c>
      <c r="C924" s="7" t="inlineStr">
        <is>
          <t>Europe &amp; Central Asia</t>
        </is>
      </c>
      <c r="D924" s="7" t="inlineStr">
        <is>
          <t>High income</t>
        </is>
      </c>
      <c r="E924" s="7" t="b">
        <v>0</v>
      </c>
      <c r="F924" s="7" t="inlineStr">
        <is>
          <t>gen_gas_twh</t>
        </is>
      </c>
      <c r="G924" s="7" t="n">
        <v>86.3</v>
      </c>
      <c r="H924" s="7" t="n">
        <v>2024</v>
      </c>
      <c r="I924" s="7" t="inlineStr">
        <is>
          <t>release_generation_yearly_global.csv (Ember)</t>
        </is>
      </c>
    </row>
    <row r="925">
      <c r="A925" s="7" t="inlineStr">
        <is>
          <t>GBR</t>
        </is>
      </c>
      <c r="B925" s="7" t="inlineStr">
        <is>
          <t>United Kingdom</t>
        </is>
      </c>
      <c r="C925" s="7" t="inlineStr">
        <is>
          <t>Europe &amp; Central Asia</t>
        </is>
      </c>
      <c r="D925" s="7" t="inlineStr">
        <is>
          <t>High income</t>
        </is>
      </c>
      <c r="E925" s="7" t="b">
        <v>0</v>
      </c>
      <c r="F925" s="7" t="inlineStr">
        <is>
          <t>gen_oil_twh</t>
        </is>
      </c>
      <c r="G925" s="7" t="n">
        <v>11.45</v>
      </c>
      <c r="H925" s="7" t="n">
        <v>2024</v>
      </c>
      <c r="I925" s="7" t="inlineStr">
        <is>
          <t>release_generation_yearly_global.csv (Ember)</t>
        </is>
      </c>
    </row>
    <row r="926">
      <c r="A926" s="7" t="inlineStr">
        <is>
          <t>GBR</t>
        </is>
      </c>
      <c r="B926" s="7" t="inlineStr">
        <is>
          <t>United Kingdom</t>
        </is>
      </c>
      <c r="C926" s="7" t="inlineStr">
        <is>
          <t>Europe &amp; Central Asia</t>
        </is>
      </c>
      <c r="D926" s="7" t="inlineStr">
        <is>
          <t>High income</t>
        </is>
      </c>
      <c r="E926" s="7" t="b">
        <v>0</v>
      </c>
      <c r="F926" s="7" t="inlineStr">
        <is>
          <t>gen_total_twh</t>
        </is>
      </c>
      <c r="G926" s="7" t="n">
        <v>284.16</v>
      </c>
      <c r="H926" s="7" t="n">
        <v>2024</v>
      </c>
      <c r="I926" s="7" t="inlineStr">
        <is>
          <t>release_generation_yearly_global.csv (Ember)</t>
        </is>
      </c>
    </row>
    <row r="927">
      <c r="A927" s="7" t="inlineStr">
        <is>
          <t>GBR</t>
        </is>
      </c>
      <c r="B927" s="7" t="inlineStr">
        <is>
          <t>United Kingdom</t>
        </is>
      </c>
      <c r="C927" s="7" t="inlineStr">
        <is>
          <t>Europe &amp; Central Asia</t>
        </is>
      </c>
      <c r="D927" s="7" t="inlineStr">
        <is>
          <t>High income</t>
        </is>
      </c>
      <c r="E927" s="7" t="b">
        <v>0</v>
      </c>
      <c r="F927" s="7" t="inlineStr">
        <is>
          <t>price_coal_power_usd_gj</t>
        </is>
      </c>
      <c r="G927" s="7" t="n">
        <v>20.188</v>
      </c>
      <c r="H927" s="7" t="inlineStr">
        <is>
          <t>2024</t>
        </is>
      </c>
      <c r="I927" s="7" t="inlineStr">
        <is>
          <t>imffossilfuelsubsidiesdata.xlsb</t>
        </is>
      </c>
    </row>
    <row r="928">
      <c r="A928" s="7" t="inlineStr">
        <is>
          <t>GBR</t>
        </is>
      </c>
      <c r="B928" s="7" t="inlineStr">
        <is>
          <t>United Kingdom</t>
        </is>
      </c>
      <c r="C928" s="7" t="inlineStr">
        <is>
          <t>Europe &amp; Central Asia</t>
        </is>
      </c>
      <c r="D928" s="7" t="inlineStr">
        <is>
          <t>High income</t>
        </is>
      </c>
      <c r="E928" s="7" t="b">
        <v>0</v>
      </c>
      <c r="F928" s="7" t="inlineStr">
        <is>
          <t>price_electricity_residential_usd_kwh</t>
        </is>
      </c>
      <c r="G928" s="7" t="n">
        <v>0.384</v>
      </c>
      <c r="H928" s="7" t="inlineStr">
        <is>
          <t>2024</t>
        </is>
      </c>
      <c r="I928" s="7" t="inlineStr">
        <is>
          <t>imffossilfuelsubsidiesdata.xlsb</t>
        </is>
      </c>
    </row>
    <row r="929">
      <c r="A929" s="7" t="inlineStr">
        <is>
          <t>GBR</t>
        </is>
      </c>
      <c r="B929" s="7" t="inlineStr">
        <is>
          <t>United Kingdom</t>
        </is>
      </c>
      <c r="C929" s="7" t="inlineStr">
        <is>
          <t>Europe &amp; Central Asia</t>
        </is>
      </c>
      <c r="D929" s="7" t="inlineStr">
        <is>
          <t>High income</t>
        </is>
      </c>
      <c r="E929" s="7" t="b">
        <v>0</v>
      </c>
      <c r="F929" s="7" t="inlineStr">
        <is>
          <t>price_gas_industry_usd_gj</t>
        </is>
      </c>
      <c r="G929" s="7" t="n">
        <v>22.414</v>
      </c>
      <c r="H929" s="7" t="inlineStr">
        <is>
          <t>2024</t>
        </is>
      </c>
      <c r="I929" s="7" t="inlineStr">
        <is>
          <t>imffossilfuelsubsidiesdata.xlsb</t>
        </is>
      </c>
    </row>
    <row r="930">
      <c r="A930" s="7" t="inlineStr">
        <is>
          <t>GBR</t>
        </is>
      </c>
      <c r="B930" s="7" t="inlineStr">
        <is>
          <t>United Kingdom</t>
        </is>
      </c>
      <c r="C930" s="7" t="inlineStr">
        <is>
          <t>Europe &amp; Central Asia</t>
        </is>
      </c>
      <c r="D930" s="7" t="inlineStr">
        <is>
          <t>High income</t>
        </is>
      </c>
      <c r="E930" s="7" t="b">
        <v>0</v>
      </c>
      <c r="F930" s="7" t="inlineStr">
        <is>
          <t>rise_renewable_energy_score</t>
        </is>
      </c>
      <c r="G930" s="7" t="n">
        <v>78.63</v>
      </c>
      <c r="H930" s="7" t="inlineStr">
        <is>
          <t>2023</t>
        </is>
      </c>
      <c r="I930" s="7" t="inlineStr">
        <is>
          <t>WB_RISE_WIDEF.csv</t>
        </is>
      </c>
    </row>
    <row r="931">
      <c r="A931" s="7" t="inlineStr">
        <is>
          <t>GEO</t>
        </is>
      </c>
      <c r="B931" s="7" t="inlineStr">
        <is>
          <t>Georgia</t>
        </is>
      </c>
      <c r="C931" s="7" t="inlineStr">
        <is>
          <t>Europe &amp; Central Asia</t>
        </is>
      </c>
      <c r="D931" s="7" t="inlineStr">
        <is>
          <t>Upper middle income</t>
        </is>
      </c>
      <c r="E931" s="7" t="b">
        <v>1</v>
      </c>
      <c r="F931" s="7" t="inlineStr">
        <is>
          <t>coal_rents_pct_gdp</t>
        </is>
      </c>
      <c r="G931" s="7" t="n">
        <v>0.008</v>
      </c>
      <c r="H931" s="7" t="inlineStr">
        <is>
          <t>2021</t>
        </is>
      </c>
      <c r="I931" s="7" t="inlineStr">
        <is>
          <t>API_NY_GDP_COAL_RT_ZS_DS2_en_csv_v2_35370.zip</t>
        </is>
      </c>
    </row>
    <row r="932">
      <c r="A932" s="7" t="inlineStr">
        <is>
          <t>GEO</t>
        </is>
      </c>
      <c r="B932" s="7" t="inlineStr">
        <is>
          <t>Georgia</t>
        </is>
      </c>
      <c r="C932" s="7" t="inlineStr">
        <is>
          <t>Europe &amp; Central Asia</t>
        </is>
      </c>
      <c r="D932" s="7" t="inlineStr">
        <is>
          <t>Upper middle income</t>
        </is>
      </c>
      <c r="E932" s="7" t="b">
        <v>1</v>
      </c>
      <c r="F932" s="7" t="inlineStr">
        <is>
          <t>em_coal_mt</t>
        </is>
      </c>
      <c r="G932" s="7" t="n">
        <v>0</v>
      </c>
      <c r="H932" s="7" t="n">
        <v>2024</v>
      </c>
      <c r="I932" s="7" t="inlineStr">
        <is>
          <t>release_generation_yearly_global.csv (Ember)</t>
        </is>
      </c>
    </row>
    <row r="933">
      <c r="A933" s="7" t="inlineStr">
        <is>
          <t>GEO</t>
        </is>
      </c>
      <c r="B933" s="7" t="inlineStr">
        <is>
          <t>Georgia</t>
        </is>
      </c>
      <c r="C933" s="7" t="inlineStr">
        <is>
          <t>Europe &amp; Central Asia</t>
        </is>
      </c>
      <c r="D933" s="7" t="inlineStr">
        <is>
          <t>Upper middle income</t>
        </is>
      </c>
      <c r="E933" s="7" t="b">
        <v>1</v>
      </c>
      <c r="F933" s="7" t="inlineStr">
        <is>
          <t>em_gas_mt</t>
        </is>
      </c>
      <c r="G933" s="7" t="n">
        <v>1.757</v>
      </c>
      <c r="H933" s="7" t="n">
        <v>2024</v>
      </c>
      <c r="I933" s="7" t="inlineStr">
        <is>
          <t>release_generation_yearly_global.csv (Ember)</t>
        </is>
      </c>
    </row>
    <row r="934">
      <c r="A934" s="7" t="inlineStr">
        <is>
          <t>GEO</t>
        </is>
      </c>
      <c r="B934" s="7" t="inlineStr">
        <is>
          <t>Georgia</t>
        </is>
      </c>
      <c r="C934" s="7" t="inlineStr">
        <is>
          <t>Europe &amp; Central Asia</t>
        </is>
      </c>
      <c r="D934" s="7" t="inlineStr">
        <is>
          <t>Upper middle income</t>
        </is>
      </c>
      <c r="E934" s="7" t="b">
        <v>1</v>
      </c>
      <c r="F934" s="7" t="inlineStr">
        <is>
          <t>em_oil_mt</t>
        </is>
      </c>
      <c r="G934" s="7" t="n">
        <v>0</v>
      </c>
      <c r="H934" s="7" t="n">
        <v>2024</v>
      </c>
      <c r="I934" s="7" t="inlineStr">
        <is>
          <t>release_generation_yearly_global.csv (Ember)</t>
        </is>
      </c>
    </row>
    <row r="935">
      <c r="A935" s="7" t="inlineStr">
        <is>
          <t>GEO</t>
        </is>
      </c>
      <c r="B935" s="7" t="inlineStr">
        <is>
          <t>Georgia</t>
        </is>
      </c>
      <c r="C935" s="7" t="inlineStr">
        <is>
          <t>Europe &amp; Central Asia</t>
        </is>
      </c>
      <c r="D935" s="7" t="inlineStr">
        <is>
          <t>Upper middle income</t>
        </is>
      </c>
      <c r="E935" s="7" t="b">
        <v>1</v>
      </c>
      <c r="F935" s="7" t="inlineStr">
        <is>
          <t>ff_subsidy_explicit_pct_gdp</t>
        </is>
      </c>
      <c r="G935" s="7" t="n">
        <v>2.054</v>
      </c>
      <c r="H935" s="7" t="inlineStr">
        <is>
          <t>2024</t>
        </is>
      </c>
      <c r="I935" s="7" t="inlineStr">
        <is>
          <t>imffossilfuelsubsidiesdata.xlsb</t>
        </is>
      </c>
    </row>
    <row r="936">
      <c r="A936" s="7" t="inlineStr">
        <is>
          <t>GEO</t>
        </is>
      </c>
      <c r="B936" s="7" t="inlineStr">
        <is>
          <t>Georgia</t>
        </is>
      </c>
      <c r="C936" s="7" t="inlineStr">
        <is>
          <t>Europe &amp; Central Asia</t>
        </is>
      </c>
      <c r="D936" s="7" t="inlineStr">
        <is>
          <t>Upper middle income</t>
        </is>
      </c>
      <c r="E936" s="7" t="b">
        <v>1</v>
      </c>
      <c r="F936" s="7" t="inlineStr">
        <is>
          <t>fuel_exports_pct_merch</t>
        </is>
      </c>
      <c r="G936" s="7" t="n">
        <v>2.337</v>
      </c>
      <c r="H936" s="7" t="inlineStr">
        <is>
          <t>2024</t>
        </is>
      </c>
      <c r="I936" s="7" t="inlineStr">
        <is>
          <t>API_TX_VAL_FUEL_ZS_UN_DS2_en_csv_v2_33055.zip</t>
        </is>
      </c>
    </row>
    <row r="937">
      <c r="A937" s="7" t="inlineStr">
        <is>
          <t>GEO</t>
        </is>
      </c>
      <c r="B937" s="7" t="inlineStr">
        <is>
          <t>Georgia</t>
        </is>
      </c>
      <c r="C937" s="7" t="inlineStr">
        <is>
          <t>Europe &amp; Central Asia</t>
        </is>
      </c>
      <c r="D937" s="7" t="inlineStr">
        <is>
          <t>Upper middle income</t>
        </is>
      </c>
      <c r="E937" s="7" t="b">
        <v>1</v>
      </c>
      <c r="F937" s="7" t="inlineStr">
        <is>
          <t>gen_coal_twh</t>
        </is>
      </c>
      <c r="G937" s="7" t="n">
        <v>0</v>
      </c>
      <c r="H937" s="7" t="n">
        <v>2024</v>
      </c>
      <c r="I937" s="7" t="inlineStr">
        <is>
          <t>release_generation_yearly_global.csv (Ember)</t>
        </is>
      </c>
    </row>
    <row r="938">
      <c r="A938" s="7" t="inlineStr">
        <is>
          <t>GEO</t>
        </is>
      </c>
      <c r="B938" s="7" t="inlineStr">
        <is>
          <t>Georgia</t>
        </is>
      </c>
      <c r="C938" s="7" t="inlineStr">
        <is>
          <t>Europe &amp; Central Asia</t>
        </is>
      </c>
      <c r="D938" s="7" t="inlineStr">
        <is>
          <t>Upper middle income</t>
        </is>
      </c>
      <c r="E938" s="7" t="b">
        <v>1</v>
      </c>
      <c r="F938" s="7" t="inlineStr">
        <is>
          <t>gen_gas_twh</t>
        </is>
      </c>
      <c r="G938" s="7" t="n">
        <v>2.81</v>
      </c>
      <c r="H938" s="7" t="n">
        <v>2024</v>
      </c>
      <c r="I938" s="7" t="inlineStr">
        <is>
          <t>release_generation_yearly_global.csv (Ember)</t>
        </is>
      </c>
    </row>
    <row r="939">
      <c r="A939" s="7" t="inlineStr">
        <is>
          <t>GEO</t>
        </is>
      </c>
      <c r="B939" s="7" t="inlineStr">
        <is>
          <t>Georgia</t>
        </is>
      </c>
      <c r="C939" s="7" t="inlineStr">
        <is>
          <t>Europe &amp; Central Asia</t>
        </is>
      </c>
      <c r="D939" s="7" t="inlineStr">
        <is>
          <t>Upper middle income</t>
        </is>
      </c>
      <c r="E939" s="7" t="b">
        <v>1</v>
      </c>
      <c r="F939" s="7" t="inlineStr">
        <is>
          <t>gen_oil_twh</t>
        </is>
      </c>
      <c r="G939" s="7" t="n">
        <v>0</v>
      </c>
      <c r="H939" s="7" t="n">
        <v>2024</v>
      </c>
      <c r="I939" s="7" t="inlineStr">
        <is>
          <t>release_generation_yearly_global.csv (Ember)</t>
        </is>
      </c>
    </row>
    <row r="940">
      <c r="A940" s="7" t="inlineStr">
        <is>
          <t>GEO</t>
        </is>
      </c>
      <c r="B940" s="7" t="inlineStr">
        <is>
          <t>Georgia</t>
        </is>
      </c>
      <c r="C940" s="7" t="inlineStr">
        <is>
          <t>Europe &amp; Central Asia</t>
        </is>
      </c>
      <c r="D940" s="7" t="inlineStr">
        <is>
          <t>Upper middle income</t>
        </is>
      </c>
      <c r="E940" s="7" t="b">
        <v>1</v>
      </c>
      <c r="F940" s="7" t="inlineStr">
        <is>
          <t>gen_total_twh</t>
        </is>
      </c>
      <c r="G940" s="7" t="n">
        <v>13.93</v>
      </c>
      <c r="H940" s="7" t="n">
        <v>2024</v>
      </c>
      <c r="I940" s="7" t="inlineStr">
        <is>
          <t>release_generation_yearly_global.csv (Ember)</t>
        </is>
      </c>
    </row>
    <row r="941">
      <c r="A941" s="7" t="inlineStr">
        <is>
          <t>GEO</t>
        </is>
      </c>
      <c r="B941" s="7" t="inlineStr">
        <is>
          <t>Georgia</t>
        </is>
      </c>
      <c r="C941" s="7" t="inlineStr">
        <is>
          <t>Europe &amp; Central Asia</t>
        </is>
      </c>
      <c r="D941" s="7" t="inlineStr">
        <is>
          <t>Upper middle income</t>
        </is>
      </c>
      <c r="E941" s="7" t="b">
        <v>1</v>
      </c>
      <c r="F941" s="7" t="inlineStr">
        <is>
          <t>power_market_structure</t>
        </is>
      </c>
      <c r="G941" s="7" t="n">
        <v>3</v>
      </c>
      <c r="H941" s="7" t="inlineStr">
        <is>
          <t>2013</t>
        </is>
      </c>
      <c r="I941" s="7" t="inlineStr">
        <is>
          <t>dataverse_files.zip</t>
        </is>
      </c>
    </row>
    <row r="942">
      <c r="A942" s="7" t="inlineStr">
        <is>
          <t>GEO</t>
        </is>
      </c>
      <c r="B942" s="7" t="inlineStr">
        <is>
          <t>Georgia</t>
        </is>
      </c>
      <c r="C942" s="7" t="inlineStr">
        <is>
          <t>Europe &amp; Central Asia</t>
        </is>
      </c>
      <c r="D942" s="7" t="inlineStr">
        <is>
          <t>Upper middle income</t>
        </is>
      </c>
      <c r="E942" s="7" t="b">
        <v>1</v>
      </c>
      <c r="F942" s="7" t="inlineStr">
        <is>
          <t>price_coal_power_usd_gj</t>
        </is>
      </c>
      <c r="G942" s="7" t="n">
        <v>3.62</v>
      </c>
      <c r="H942" s="7" t="inlineStr">
        <is>
          <t>2024</t>
        </is>
      </c>
      <c r="I942" s="7" t="inlineStr">
        <is>
          <t>imffossilfuelsubsidiesdata.xlsb</t>
        </is>
      </c>
    </row>
    <row r="943">
      <c r="A943" s="7" t="inlineStr">
        <is>
          <t>GEO</t>
        </is>
      </c>
      <c r="B943" s="7" t="inlineStr">
        <is>
          <t>Georgia</t>
        </is>
      </c>
      <c r="C943" s="7" t="inlineStr">
        <is>
          <t>Europe &amp; Central Asia</t>
        </is>
      </c>
      <c r="D943" s="7" t="inlineStr">
        <is>
          <t>Upper middle income</t>
        </is>
      </c>
      <c r="E943" s="7" t="b">
        <v>1</v>
      </c>
      <c r="F943" s="7" t="inlineStr">
        <is>
          <t>price_electricity_residential_usd_kwh</t>
        </is>
      </c>
      <c r="G943" s="7" t="n">
        <v>0.076</v>
      </c>
      <c r="H943" s="7" t="inlineStr">
        <is>
          <t>2024</t>
        </is>
      </c>
      <c r="I943" s="7" t="inlineStr">
        <is>
          <t>imffossilfuelsubsidiesdata.xlsb</t>
        </is>
      </c>
    </row>
    <row r="944">
      <c r="A944" s="7" t="inlineStr">
        <is>
          <t>GEO</t>
        </is>
      </c>
      <c r="B944" s="7" t="inlineStr">
        <is>
          <t>Georgia</t>
        </is>
      </c>
      <c r="C944" s="7" t="inlineStr">
        <is>
          <t>Europe &amp; Central Asia</t>
        </is>
      </c>
      <c r="D944" s="7" t="inlineStr">
        <is>
          <t>Upper middle income</t>
        </is>
      </c>
      <c r="E944" s="7" t="b">
        <v>1</v>
      </c>
      <c r="F944" s="7" t="inlineStr">
        <is>
          <t>price_gas_industry_usd_gj</t>
        </is>
      </c>
      <c r="G944" s="7" t="n">
        <v>8.662000000000001</v>
      </c>
      <c r="H944" s="7" t="inlineStr">
        <is>
          <t>2024</t>
        </is>
      </c>
      <c r="I944" s="7" t="inlineStr">
        <is>
          <t>imffossilfuelsubsidiesdata.xlsb</t>
        </is>
      </c>
    </row>
    <row r="945">
      <c r="A945" s="7" t="inlineStr">
        <is>
          <t>GEO</t>
        </is>
      </c>
      <c r="B945" s="7" t="inlineStr">
        <is>
          <t>Georgia</t>
        </is>
      </c>
      <c r="C945" s="7" t="inlineStr">
        <is>
          <t>Europe &amp; Central Asia</t>
        </is>
      </c>
      <c r="D945" s="7" t="inlineStr">
        <is>
          <t>Upper middle income</t>
        </is>
      </c>
      <c r="E945" s="7" t="b">
        <v>1</v>
      </c>
      <c r="F945" s="7" t="inlineStr">
        <is>
          <t>price_gas_power_usd_gj</t>
        </is>
      </c>
      <c r="G945" s="7" t="n">
        <v>8.662000000000001</v>
      </c>
      <c r="H945" s="7" t="inlineStr">
        <is>
          <t>2024</t>
        </is>
      </c>
      <c r="I945" s="7" t="inlineStr">
        <is>
          <t>imffossilfuelsubsidiesdata.xlsb</t>
        </is>
      </c>
    </row>
    <row r="946">
      <c r="A946" s="7" t="inlineStr">
        <is>
          <t>GEO</t>
        </is>
      </c>
      <c r="B946" s="7" t="inlineStr">
        <is>
          <t>Georgia</t>
        </is>
      </c>
      <c r="C946" s="7" t="inlineStr">
        <is>
          <t>Europe &amp; Central Asia</t>
        </is>
      </c>
      <c r="D946" s="7" t="inlineStr">
        <is>
          <t>Upper middle income</t>
        </is>
      </c>
      <c r="E946" s="7" t="b">
        <v>1</v>
      </c>
      <c r="F946" s="7" t="inlineStr">
        <is>
          <t>rise_renewable_energy_score</t>
        </is>
      </c>
      <c r="G946" s="7" t="n">
        <v>47.28</v>
      </c>
      <c r="H946" s="7" t="inlineStr">
        <is>
          <t>2023</t>
        </is>
      </c>
      <c r="I946" s="7" t="inlineStr">
        <is>
          <t>WB_RISE_WIDEF.csv</t>
        </is>
      </c>
    </row>
    <row r="947">
      <c r="A947" s="7" t="inlineStr">
        <is>
          <t>GHA</t>
        </is>
      </c>
      <c r="B947" s="7" t="inlineStr">
        <is>
          <t>Ghana</t>
        </is>
      </c>
      <c r="C947" s="7" t="inlineStr">
        <is>
          <t>Sub-Saharan Africa</t>
        </is>
      </c>
      <c r="D947" s="7" t="inlineStr">
        <is>
          <t>Lower middle income</t>
        </is>
      </c>
      <c r="E947" s="7" t="b">
        <v>1</v>
      </c>
      <c r="F947" s="7" t="inlineStr">
        <is>
          <t>coal_rents_pct_gdp</t>
        </is>
      </c>
      <c r="G947" s="7" t="n">
        <v>0</v>
      </c>
      <c r="H947" s="7" t="inlineStr">
        <is>
          <t>2021</t>
        </is>
      </c>
      <c r="I947" s="7" t="inlineStr">
        <is>
          <t>API_NY_GDP_COAL_RT_ZS_DS2_en_csv_v2_35370.zip</t>
        </is>
      </c>
    </row>
    <row r="948">
      <c r="A948" s="7" t="inlineStr">
        <is>
          <t>GHA</t>
        </is>
      </c>
      <c r="B948" s="7" t="inlineStr">
        <is>
          <t>Ghana</t>
        </is>
      </c>
      <c r="C948" s="7" t="inlineStr">
        <is>
          <t>Sub-Saharan Africa</t>
        </is>
      </c>
      <c r="D948" s="7" t="inlineStr">
        <is>
          <t>Lower middle income</t>
        </is>
      </c>
      <c r="E948" s="7" t="b">
        <v>1</v>
      </c>
      <c r="F948" s="7" t="inlineStr">
        <is>
          <t>em_coal_mt</t>
        </is>
      </c>
      <c r="G948" s="7" t="n">
        <v>0</v>
      </c>
      <c r="H948" s="7" t="n">
        <v>2024</v>
      </c>
      <c r="I948" s="7" t="inlineStr">
        <is>
          <t>release_generation_yearly_global.csv (Ember)</t>
        </is>
      </c>
    </row>
    <row r="949">
      <c r="A949" s="7" t="inlineStr">
        <is>
          <t>GHA</t>
        </is>
      </c>
      <c r="B949" s="7" t="inlineStr">
        <is>
          <t>Ghana</t>
        </is>
      </c>
      <c r="C949" s="7" t="inlineStr">
        <is>
          <t>Sub-Saharan Africa</t>
        </is>
      </c>
      <c r="D949" s="7" t="inlineStr">
        <is>
          <t>Lower middle income</t>
        </is>
      </c>
      <c r="E949" s="7" t="b">
        <v>1</v>
      </c>
      <c r="F949" s="7" t="inlineStr">
        <is>
          <t>em_gas_mt</t>
        </is>
      </c>
      <c r="G949" s="7" t="n">
        <v>10.786</v>
      </c>
      <c r="H949" s="7" t="n">
        <v>2024</v>
      </c>
      <c r="I949" s="7" t="inlineStr">
        <is>
          <t>release_generation_yearly_global.csv (Ember)</t>
        </is>
      </c>
    </row>
    <row r="950">
      <c r="A950" s="7" t="inlineStr">
        <is>
          <t>GHA</t>
        </is>
      </c>
      <c r="B950" s="7" t="inlineStr">
        <is>
          <t>Ghana</t>
        </is>
      </c>
      <c r="C950" s="7" t="inlineStr">
        <is>
          <t>Sub-Saharan Africa</t>
        </is>
      </c>
      <c r="D950" s="7" t="inlineStr">
        <is>
          <t>Lower middle income</t>
        </is>
      </c>
      <c r="E950" s="7" t="b">
        <v>1</v>
      </c>
      <c r="F950" s="7" t="inlineStr">
        <is>
          <t>em_oil_mt</t>
        </is>
      </c>
      <c r="G950" s="7" t="n">
        <v>0.375</v>
      </c>
      <c r="H950" s="7" t="n">
        <v>2024</v>
      </c>
      <c r="I950" s="7" t="inlineStr">
        <is>
          <t>release_generation_yearly_global.csv (Ember)</t>
        </is>
      </c>
    </row>
    <row r="951">
      <c r="A951" s="7" t="inlineStr">
        <is>
          <t>GHA</t>
        </is>
      </c>
      <c r="B951" s="7" t="inlineStr">
        <is>
          <t>Ghana</t>
        </is>
      </c>
      <c r="C951" s="7" t="inlineStr">
        <is>
          <t>Sub-Saharan Africa</t>
        </is>
      </c>
      <c r="D951" s="7" t="inlineStr">
        <is>
          <t>Lower middle income</t>
        </is>
      </c>
      <c r="E951" s="7" t="b">
        <v>1</v>
      </c>
      <c r="F951" s="7" t="inlineStr">
        <is>
          <t>ff_subsidy_explicit_pct_gdp</t>
        </is>
      </c>
      <c r="G951" s="7" t="n">
        <v>0.487</v>
      </c>
      <c r="H951" s="7" t="inlineStr">
        <is>
          <t>2024</t>
        </is>
      </c>
      <c r="I951" s="7" t="inlineStr">
        <is>
          <t>imffossilfuelsubsidiesdata.xlsb</t>
        </is>
      </c>
    </row>
    <row r="952">
      <c r="A952" s="7" t="inlineStr">
        <is>
          <t>GHA</t>
        </is>
      </c>
      <c r="B952" s="7" t="inlineStr">
        <is>
          <t>Ghana</t>
        </is>
      </c>
      <c r="C952" s="7" t="inlineStr">
        <is>
          <t>Sub-Saharan Africa</t>
        </is>
      </c>
      <c r="D952" s="7" t="inlineStr">
        <is>
          <t>Lower middle income</t>
        </is>
      </c>
      <c r="E952" s="7" t="b">
        <v>1</v>
      </c>
      <c r="F952" s="7" t="inlineStr">
        <is>
          <t>fuel_exports_pct_merch</t>
        </is>
      </c>
      <c r="G952" s="7" t="n">
        <v>24.53</v>
      </c>
      <c r="H952" s="7" t="inlineStr">
        <is>
          <t>2023</t>
        </is>
      </c>
      <c r="I952" s="7" t="inlineStr">
        <is>
          <t>API_TX_VAL_FUEL_ZS_UN_DS2_en_csv_v2_33055.zip</t>
        </is>
      </c>
    </row>
    <row r="953">
      <c r="A953" s="7" t="inlineStr">
        <is>
          <t>GHA</t>
        </is>
      </c>
      <c r="B953" s="7" t="inlineStr">
        <is>
          <t>Ghana</t>
        </is>
      </c>
      <c r="C953" s="7" t="inlineStr">
        <is>
          <t>Sub-Saharan Africa</t>
        </is>
      </c>
      <c r="D953" s="7" t="inlineStr">
        <is>
          <t>Lower middle income</t>
        </is>
      </c>
      <c r="E953" s="7" t="b">
        <v>1</v>
      </c>
      <c r="F953" s="7" t="inlineStr">
        <is>
          <t>gen_coal_twh</t>
        </is>
      </c>
      <c r="G953" s="7" t="n">
        <v>0</v>
      </c>
      <c r="H953" s="7" t="n">
        <v>2024</v>
      </c>
      <c r="I953" s="7" t="inlineStr">
        <is>
          <t>release_generation_yearly_global.csv (Ember)</t>
        </is>
      </c>
    </row>
    <row r="954">
      <c r="A954" s="7" t="inlineStr">
        <is>
          <t>GHA</t>
        </is>
      </c>
      <c r="B954" s="7" t="inlineStr">
        <is>
          <t>Ghana</t>
        </is>
      </c>
      <c r="C954" s="7" t="inlineStr">
        <is>
          <t>Sub-Saharan Africa</t>
        </is>
      </c>
      <c r="D954" s="7" t="inlineStr">
        <is>
          <t>Lower middle income</t>
        </is>
      </c>
      <c r="E954" s="7" t="b">
        <v>1</v>
      </c>
      <c r="F954" s="7" t="inlineStr">
        <is>
          <t>gen_gas_twh</t>
        </is>
      </c>
      <c r="G954" s="7" t="n">
        <v>14.91</v>
      </c>
      <c r="H954" s="7" t="n">
        <v>2024</v>
      </c>
      <c r="I954" s="7" t="inlineStr">
        <is>
          <t>release_generation_yearly_global.csv (Ember)</t>
        </is>
      </c>
    </row>
    <row r="955">
      <c r="A955" s="7" t="inlineStr">
        <is>
          <t>GHA</t>
        </is>
      </c>
      <c r="B955" s="7" t="inlineStr">
        <is>
          <t>Ghana</t>
        </is>
      </c>
      <c r="C955" s="7" t="inlineStr">
        <is>
          <t>Sub-Saharan Africa</t>
        </is>
      </c>
      <c r="D955" s="7" t="inlineStr">
        <is>
          <t>Lower middle income</t>
        </is>
      </c>
      <c r="E955" s="7" t="b">
        <v>1</v>
      </c>
      <c r="F955" s="7" t="inlineStr">
        <is>
          <t>gen_oil_twh</t>
        </is>
      </c>
      <c r="G955" s="7" t="n">
        <v>0.57</v>
      </c>
      <c r="H955" s="7" t="n">
        <v>2024</v>
      </c>
      <c r="I955" s="7" t="inlineStr">
        <is>
          <t>release_generation_yearly_global.csv (Ember)</t>
        </is>
      </c>
    </row>
    <row r="956">
      <c r="A956" s="7" t="inlineStr">
        <is>
          <t>GHA</t>
        </is>
      </c>
      <c r="B956" s="7" t="inlineStr">
        <is>
          <t>Ghana</t>
        </is>
      </c>
      <c r="C956" s="7" t="inlineStr">
        <is>
          <t>Sub-Saharan Africa</t>
        </is>
      </c>
      <c r="D956" s="7" t="inlineStr">
        <is>
          <t>Lower middle income</t>
        </is>
      </c>
      <c r="E956" s="7" t="b">
        <v>1</v>
      </c>
      <c r="F956" s="7" t="inlineStr">
        <is>
          <t>gen_total_twh</t>
        </is>
      </c>
      <c r="G956" s="7" t="n">
        <v>24.27</v>
      </c>
      <c r="H956" s="7" t="n">
        <v>2024</v>
      </c>
      <c r="I956" s="7" t="inlineStr">
        <is>
          <t>release_generation_yearly_global.csv (Ember)</t>
        </is>
      </c>
    </row>
    <row r="957">
      <c r="A957" s="7" t="inlineStr">
        <is>
          <t>GHA</t>
        </is>
      </c>
      <c r="B957" s="7" t="inlineStr">
        <is>
          <t>Ghana</t>
        </is>
      </c>
      <c r="C957" s="7" t="inlineStr">
        <is>
          <t>Sub-Saharan Africa</t>
        </is>
      </c>
      <c r="D957" s="7" t="inlineStr">
        <is>
          <t>Lower middle income</t>
        </is>
      </c>
      <c r="E957" s="7" t="b">
        <v>1</v>
      </c>
      <c r="F957" s="7" t="inlineStr">
        <is>
          <t>power_market_structure</t>
        </is>
      </c>
      <c r="G957" s="7" t="n">
        <v>3</v>
      </c>
      <c r="H957" s="7" t="inlineStr">
        <is>
          <t>2013</t>
        </is>
      </c>
      <c r="I957" s="7" t="inlineStr">
        <is>
          <t>dataverse_files.zip</t>
        </is>
      </c>
    </row>
    <row r="958">
      <c r="A958" s="7" t="inlineStr">
        <is>
          <t>GHA</t>
        </is>
      </c>
      <c r="B958" s="7" t="inlineStr">
        <is>
          <t>Ghana</t>
        </is>
      </c>
      <c r="C958" s="7" t="inlineStr">
        <is>
          <t>Sub-Saharan Africa</t>
        </is>
      </c>
      <c r="D958" s="7" t="inlineStr">
        <is>
          <t>Lower middle income</t>
        </is>
      </c>
      <c r="E958" s="7" t="b">
        <v>1</v>
      </c>
      <c r="F958" s="7" t="inlineStr">
        <is>
          <t>price_coal_power_usd_gj</t>
        </is>
      </c>
      <c r="G958" s="7" t="n">
        <v>5.787</v>
      </c>
      <c r="H958" s="7" t="inlineStr">
        <is>
          <t>2024</t>
        </is>
      </c>
      <c r="I958" s="7" t="inlineStr">
        <is>
          <t>imffossilfuelsubsidiesdata.xlsb</t>
        </is>
      </c>
    </row>
    <row r="959">
      <c r="A959" s="7" t="inlineStr">
        <is>
          <t>GHA</t>
        </is>
      </c>
      <c r="B959" s="7" t="inlineStr">
        <is>
          <t>Ghana</t>
        </is>
      </c>
      <c r="C959" s="7" t="inlineStr">
        <is>
          <t>Sub-Saharan Africa</t>
        </is>
      </c>
      <c r="D959" s="7" t="inlineStr">
        <is>
          <t>Lower middle income</t>
        </is>
      </c>
      <c r="E959" s="7" t="b">
        <v>1</v>
      </c>
      <c r="F959" s="7" t="inlineStr">
        <is>
          <t>price_electricity_residential_usd_kwh</t>
        </is>
      </c>
      <c r="G959" s="7" t="n">
        <v>0.16</v>
      </c>
      <c r="H959" s="7" t="inlineStr">
        <is>
          <t>2024</t>
        </is>
      </c>
      <c r="I959" s="7" t="inlineStr">
        <is>
          <t>imffossilfuelsubsidiesdata.xlsb</t>
        </is>
      </c>
    </row>
    <row r="960">
      <c r="A960" s="7" t="inlineStr">
        <is>
          <t>GHA</t>
        </is>
      </c>
      <c r="B960" s="7" t="inlineStr">
        <is>
          <t>Ghana</t>
        </is>
      </c>
      <c r="C960" s="7" t="inlineStr">
        <is>
          <t>Sub-Saharan Africa</t>
        </is>
      </c>
      <c r="D960" s="7" t="inlineStr">
        <is>
          <t>Lower middle income</t>
        </is>
      </c>
      <c r="E960" s="7" t="b">
        <v>1</v>
      </c>
      <c r="F960" s="7" t="inlineStr">
        <is>
          <t>price_gas_industry_usd_gj</t>
        </is>
      </c>
      <c r="G960" s="7" t="n">
        <v>5.6</v>
      </c>
      <c r="H960" s="7" t="inlineStr">
        <is>
          <t>2024</t>
        </is>
      </c>
      <c r="I960" s="7" t="inlineStr">
        <is>
          <t>imffossilfuelsubsidiesdata.xlsb</t>
        </is>
      </c>
    </row>
    <row r="961">
      <c r="A961" s="7" t="inlineStr">
        <is>
          <t>GHA</t>
        </is>
      </c>
      <c r="B961" s="7" t="inlineStr">
        <is>
          <t>Ghana</t>
        </is>
      </c>
      <c r="C961" s="7" t="inlineStr">
        <is>
          <t>Sub-Saharan Africa</t>
        </is>
      </c>
      <c r="D961" s="7" t="inlineStr">
        <is>
          <t>Lower middle income</t>
        </is>
      </c>
      <c r="E961" s="7" t="b">
        <v>1</v>
      </c>
      <c r="F961" s="7" t="inlineStr">
        <is>
          <t>price_gas_power_usd_gj</t>
        </is>
      </c>
      <c r="G961" s="7" t="n">
        <v>4.826</v>
      </c>
      <c r="H961" s="7" t="inlineStr">
        <is>
          <t>2024</t>
        </is>
      </c>
      <c r="I961" s="7" t="inlineStr">
        <is>
          <t>imffossilfuelsubsidiesdata.xlsb</t>
        </is>
      </c>
    </row>
    <row r="962">
      <c r="A962" s="7" t="inlineStr">
        <is>
          <t>GHA</t>
        </is>
      </c>
      <c r="B962" s="7" t="inlineStr">
        <is>
          <t>Ghana</t>
        </is>
      </c>
      <c r="C962" s="7" t="inlineStr">
        <is>
          <t>Sub-Saharan Africa</t>
        </is>
      </c>
      <c r="D962" s="7" t="inlineStr">
        <is>
          <t>Lower middle income</t>
        </is>
      </c>
      <c r="E962" s="7" t="b">
        <v>1</v>
      </c>
      <c r="F962" s="7" t="inlineStr">
        <is>
          <t>rise_renewable_energy_score</t>
        </is>
      </c>
      <c r="G962" s="7" t="n">
        <v>30.963</v>
      </c>
      <c r="H962" s="7" t="inlineStr">
        <is>
          <t>2023</t>
        </is>
      </c>
      <c r="I962" s="7" t="inlineStr">
        <is>
          <t>WB_RISE_WIDEF.csv</t>
        </is>
      </c>
    </row>
    <row r="963">
      <c r="A963" s="7" t="inlineStr">
        <is>
          <t>GIN</t>
        </is>
      </c>
      <c r="B963" s="7" t="inlineStr">
        <is>
          <t>Guinea</t>
        </is>
      </c>
      <c r="C963" s="7" t="inlineStr">
        <is>
          <t>Sub-Saharan Africa</t>
        </is>
      </c>
      <c r="D963" s="7" t="inlineStr">
        <is>
          <t>Lower middle income</t>
        </is>
      </c>
      <c r="E963" s="7" t="b">
        <v>1</v>
      </c>
      <c r="F963" s="7" t="inlineStr">
        <is>
          <t>coal_rents_pct_gdp</t>
        </is>
      </c>
      <c r="G963" s="7" t="n">
        <v>0</v>
      </c>
      <c r="H963" s="7" t="inlineStr">
        <is>
          <t>2021</t>
        </is>
      </c>
      <c r="I963" s="7" t="inlineStr">
        <is>
          <t>API_NY_GDP_COAL_RT_ZS_DS2_en_csv_v2_35370.zip</t>
        </is>
      </c>
    </row>
    <row r="964">
      <c r="A964" s="7" t="inlineStr">
        <is>
          <t>GIN</t>
        </is>
      </c>
      <c r="B964" s="7" t="inlineStr">
        <is>
          <t>Guinea</t>
        </is>
      </c>
      <c r="C964" s="7" t="inlineStr">
        <is>
          <t>Sub-Saharan Africa</t>
        </is>
      </c>
      <c r="D964" s="7" t="inlineStr">
        <is>
          <t>Lower middle income</t>
        </is>
      </c>
      <c r="E964" s="7" t="b">
        <v>1</v>
      </c>
      <c r="F964" s="7" t="inlineStr">
        <is>
          <t>em_coal_mt</t>
        </is>
      </c>
      <c r="G964" s="7" t="n">
        <v>0</v>
      </c>
      <c r="H964" s="7" t="n">
        <v>2024</v>
      </c>
      <c r="I964" s="7" t="inlineStr">
        <is>
          <t>release_generation_yearly_global.csv (Ember)</t>
        </is>
      </c>
    </row>
    <row r="965">
      <c r="A965" s="7" t="inlineStr">
        <is>
          <t>GIN</t>
        </is>
      </c>
      <c r="B965" s="7" t="inlineStr">
        <is>
          <t>Guinea</t>
        </is>
      </c>
      <c r="C965" s="7" t="inlineStr">
        <is>
          <t>Sub-Saharan Africa</t>
        </is>
      </c>
      <c r="D965" s="7" t="inlineStr">
        <is>
          <t>Lower middle income</t>
        </is>
      </c>
      <c r="E965" s="7" t="b">
        <v>1</v>
      </c>
      <c r="F965" s="7" t="inlineStr">
        <is>
          <t>em_gas_mt</t>
        </is>
      </c>
      <c r="G965" s="7" t="n">
        <v>0</v>
      </c>
      <c r="H965" s="7" t="n">
        <v>2024</v>
      </c>
      <c r="I965" s="7" t="inlineStr">
        <is>
          <t>release_generation_yearly_global.csv (Ember)</t>
        </is>
      </c>
    </row>
    <row r="966">
      <c r="A966" s="7" t="inlineStr">
        <is>
          <t>GIN</t>
        </is>
      </c>
      <c r="B966" s="7" t="inlineStr">
        <is>
          <t>Guinea</t>
        </is>
      </c>
      <c r="C966" s="7" t="inlineStr">
        <is>
          <t>Sub-Saharan Africa</t>
        </is>
      </c>
      <c r="D966" s="7" t="inlineStr">
        <is>
          <t>Lower middle income</t>
        </is>
      </c>
      <c r="E966" s="7" t="b">
        <v>1</v>
      </c>
      <c r="F966" s="7" t="inlineStr">
        <is>
          <t>em_oil_mt</t>
        </is>
      </c>
      <c r="G966" s="7" t="n">
        <v>0.658</v>
      </c>
      <c r="H966" s="7" t="n">
        <v>2024</v>
      </c>
      <c r="I966" s="7" t="inlineStr">
        <is>
          <t>release_generation_yearly_global.csv (Ember)</t>
        </is>
      </c>
    </row>
    <row r="967">
      <c r="A967" s="7" t="inlineStr">
        <is>
          <t>GIN</t>
        </is>
      </c>
      <c r="B967" s="7" t="inlineStr">
        <is>
          <t>Guinea</t>
        </is>
      </c>
      <c r="C967" s="7" t="inlineStr">
        <is>
          <t>Sub-Saharan Africa</t>
        </is>
      </c>
      <c r="D967" s="7" t="inlineStr">
        <is>
          <t>Lower middle income</t>
        </is>
      </c>
      <c r="E967" s="7" t="b">
        <v>1</v>
      </c>
      <c r="F967" s="7" t="inlineStr">
        <is>
          <t>ff_subsidy_explicit_pct_gdp</t>
        </is>
      </c>
      <c r="G967" s="7" t="n">
        <v>0.062</v>
      </c>
      <c r="H967" s="7" t="inlineStr">
        <is>
          <t>2024</t>
        </is>
      </c>
      <c r="I967" s="7" t="inlineStr">
        <is>
          <t>imffossilfuelsubsidiesdata.xlsb</t>
        </is>
      </c>
    </row>
    <row r="968">
      <c r="A968" s="7" t="inlineStr">
        <is>
          <t>GIN</t>
        </is>
      </c>
      <c r="B968" s="7" t="inlineStr">
        <is>
          <t>Guinea</t>
        </is>
      </c>
      <c r="C968" s="7" t="inlineStr">
        <is>
          <t>Sub-Saharan Africa</t>
        </is>
      </c>
      <c r="D968" s="7" t="inlineStr">
        <is>
          <t>Lower middle income</t>
        </is>
      </c>
      <c r="E968" s="7" t="b">
        <v>1</v>
      </c>
      <c r="F968" s="7" t="inlineStr">
        <is>
          <t>fuel_exports_pct_merch</t>
        </is>
      </c>
      <c r="G968" s="7" t="n">
        <v>0.466</v>
      </c>
      <c r="H968" s="7" t="inlineStr">
        <is>
          <t>2016</t>
        </is>
      </c>
      <c r="I968" s="7" t="inlineStr">
        <is>
          <t>API_TX_VAL_FUEL_ZS_UN_DS2_en_csv_v2_33055.zip</t>
        </is>
      </c>
    </row>
    <row r="969">
      <c r="A969" s="7" t="inlineStr">
        <is>
          <t>GIN</t>
        </is>
      </c>
      <c r="B969" s="7" t="inlineStr">
        <is>
          <t>Guinea</t>
        </is>
      </c>
      <c r="C969" s="7" t="inlineStr">
        <is>
          <t>Sub-Saharan Africa</t>
        </is>
      </c>
      <c r="D969" s="7" t="inlineStr">
        <is>
          <t>Lower middle income</t>
        </is>
      </c>
      <c r="E969" s="7" t="b">
        <v>1</v>
      </c>
      <c r="F969" s="7" t="inlineStr">
        <is>
          <t>gen_coal_twh</t>
        </is>
      </c>
      <c r="G969" s="7" t="n">
        <v>0</v>
      </c>
      <c r="H969" s="7" t="n">
        <v>2024</v>
      </c>
      <c r="I969" s="7" t="inlineStr">
        <is>
          <t>release_generation_yearly_global.csv (Ember)</t>
        </is>
      </c>
    </row>
    <row r="970">
      <c r="A970" s="7" t="inlineStr">
        <is>
          <t>GIN</t>
        </is>
      </c>
      <c r="B970" s="7" t="inlineStr">
        <is>
          <t>Guinea</t>
        </is>
      </c>
      <c r="C970" s="7" t="inlineStr">
        <is>
          <t>Sub-Saharan Africa</t>
        </is>
      </c>
      <c r="D970" s="7" t="inlineStr">
        <is>
          <t>Lower middle income</t>
        </is>
      </c>
      <c r="E970" s="7" t="b">
        <v>1</v>
      </c>
      <c r="F970" s="7" t="inlineStr">
        <is>
          <t>gen_gas_twh</t>
        </is>
      </c>
      <c r="G970" s="7" t="n">
        <v>0</v>
      </c>
      <c r="H970" s="7" t="n">
        <v>2024</v>
      </c>
      <c r="I970" s="7" t="inlineStr">
        <is>
          <t>release_generation_yearly_global.csv (Ember)</t>
        </is>
      </c>
    </row>
    <row r="971">
      <c r="A971" s="7" t="inlineStr">
        <is>
          <t>GIN</t>
        </is>
      </c>
      <c r="B971" s="7" t="inlineStr">
        <is>
          <t>Guinea</t>
        </is>
      </c>
      <c r="C971" s="7" t="inlineStr">
        <is>
          <t>Sub-Saharan Africa</t>
        </is>
      </c>
      <c r="D971" s="7" t="inlineStr">
        <is>
          <t>Lower middle income</t>
        </is>
      </c>
      <c r="E971" s="7" t="b">
        <v>1</v>
      </c>
      <c r="F971" s="7" t="inlineStr">
        <is>
          <t>gen_oil_twh</t>
        </is>
      </c>
      <c r="G971" s="7" t="n">
        <v>1</v>
      </c>
      <c r="H971" s="7" t="n">
        <v>2024</v>
      </c>
      <c r="I971" s="7" t="inlineStr">
        <is>
          <t>release_generation_yearly_global.csv (Ember)</t>
        </is>
      </c>
    </row>
    <row r="972">
      <c r="A972" s="7" t="inlineStr">
        <is>
          <t>GIN</t>
        </is>
      </c>
      <c r="B972" s="7" t="inlineStr">
        <is>
          <t>Guinea</t>
        </is>
      </c>
      <c r="C972" s="7" t="inlineStr">
        <is>
          <t>Sub-Saharan Africa</t>
        </is>
      </c>
      <c r="D972" s="7" t="inlineStr">
        <is>
          <t>Lower middle income</t>
        </is>
      </c>
      <c r="E972" s="7" t="b">
        <v>1</v>
      </c>
      <c r="F972" s="7" t="inlineStr">
        <is>
          <t>gen_total_twh</t>
        </is>
      </c>
      <c r="G972" s="7" t="n">
        <v>4.03</v>
      </c>
      <c r="H972" s="7" t="n">
        <v>2024</v>
      </c>
      <c r="I972" s="7" t="inlineStr">
        <is>
          <t>release_generation_yearly_global.csv (Ember)</t>
        </is>
      </c>
    </row>
    <row r="973">
      <c r="A973" s="7" t="inlineStr">
        <is>
          <t>GIN</t>
        </is>
      </c>
      <c r="B973" s="7" t="inlineStr">
        <is>
          <t>Guinea</t>
        </is>
      </c>
      <c r="C973" s="7" t="inlineStr">
        <is>
          <t>Sub-Saharan Africa</t>
        </is>
      </c>
      <c r="D973" s="7" t="inlineStr">
        <is>
          <t>Lower middle income</t>
        </is>
      </c>
      <c r="E973" s="7" t="b">
        <v>1</v>
      </c>
      <c r="F973" s="7" t="inlineStr">
        <is>
          <t>power_market_structure</t>
        </is>
      </c>
      <c r="G973" s="7" t="n">
        <v>1</v>
      </c>
      <c r="H973" s="7" t="inlineStr">
        <is>
          <t>2013</t>
        </is>
      </c>
      <c r="I973" s="7" t="inlineStr">
        <is>
          <t>dataverse_files.zip</t>
        </is>
      </c>
    </row>
    <row r="974">
      <c r="A974" s="7" t="inlineStr">
        <is>
          <t>GIN</t>
        </is>
      </c>
      <c r="B974" s="7" t="inlineStr">
        <is>
          <t>Guinea</t>
        </is>
      </c>
      <c r="C974" s="7" t="inlineStr">
        <is>
          <t>Sub-Saharan Africa</t>
        </is>
      </c>
      <c r="D974" s="7" t="inlineStr">
        <is>
          <t>Lower middle income</t>
        </is>
      </c>
      <c r="E974" s="7" t="b">
        <v>1</v>
      </c>
      <c r="F974" s="7" t="inlineStr">
        <is>
          <t>price_coal_power_usd_gj</t>
        </is>
      </c>
      <c r="G974" s="7" t="n">
        <v>5.575</v>
      </c>
      <c r="H974" s="7" t="inlineStr">
        <is>
          <t>2024</t>
        </is>
      </c>
      <c r="I974" s="7" t="inlineStr">
        <is>
          <t>imffossilfuelsubsidiesdata.xlsb</t>
        </is>
      </c>
    </row>
    <row r="975">
      <c r="A975" s="7" t="inlineStr">
        <is>
          <t>GIN</t>
        </is>
      </c>
      <c r="B975" s="7" t="inlineStr">
        <is>
          <t>Guinea</t>
        </is>
      </c>
      <c r="C975" s="7" t="inlineStr">
        <is>
          <t>Sub-Saharan Africa</t>
        </is>
      </c>
      <c r="D975" s="7" t="inlineStr">
        <is>
          <t>Lower middle income</t>
        </is>
      </c>
      <c r="E975" s="7" t="b">
        <v>1</v>
      </c>
      <c r="F975" s="7" t="inlineStr">
        <is>
          <t>price_electricity_residential_usd_kwh</t>
        </is>
      </c>
      <c r="G975" s="7" t="n">
        <v>0.046</v>
      </c>
      <c r="H975" s="7" t="inlineStr">
        <is>
          <t>2024</t>
        </is>
      </c>
      <c r="I975" s="7" t="inlineStr">
        <is>
          <t>imffossilfuelsubsidiesdata.xlsb</t>
        </is>
      </c>
    </row>
    <row r="976">
      <c r="A976" s="7" t="inlineStr">
        <is>
          <t>GIN</t>
        </is>
      </c>
      <c r="B976" s="7" t="inlineStr">
        <is>
          <t>Guinea</t>
        </is>
      </c>
      <c r="C976" s="7" t="inlineStr">
        <is>
          <t>Sub-Saharan Africa</t>
        </is>
      </c>
      <c r="D976" s="7" t="inlineStr">
        <is>
          <t>Lower middle income</t>
        </is>
      </c>
      <c r="E976" s="7" t="b">
        <v>1</v>
      </c>
      <c r="F976" s="7" t="inlineStr">
        <is>
          <t>price_gas_industry_usd_gj</t>
        </is>
      </c>
      <c r="G976" s="7" t="n">
        <v>11.182</v>
      </c>
      <c r="H976" s="7" t="inlineStr">
        <is>
          <t>2024</t>
        </is>
      </c>
      <c r="I976" s="7" t="inlineStr">
        <is>
          <t>imffossilfuelsubsidiesdata.xlsb</t>
        </is>
      </c>
    </row>
    <row r="977">
      <c r="A977" s="7" t="inlineStr">
        <is>
          <t>GIN</t>
        </is>
      </c>
      <c r="B977" s="7" t="inlineStr">
        <is>
          <t>Guinea</t>
        </is>
      </c>
      <c r="C977" s="7" t="inlineStr">
        <is>
          <t>Sub-Saharan Africa</t>
        </is>
      </c>
      <c r="D977" s="7" t="inlineStr">
        <is>
          <t>Lower middle income</t>
        </is>
      </c>
      <c r="E977" s="7" t="b">
        <v>1</v>
      </c>
      <c r="F977" s="7" t="inlineStr">
        <is>
          <t>price_gas_power_usd_gj</t>
        </is>
      </c>
      <c r="G977" s="7" t="n">
        <v>9.858000000000001</v>
      </c>
      <c r="H977" s="7" t="inlineStr">
        <is>
          <t>2024</t>
        </is>
      </c>
      <c r="I977" s="7" t="inlineStr">
        <is>
          <t>imffossilfuelsubsidiesdata.xlsb</t>
        </is>
      </c>
    </row>
    <row r="978">
      <c r="A978" s="7" t="inlineStr">
        <is>
          <t>GIN</t>
        </is>
      </c>
      <c r="B978" s="7" t="inlineStr">
        <is>
          <t>Guinea</t>
        </is>
      </c>
      <c r="C978" s="7" t="inlineStr">
        <is>
          <t>Sub-Saharan Africa</t>
        </is>
      </c>
      <c r="D978" s="7" t="inlineStr">
        <is>
          <t>Lower middle income</t>
        </is>
      </c>
      <c r="E978" s="7" t="b">
        <v>1</v>
      </c>
      <c r="F978" s="7" t="inlineStr">
        <is>
          <t>rise_renewable_energy_score</t>
        </is>
      </c>
      <c r="G978" s="7" t="n">
        <v>9.563000000000001</v>
      </c>
      <c r="H978" s="7" t="inlineStr">
        <is>
          <t>2023</t>
        </is>
      </c>
      <c r="I978" s="7" t="inlineStr">
        <is>
          <t>WB_RISE_WIDEF.csv</t>
        </is>
      </c>
    </row>
    <row r="979">
      <c r="A979" s="7" t="inlineStr">
        <is>
          <t>GMB</t>
        </is>
      </c>
      <c r="B979" s="7" t="inlineStr">
        <is>
          <t>Gambia, The</t>
        </is>
      </c>
      <c r="C979" s="7" t="inlineStr">
        <is>
          <t>Sub-Saharan Africa</t>
        </is>
      </c>
      <c r="D979" s="7" t="inlineStr">
        <is>
          <t>Low income</t>
        </is>
      </c>
      <c r="E979" s="7" t="b">
        <v>1</v>
      </c>
      <c r="F979" s="7" t="inlineStr">
        <is>
          <t>coal_rents_pct_gdp</t>
        </is>
      </c>
      <c r="G979" s="7" t="n">
        <v>0</v>
      </c>
      <c r="H979" s="7" t="inlineStr">
        <is>
          <t>2021</t>
        </is>
      </c>
      <c r="I979" s="7" t="inlineStr">
        <is>
          <t>API_NY_GDP_COAL_RT_ZS_DS2_en_csv_v2_35370.zip</t>
        </is>
      </c>
    </row>
    <row r="980">
      <c r="A980" s="7" t="inlineStr">
        <is>
          <t>GMB</t>
        </is>
      </c>
      <c r="B980" s="7" t="inlineStr">
        <is>
          <t>Gambia, The</t>
        </is>
      </c>
      <c r="C980" s="7" t="inlineStr">
        <is>
          <t>Sub-Saharan Africa</t>
        </is>
      </c>
      <c r="D980" s="7" t="inlineStr">
        <is>
          <t>Low income</t>
        </is>
      </c>
      <c r="E980" s="7" t="b">
        <v>1</v>
      </c>
      <c r="F980" s="7" t="inlineStr">
        <is>
          <t>em_coal_mt</t>
        </is>
      </c>
      <c r="G980" s="7" t="n">
        <v>0</v>
      </c>
      <c r="H980" s="7" t="n">
        <v>2024</v>
      </c>
      <c r="I980" s="7" t="inlineStr">
        <is>
          <t>release_generation_yearly_global.csv (Ember)</t>
        </is>
      </c>
    </row>
    <row r="981">
      <c r="A981" s="7" t="inlineStr">
        <is>
          <t>GMB</t>
        </is>
      </c>
      <c r="B981" s="7" t="inlineStr">
        <is>
          <t>Gambia, The</t>
        </is>
      </c>
      <c r="C981" s="7" t="inlineStr">
        <is>
          <t>Sub-Saharan Africa</t>
        </is>
      </c>
      <c r="D981" s="7" t="inlineStr">
        <is>
          <t>Low income</t>
        </is>
      </c>
      <c r="E981" s="7" t="b">
        <v>1</v>
      </c>
      <c r="F981" s="7" t="inlineStr">
        <is>
          <t>em_gas_mt</t>
        </is>
      </c>
      <c r="G981" s="7" t="n">
        <v>0</v>
      </c>
      <c r="H981" s="7" t="n">
        <v>2024</v>
      </c>
      <c r="I981" s="7" t="inlineStr">
        <is>
          <t>release_generation_yearly_global.csv (Ember)</t>
        </is>
      </c>
    </row>
    <row r="982">
      <c r="A982" s="7" t="inlineStr">
        <is>
          <t>GMB</t>
        </is>
      </c>
      <c r="B982" s="7" t="inlineStr">
        <is>
          <t>Gambia, The</t>
        </is>
      </c>
      <c r="C982" s="7" t="inlineStr">
        <is>
          <t>Sub-Saharan Africa</t>
        </is>
      </c>
      <c r="D982" s="7" t="inlineStr">
        <is>
          <t>Low income</t>
        </is>
      </c>
      <c r="E982" s="7" t="b">
        <v>1</v>
      </c>
      <c r="F982" s="7" t="inlineStr">
        <is>
          <t>em_oil_mt</t>
        </is>
      </c>
      <c r="G982" s="7" t="n">
        <v>0.336</v>
      </c>
      <c r="H982" s="7" t="n">
        <v>2024</v>
      </c>
      <c r="I982" s="7" t="inlineStr">
        <is>
          <t>release_generation_yearly_global.csv (Ember)</t>
        </is>
      </c>
    </row>
    <row r="983">
      <c r="A983" s="7" t="inlineStr">
        <is>
          <t>GMB</t>
        </is>
      </c>
      <c r="B983" s="7" t="inlineStr">
        <is>
          <t>Gambia, The</t>
        </is>
      </c>
      <c r="C983" s="7" t="inlineStr">
        <is>
          <t>Sub-Saharan Africa</t>
        </is>
      </c>
      <c r="D983" s="7" t="inlineStr">
        <is>
          <t>Low income</t>
        </is>
      </c>
      <c r="E983" s="7" t="b">
        <v>1</v>
      </c>
      <c r="F983" s="7" t="inlineStr">
        <is>
          <t>ff_subsidy_explicit_pct_gdp</t>
        </is>
      </c>
      <c r="G983" s="7" t="n">
        <v>0</v>
      </c>
      <c r="H983" s="7" t="inlineStr">
        <is>
          <t>2024</t>
        </is>
      </c>
      <c r="I983" s="7" t="inlineStr">
        <is>
          <t>imffossilfuelsubsidiesdata.xlsb</t>
        </is>
      </c>
    </row>
    <row r="984">
      <c r="A984" s="7" t="inlineStr">
        <is>
          <t>GMB</t>
        </is>
      </c>
      <c r="B984" s="7" t="inlineStr">
        <is>
          <t>Gambia, The</t>
        </is>
      </c>
      <c r="C984" s="7" t="inlineStr">
        <is>
          <t>Sub-Saharan Africa</t>
        </is>
      </c>
      <c r="D984" s="7" t="inlineStr">
        <is>
          <t>Low income</t>
        </is>
      </c>
      <c r="E984" s="7" t="b">
        <v>1</v>
      </c>
      <c r="F984" s="7" t="inlineStr">
        <is>
          <t>fuel_exports_pct_merch</t>
        </is>
      </c>
      <c r="G984" s="7" t="n">
        <v>0</v>
      </c>
      <c r="H984" s="7" t="inlineStr">
        <is>
          <t>2024</t>
        </is>
      </c>
      <c r="I984" s="7" t="inlineStr">
        <is>
          <t>API_TX_VAL_FUEL_ZS_UN_DS2_en_csv_v2_33055.zip</t>
        </is>
      </c>
    </row>
    <row r="985">
      <c r="A985" s="7" t="inlineStr">
        <is>
          <t>GMB</t>
        </is>
      </c>
      <c r="B985" s="7" t="inlineStr">
        <is>
          <t>Gambia, The</t>
        </is>
      </c>
      <c r="C985" s="7" t="inlineStr">
        <is>
          <t>Sub-Saharan Africa</t>
        </is>
      </c>
      <c r="D985" s="7" t="inlineStr">
        <is>
          <t>Low income</t>
        </is>
      </c>
      <c r="E985" s="7" t="b">
        <v>1</v>
      </c>
      <c r="F985" s="7" t="inlineStr">
        <is>
          <t>gen_coal_twh</t>
        </is>
      </c>
      <c r="G985" s="7" t="n">
        <v>0</v>
      </c>
      <c r="H985" s="7" t="n">
        <v>2024</v>
      </c>
      <c r="I985" s="7" t="inlineStr">
        <is>
          <t>release_generation_yearly_global.csv (Ember)</t>
        </is>
      </c>
    </row>
    <row r="986">
      <c r="A986" s="7" t="inlineStr">
        <is>
          <t>GMB</t>
        </is>
      </c>
      <c r="B986" s="7" t="inlineStr">
        <is>
          <t>Gambia, The</t>
        </is>
      </c>
      <c r="C986" s="7" t="inlineStr">
        <is>
          <t>Sub-Saharan Africa</t>
        </is>
      </c>
      <c r="D986" s="7" t="inlineStr">
        <is>
          <t>Low income</t>
        </is>
      </c>
      <c r="E986" s="7" t="b">
        <v>1</v>
      </c>
      <c r="F986" s="7" t="inlineStr">
        <is>
          <t>gen_gas_twh</t>
        </is>
      </c>
      <c r="G986" s="7" t="n">
        <v>0</v>
      </c>
      <c r="H986" s="7" t="n">
        <v>2024</v>
      </c>
      <c r="I986" s="7" t="inlineStr">
        <is>
          <t>release_generation_yearly_global.csv (Ember)</t>
        </is>
      </c>
    </row>
    <row r="987">
      <c r="A987" s="7" t="inlineStr">
        <is>
          <t>GMB</t>
        </is>
      </c>
      <c r="B987" s="7" t="inlineStr">
        <is>
          <t>Gambia, The</t>
        </is>
      </c>
      <c r="C987" s="7" t="inlineStr">
        <is>
          <t>Sub-Saharan Africa</t>
        </is>
      </c>
      <c r="D987" s="7" t="inlineStr">
        <is>
          <t>Low income</t>
        </is>
      </c>
      <c r="E987" s="7" t="b">
        <v>1</v>
      </c>
      <c r="F987" s="7" t="inlineStr">
        <is>
          <t>gen_oil_twh</t>
        </is>
      </c>
      <c r="G987" s="7" t="n">
        <v>0.51</v>
      </c>
      <c r="H987" s="7" t="n">
        <v>2024</v>
      </c>
      <c r="I987" s="7" t="inlineStr">
        <is>
          <t>release_generation_yearly_global.csv (Ember)</t>
        </is>
      </c>
    </row>
    <row r="988">
      <c r="A988" s="7" t="inlineStr">
        <is>
          <t>GMB</t>
        </is>
      </c>
      <c r="B988" s="7" t="inlineStr">
        <is>
          <t>Gambia, The</t>
        </is>
      </c>
      <c r="C988" s="7" t="inlineStr">
        <is>
          <t>Sub-Saharan Africa</t>
        </is>
      </c>
      <c r="D988" s="7" t="inlineStr">
        <is>
          <t>Low income</t>
        </is>
      </c>
      <c r="E988" s="7" t="b">
        <v>1</v>
      </c>
      <c r="F988" s="7" t="inlineStr">
        <is>
          <t>gen_total_twh</t>
        </is>
      </c>
      <c r="G988" s="7" t="n">
        <v>0.51</v>
      </c>
      <c r="H988" s="7" t="n">
        <v>2024</v>
      </c>
      <c r="I988" s="7" t="inlineStr">
        <is>
          <t>release_generation_yearly_global.csv (Ember)</t>
        </is>
      </c>
    </row>
    <row r="989">
      <c r="A989" s="7" t="inlineStr">
        <is>
          <t>GMB</t>
        </is>
      </c>
      <c r="B989" s="7" t="inlineStr">
        <is>
          <t>Gambia, The</t>
        </is>
      </c>
      <c r="C989" s="7" t="inlineStr">
        <is>
          <t>Sub-Saharan Africa</t>
        </is>
      </c>
      <c r="D989" s="7" t="inlineStr">
        <is>
          <t>Low income</t>
        </is>
      </c>
      <c r="E989" s="7" t="b">
        <v>1</v>
      </c>
      <c r="F989" s="7" t="inlineStr">
        <is>
          <t>power_market_structure</t>
        </is>
      </c>
      <c r="G989" s="7" t="n">
        <v>2</v>
      </c>
      <c r="H989" s="7" t="inlineStr">
        <is>
          <t>2013</t>
        </is>
      </c>
      <c r="I989" s="7" t="inlineStr">
        <is>
          <t>dataverse_files.zip</t>
        </is>
      </c>
    </row>
    <row r="990">
      <c r="A990" s="7" t="inlineStr">
        <is>
          <t>GMB</t>
        </is>
      </c>
      <c r="B990" s="7" t="inlineStr">
        <is>
          <t>Gambia, The</t>
        </is>
      </c>
      <c r="C990" s="7" t="inlineStr">
        <is>
          <t>Sub-Saharan Africa</t>
        </is>
      </c>
      <c r="D990" s="7" t="inlineStr">
        <is>
          <t>Low income</t>
        </is>
      </c>
      <c r="E990" s="7" t="b">
        <v>1</v>
      </c>
      <c r="F990" s="7" t="inlineStr">
        <is>
          <t>price_coal_power_usd_gj</t>
        </is>
      </c>
      <c r="G990" s="7" t="n">
        <v>5.575</v>
      </c>
      <c r="H990" s="7" t="inlineStr">
        <is>
          <t>2024</t>
        </is>
      </c>
      <c r="I990" s="7" t="inlineStr">
        <is>
          <t>imffossilfuelsubsidiesdata.xlsb</t>
        </is>
      </c>
    </row>
    <row r="991">
      <c r="A991" s="7" t="inlineStr">
        <is>
          <t>GMB</t>
        </is>
      </c>
      <c r="B991" s="7" t="inlineStr">
        <is>
          <t>Gambia, The</t>
        </is>
      </c>
      <c r="C991" s="7" t="inlineStr">
        <is>
          <t>Sub-Saharan Africa</t>
        </is>
      </c>
      <c r="D991" s="7" t="inlineStr">
        <is>
          <t>Low income</t>
        </is>
      </c>
      <c r="E991" s="7" t="b">
        <v>1</v>
      </c>
      <c r="F991" s="7" t="inlineStr">
        <is>
          <t>price_electricity_residential_usd_kwh</t>
        </is>
      </c>
      <c r="G991" s="7" t="n">
        <v>0.367</v>
      </c>
      <c r="H991" s="7" t="inlineStr">
        <is>
          <t>2024</t>
        </is>
      </c>
      <c r="I991" s="7" t="inlineStr">
        <is>
          <t>imffossilfuelsubsidiesdata.xlsb</t>
        </is>
      </c>
    </row>
    <row r="992">
      <c r="A992" s="7" t="inlineStr">
        <is>
          <t>GMB</t>
        </is>
      </c>
      <c r="B992" s="7" t="inlineStr">
        <is>
          <t>Gambia, The</t>
        </is>
      </c>
      <c r="C992" s="7" t="inlineStr">
        <is>
          <t>Sub-Saharan Africa</t>
        </is>
      </c>
      <c r="D992" s="7" t="inlineStr">
        <is>
          <t>Low income</t>
        </is>
      </c>
      <c r="E992" s="7" t="b">
        <v>1</v>
      </c>
      <c r="F992" s="7" t="inlineStr">
        <is>
          <t>price_gas_industry_usd_gj</t>
        </is>
      </c>
      <c r="G992" s="7" t="n">
        <v>12.339</v>
      </c>
      <c r="H992" s="7" t="inlineStr">
        <is>
          <t>2024</t>
        </is>
      </c>
      <c r="I992" s="7" t="inlineStr">
        <is>
          <t>imffossilfuelsubsidiesdata.xlsb</t>
        </is>
      </c>
    </row>
    <row r="993">
      <c r="A993" s="7" t="inlineStr">
        <is>
          <t>GMB</t>
        </is>
      </c>
      <c r="B993" s="7" t="inlineStr">
        <is>
          <t>Gambia, The</t>
        </is>
      </c>
      <c r="C993" s="7" t="inlineStr">
        <is>
          <t>Sub-Saharan Africa</t>
        </is>
      </c>
      <c r="D993" s="7" t="inlineStr">
        <is>
          <t>Low income</t>
        </is>
      </c>
      <c r="E993" s="7" t="b">
        <v>1</v>
      </c>
      <c r="F993" s="7" t="inlineStr">
        <is>
          <t>price_gas_power_usd_gj</t>
        </is>
      </c>
      <c r="G993" s="7" t="n">
        <v>11.016</v>
      </c>
      <c r="H993" s="7" t="inlineStr">
        <is>
          <t>2024</t>
        </is>
      </c>
      <c r="I993" s="7" t="inlineStr">
        <is>
          <t>imffossilfuelsubsidiesdata.xlsb</t>
        </is>
      </c>
    </row>
    <row r="994">
      <c r="A994" s="7" t="inlineStr">
        <is>
          <t>GNB</t>
        </is>
      </c>
      <c r="B994" s="7" t="inlineStr">
        <is>
          <t>Guinea-Bissau</t>
        </is>
      </c>
      <c r="C994" s="7" t="inlineStr">
        <is>
          <t>Sub-Saharan Africa</t>
        </is>
      </c>
      <c r="D994" s="7" t="inlineStr">
        <is>
          <t>Low income</t>
        </is>
      </c>
      <c r="E994" s="7" t="b">
        <v>1</v>
      </c>
      <c r="F994" s="7" t="inlineStr">
        <is>
          <t>coal_rents_pct_gdp</t>
        </is>
      </c>
      <c r="G994" s="7" t="n">
        <v>0</v>
      </c>
      <c r="H994" s="7" t="inlineStr">
        <is>
          <t>2021</t>
        </is>
      </c>
      <c r="I994" s="7" t="inlineStr">
        <is>
          <t>API_NY_GDP_COAL_RT_ZS_DS2_en_csv_v2_35370.zip</t>
        </is>
      </c>
    </row>
    <row r="995">
      <c r="A995" s="7" t="inlineStr">
        <is>
          <t>GNB</t>
        </is>
      </c>
      <c r="B995" s="7" t="inlineStr">
        <is>
          <t>Guinea-Bissau</t>
        </is>
      </c>
      <c r="C995" s="7" t="inlineStr">
        <is>
          <t>Sub-Saharan Africa</t>
        </is>
      </c>
      <c r="D995" s="7" t="inlineStr">
        <is>
          <t>Low income</t>
        </is>
      </c>
      <c r="E995" s="7" t="b">
        <v>1</v>
      </c>
      <c r="F995" s="7" t="inlineStr">
        <is>
          <t>em_coal_mt</t>
        </is>
      </c>
      <c r="G995" s="7" t="n">
        <v>0</v>
      </c>
      <c r="H995" s="7" t="n">
        <v>2024</v>
      </c>
      <c r="I995" s="7" t="inlineStr">
        <is>
          <t>release_generation_yearly_global.csv (Ember)</t>
        </is>
      </c>
    </row>
    <row r="996">
      <c r="A996" s="7" t="inlineStr">
        <is>
          <t>GNB</t>
        </is>
      </c>
      <c r="B996" s="7" t="inlineStr">
        <is>
          <t>Guinea-Bissau</t>
        </is>
      </c>
      <c r="C996" s="7" t="inlineStr">
        <is>
          <t>Sub-Saharan Africa</t>
        </is>
      </c>
      <c r="D996" s="7" t="inlineStr">
        <is>
          <t>Low income</t>
        </is>
      </c>
      <c r="E996" s="7" t="b">
        <v>1</v>
      </c>
      <c r="F996" s="7" t="inlineStr">
        <is>
          <t>em_gas_mt</t>
        </is>
      </c>
      <c r="G996" s="7" t="n">
        <v>0</v>
      </c>
      <c r="H996" s="7" t="n">
        <v>2024</v>
      </c>
      <c r="I996" s="7" t="inlineStr">
        <is>
          <t>release_generation_yearly_global.csv (Ember)</t>
        </is>
      </c>
    </row>
    <row r="997">
      <c r="A997" s="7" t="inlineStr">
        <is>
          <t>GNB</t>
        </is>
      </c>
      <c r="B997" s="7" t="inlineStr">
        <is>
          <t>Guinea-Bissau</t>
        </is>
      </c>
      <c r="C997" s="7" t="inlineStr">
        <is>
          <t>Sub-Saharan Africa</t>
        </is>
      </c>
      <c r="D997" s="7" t="inlineStr">
        <is>
          <t>Low income</t>
        </is>
      </c>
      <c r="E997" s="7" t="b">
        <v>1</v>
      </c>
      <c r="F997" s="7" t="inlineStr">
        <is>
          <t>em_oil_mt</t>
        </is>
      </c>
      <c r="G997" s="7" t="n">
        <v>0.053</v>
      </c>
      <c r="H997" s="7" t="n">
        <v>2024</v>
      </c>
      <c r="I997" s="7" t="inlineStr">
        <is>
          <t>release_generation_yearly_global.csv (Ember)</t>
        </is>
      </c>
    </row>
    <row r="998">
      <c r="A998" s="7" t="inlineStr">
        <is>
          <t>GNB</t>
        </is>
      </c>
      <c r="B998" s="7" t="inlineStr">
        <is>
          <t>Guinea-Bissau</t>
        </is>
      </c>
      <c r="C998" s="7" t="inlineStr">
        <is>
          <t>Sub-Saharan Africa</t>
        </is>
      </c>
      <c r="D998" s="7" t="inlineStr">
        <is>
          <t>Low income</t>
        </is>
      </c>
      <c r="E998" s="7" t="b">
        <v>1</v>
      </c>
      <c r="F998" s="7" t="inlineStr">
        <is>
          <t>ff_subsidy_explicit_pct_gdp</t>
        </is>
      </c>
      <c r="G998" s="7" t="n">
        <v>0.6899999999999999</v>
      </c>
      <c r="H998" s="7" t="inlineStr">
        <is>
          <t>2024</t>
        </is>
      </c>
      <c r="I998" s="7" t="inlineStr">
        <is>
          <t>imffossilfuelsubsidiesdata.xlsb</t>
        </is>
      </c>
    </row>
    <row r="999">
      <c r="A999" s="7" t="inlineStr">
        <is>
          <t>GNB</t>
        </is>
      </c>
      <c r="B999" s="7" t="inlineStr">
        <is>
          <t>Guinea-Bissau</t>
        </is>
      </c>
      <c r="C999" s="7" t="inlineStr">
        <is>
          <t>Sub-Saharan Africa</t>
        </is>
      </c>
      <c r="D999" s="7" t="inlineStr">
        <is>
          <t>Low income</t>
        </is>
      </c>
      <c r="E999" s="7" t="b">
        <v>1</v>
      </c>
      <c r="F999" s="7" t="inlineStr">
        <is>
          <t>fuel_exports_pct_merch</t>
        </is>
      </c>
      <c r="G999" s="7" t="n">
        <v>0.002</v>
      </c>
      <c r="H999" s="7" t="inlineStr">
        <is>
          <t>2015</t>
        </is>
      </c>
      <c r="I999" s="7" t="inlineStr">
        <is>
          <t>API_TX_VAL_FUEL_ZS_UN_DS2_en_csv_v2_33055.zip</t>
        </is>
      </c>
    </row>
    <row r="1000">
      <c r="A1000" s="7" t="inlineStr">
        <is>
          <t>GNB</t>
        </is>
      </c>
      <c r="B1000" s="7" t="inlineStr">
        <is>
          <t>Guinea-Bissau</t>
        </is>
      </c>
      <c r="C1000" s="7" t="inlineStr">
        <is>
          <t>Sub-Saharan Africa</t>
        </is>
      </c>
      <c r="D1000" s="7" t="inlineStr">
        <is>
          <t>Low income</t>
        </is>
      </c>
      <c r="E1000" s="7" t="b">
        <v>1</v>
      </c>
      <c r="F1000" s="7" t="inlineStr">
        <is>
          <t>gen_coal_twh</t>
        </is>
      </c>
      <c r="G1000" s="7" t="n">
        <v>0</v>
      </c>
      <c r="H1000" s="7" t="n">
        <v>2024</v>
      </c>
      <c r="I1000" s="7" t="inlineStr">
        <is>
          <t>release_generation_yearly_global.csv (Ember)</t>
        </is>
      </c>
    </row>
    <row r="1001">
      <c r="A1001" s="7" t="inlineStr">
        <is>
          <t>GNB</t>
        </is>
      </c>
      <c r="B1001" s="7" t="inlineStr">
        <is>
          <t>Guinea-Bissau</t>
        </is>
      </c>
      <c r="C1001" s="7" t="inlineStr">
        <is>
          <t>Sub-Saharan Africa</t>
        </is>
      </c>
      <c r="D1001" s="7" t="inlineStr">
        <is>
          <t>Low income</t>
        </is>
      </c>
      <c r="E1001" s="7" t="b">
        <v>1</v>
      </c>
      <c r="F1001" s="7" t="inlineStr">
        <is>
          <t>gen_gas_twh</t>
        </is>
      </c>
      <c r="G1001" s="7" t="n">
        <v>0</v>
      </c>
      <c r="H1001" s="7" t="n">
        <v>2024</v>
      </c>
      <c r="I1001" s="7" t="inlineStr">
        <is>
          <t>release_generation_yearly_global.csv (Ember)</t>
        </is>
      </c>
    </row>
    <row r="1002">
      <c r="A1002" s="7" t="inlineStr">
        <is>
          <t>GNB</t>
        </is>
      </c>
      <c r="B1002" s="7" t="inlineStr">
        <is>
          <t>Guinea-Bissau</t>
        </is>
      </c>
      <c r="C1002" s="7" t="inlineStr">
        <is>
          <t>Sub-Saharan Africa</t>
        </is>
      </c>
      <c r="D1002" s="7" t="inlineStr">
        <is>
          <t>Low income</t>
        </is>
      </c>
      <c r="E1002" s="7" t="b">
        <v>1</v>
      </c>
      <c r="F1002" s="7" t="inlineStr">
        <is>
          <t>gen_oil_twh</t>
        </is>
      </c>
      <c r="G1002" s="7" t="n">
        <v>0.08</v>
      </c>
      <c r="H1002" s="7" t="n">
        <v>2024</v>
      </c>
      <c r="I1002" s="7" t="inlineStr">
        <is>
          <t>release_generation_yearly_global.csv (Ember)</t>
        </is>
      </c>
    </row>
    <row r="1003">
      <c r="A1003" s="7" t="inlineStr">
        <is>
          <t>GNB</t>
        </is>
      </c>
      <c r="B1003" s="7" t="inlineStr">
        <is>
          <t>Guinea-Bissau</t>
        </is>
      </c>
      <c r="C1003" s="7" t="inlineStr">
        <is>
          <t>Sub-Saharan Africa</t>
        </is>
      </c>
      <c r="D1003" s="7" t="inlineStr">
        <is>
          <t>Low income</t>
        </is>
      </c>
      <c r="E1003" s="7" t="b">
        <v>1</v>
      </c>
      <c r="F1003" s="7" t="inlineStr">
        <is>
          <t>gen_total_twh</t>
        </is>
      </c>
      <c r="G1003" s="7" t="n">
        <v>0.08</v>
      </c>
      <c r="H1003" s="7" t="n">
        <v>2024</v>
      </c>
      <c r="I1003" s="7" t="inlineStr">
        <is>
          <t>release_generation_yearly_global.csv (Ember)</t>
        </is>
      </c>
    </row>
    <row r="1004">
      <c r="A1004" s="7" t="inlineStr">
        <is>
          <t>GNB</t>
        </is>
      </c>
      <c r="B1004" s="7" t="inlineStr">
        <is>
          <t>Guinea-Bissau</t>
        </is>
      </c>
      <c r="C1004" s="7" t="inlineStr">
        <is>
          <t>Sub-Saharan Africa</t>
        </is>
      </c>
      <c r="D1004" s="7" t="inlineStr">
        <is>
          <t>Low income</t>
        </is>
      </c>
      <c r="E1004" s="7" t="b">
        <v>1</v>
      </c>
      <c r="F1004" s="7" t="inlineStr">
        <is>
          <t>power_market_structure</t>
        </is>
      </c>
      <c r="G1004" s="7" t="n">
        <v>2</v>
      </c>
      <c r="H1004" s="7" t="inlineStr">
        <is>
          <t>2013</t>
        </is>
      </c>
      <c r="I1004" s="7" t="inlineStr">
        <is>
          <t>dataverse_files.zip</t>
        </is>
      </c>
    </row>
    <row r="1005">
      <c r="A1005" s="7" t="inlineStr">
        <is>
          <t>GNB</t>
        </is>
      </c>
      <c r="B1005" s="7" t="inlineStr">
        <is>
          <t>Guinea-Bissau</t>
        </is>
      </c>
      <c r="C1005" s="7" t="inlineStr">
        <is>
          <t>Sub-Saharan Africa</t>
        </is>
      </c>
      <c r="D1005" s="7" t="inlineStr">
        <is>
          <t>Low income</t>
        </is>
      </c>
      <c r="E1005" s="7" t="b">
        <v>1</v>
      </c>
      <c r="F1005" s="7" t="inlineStr">
        <is>
          <t>price_coal_power_usd_gj</t>
        </is>
      </c>
      <c r="G1005" s="7" t="n">
        <v>5.575</v>
      </c>
      <c r="H1005" s="7" t="inlineStr">
        <is>
          <t>2024</t>
        </is>
      </c>
      <c r="I1005" s="7" t="inlineStr">
        <is>
          <t>imffossilfuelsubsidiesdata.xlsb</t>
        </is>
      </c>
    </row>
    <row r="1006">
      <c r="A1006" s="7" t="inlineStr">
        <is>
          <t>GNB</t>
        </is>
      </c>
      <c r="B1006" s="7" t="inlineStr">
        <is>
          <t>Guinea-Bissau</t>
        </is>
      </c>
      <c r="C1006" s="7" t="inlineStr">
        <is>
          <t>Sub-Saharan Africa</t>
        </is>
      </c>
      <c r="D1006" s="7" t="inlineStr">
        <is>
          <t>Low income</t>
        </is>
      </c>
      <c r="E1006" s="7" t="b">
        <v>1</v>
      </c>
      <c r="F1006" s="7" t="inlineStr">
        <is>
          <t>price_electricity_residential_usd_kwh</t>
        </is>
      </c>
      <c r="G1006" s="7" t="n">
        <v>0.418</v>
      </c>
      <c r="H1006" s="7" t="inlineStr">
        <is>
          <t>2024</t>
        </is>
      </c>
      <c r="I1006" s="7" t="inlineStr">
        <is>
          <t>imffossilfuelsubsidiesdata.xlsb</t>
        </is>
      </c>
    </row>
    <row r="1007">
      <c r="A1007" s="7" t="inlineStr">
        <is>
          <t>GNB</t>
        </is>
      </c>
      <c r="B1007" s="7" t="inlineStr">
        <is>
          <t>Guinea-Bissau</t>
        </is>
      </c>
      <c r="C1007" s="7" t="inlineStr">
        <is>
          <t>Sub-Saharan Africa</t>
        </is>
      </c>
      <c r="D1007" s="7" t="inlineStr">
        <is>
          <t>Low income</t>
        </is>
      </c>
      <c r="E1007" s="7" t="b">
        <v>1</v>
      </c>
      <c r="F1007" s="7" t="inlineStr">
        <is>
          <t>price_gas_industry_usd_gj</t>
        </is>
      </c>
      <c r="G1007" s="7" t="n">
        <v>12.815</v>
      </c>
      <c r="H1007" s="7" t="inlineStr">
        <is>
          <t>2024</t>
        </is>
      </c>
      <c r="I1007" s="7" t="inlineStr">
        <is>
          <t>imffossilfuelsubsidiesdata.xlsb</t>
        </is>
      </c>
    </row>
    <row r="1008">
      <c r="A1008" s="7" t="inlineStr">
        <is>
          <t>GNB</t>
        </is>
      </c>
      <c r="B1008" s="7" t="inlineStr">
        <is>
          <t>Guinea-Bissau</t>
        </is>
      </c>
      <c r="C1008" s="7" t="inlineStr">
        <is>
          <t>Sub-Saharan Africa</t>
        </is>
      </c>
      <c r="D1008" s="7" t="inlineStr">
        <is>
          <t>Low income</t>
        </is>
      </c>
      <c r="E1008" s="7" t="b">
        <v>1</v>
      </c>
      <c r="F1008" s="7" t="inlineStr">
        <is>
          <t>price_gas_power_usd_gj</t>
        </is>
      </c>
      <c r="G1008" s="7" t="n">
        <v>11.492</v>
      </c>
      <c r="H1008" s="7" t="inlineStr">
        <is>
          <t>2024</t>
        </is>
      </c>
      <c r="I1008" s="7" t="inlineStr">
        <is>
          <t>imffossilfuelsubsidiesdata.xlsb</t>
        </is>
      </c>
    </row>
    <row r="1009">
      <c r="A1009" s="7" t="inlineStr">
        <is>
          <t>GNQ</t>
        </is>
      </c>
      <c r="B1009" s="7" t="inlineStr">
        <is>
          <t>Equatorial Guinea</t>
        </is>
      </c>
      <c r="C1009" s="7" t="inlineStr">
        <is>
          <t>Sub-Saharan Africa</t>
        </is>
      </c>
      <c r="D1009" s="7" t="inlineStr">
        <is>
          <t>Upper middle income</t>
        </is>
      </c>
      <c r="E1009" s="7" t="b">
        <v>0</v>
      </c>
      <c r="F1009" s="7" t="inlineStr">
        <is>
          <t>coal_rents_pct_gdp</t>
        </is>
      </c>
      <c r="G1009" s="7" t="n">
        <v>0</v>
      </c>
      <c r="H1009" s="7" t="inlineStr">
        <is>
          <t>2021</t>
        </is>
      </c>
      <c r="I1009" s="7" t="inlineStr">
        <is>
          <t>API_NY_GDP_COAL_RT_ZS_DS2_en_csv_v2_35370.zip</t>
        </is>
      </c>
    </row>
    <row r="1010">
      <c r="A1010" s="7" t="inlineStr">
        <is>
          <t>GNQ</t>
        </is>
      </c>
      <c r="B1010" s="7" t="inlineStr">
        <is>
          <t>Equatorial Guinea</t>
        </is>
      </c>
      <c r="C1010" s="7" t="inlineStr">
        <is>
          <t>Sub-Saharan Africa</t>
        </is>
      </c>
      <c r="D1010" s="7" t="inlineStr">
        <is>
          <t>Upper middle income</t>
        </is>
      </c>
      <c r="E1010" s="7" t="b">
        <v>0</v>
      </c>
      <c r="F1010" s="7" t="inlineStr">
        <is>
          <t>em_coal_mt</t>
        </is>
      </c>
      <c r="G1010" s="7" t="n">
        <v>0</v>
      </c>
      <c r="H1010" s="7" t="n">
        <v>2024</v>
      </c>
      <c r="I1010" s="7" t="inlineStr">
        <is>
          <t>release_generation_yearly_global.csv (Ember)</t>
        </is>
      </c>
    </row>
    <row r="1011">
      <c r="A1011" s="7" t="inlineStr">
        <is>
          <t>GNQ</t>
        </is>
      </c>
      <c r="B1011" s="7" t="inlineStr">
        <is>
          <t>Equatorial Guinea</t>
        </is>
      </c>
      <c r="C1011" s="7" t="inlineStr">
        <is>
          <t>Sub-Saharan Africa</t>
        </is>
      </c>
      <c r="D1011" s="7" t="inlineStr">
        <is>
          <t>Upper middle income</t>
        </is>
      </c>
      <c r="E1011" s="7" t="b">
        <v>0</v>
      </c>
      <c r="F1011" s="7" t="inlineStr">
        <is>
          <t>em_gas_mt</t>
        </is>
      </c>
      <c r="G1011" s="7" t="n">
        <v>0.9419999999999999</v>
      </c>
      <c r="H1011" s="7" t="n">
        <v>2024</v>
      </c>
      <c r="I1011" s="7" t="inlineStr">
        <is>
          <t>release_generation_yearly_global.csv (Ember)</t>
        </is>
      </c>
    </row>
    <row r="1012">
      <c r="A1012" s="7" t="inlineStr">
        <is>
          <t>GNQ</t>
        </is>
      </c>
      <c r="B1012" s="7" t="inlineStr">
        <is>
          <t>Equatorial Guinea</t>
        </is>
      </c>
      <c r="C1012" s="7" t="inlineStr">
        <is>
          <t>Sub-Saharan Africa</t>
        </is>
      </c>
      <c r="D1012" s="7" t="inlineStr">
        <is>
          <t>Upper middle income</t>
        </is>
      </c>
      <c r="E1012" s="7" t="b">
        <v>0</v>
      </c>
      <c r="F1012" s="7" t="inlineStr">
        <is>
          <t>em_oil_mt</t>
        </is>
      </c>
      <c r="G1012" s="7" t="n">
        <v>0.007</v>
      </c>
      <c r="H1012" s="7" t="n">
        <v>2024</v>
      </c>
      <c r="I1012" s="7" t="inlineStr">
        <is>
          <t>release_generation_yearly_global.csv (Ember)</t>
        </is>
      </c>
    </row>
    <row r="1013">
      <c r="A1013" s="7" t="inlineStr">
        <is>
          <t>GNQ</t>
        </is>
      </c>
      <c r="B1013" s="7" t="inlineStr">
        <is>
          <t>Equatorial Guinea</t>
        </is>
      </c>
      <c r="C1013" s="7" t="inlineStr">
        <is>
          <t>Sub-Saharan Africa</t>
        </is>
      </c>
      <c r="D1013" s="7" t="inlineStr">
        <is>
          <t>Upper middle income</t>
        </is>
      </c>
      <c r="E1013" s="7" t="b">
        <v>0</v>
      </c>
      <c r="F1013" s="7" t="inlineStr">
        <is>
          <t>ff_subsidy_explicit_pct_gdp</t>
        </is>
      </c>
      <c r="G1013" s="7" t="n">
        <v>0.161</v>
      </c>
      <c r="H1013" s="7" t="inlineStr">
        <is>
          <t>2024</t>
        </is>
      </c>
      <c r="I1013" s="7" t="inlineStr">
        <is>
          <t>imffossilfuelsubsidiesdata.xlsb</t>
        </is>
      </c>
    </row>
    <row r="1014">
      <c r="A1014" s="7" t="inlineStr">
        <is>
          <t>GNQ</t>
        </is>
      </c>
      <c r="B1014" s="7" t="inlineStr">
        <is>
          <t>Equatorial Guinea</t>
        </is>
      </c>
      <c r="C1014" s="7" t="inlineStr">
        <is>
          <t>Sub-Saharan Africa</t>
        </is>
      </c>
      <c r="D1014" s="7" t="inlineStr">
        <is>
          <t>Upper middle income</t>
        </is>
      </c>
      <c r="E1014" s="7" t="b">
        <v>0</v>
      </c>
      <c r="F1014" s="7" t="inlineStr">
        <is>
          <t>fuel_exports_pct_merch</t>
        </is>
      </c>
      <c r="G1014" s="7" t="n">
        <v>1.709</v>
      </c>
      <c r="H1014" s="7" t="inlineStr">
        <is>
          <t>1983</t>
        </is>
      </c>
      <c r="I1014" s="7" t="inlineStr">
        <is>
          <t>API_TX_VAL_FUEL_ZS_UN_DS2_en_csv_v2_33055.zip</t>
        </is>
      </c>
    </row>
    <row r="1015">
      <c r="A1015" s="7" t="inlineStr">
        <is>
          <t>GNQ</t>
        </is>
      </c>
      <c r="B1015" s="7" t="inlineStr">
        <is>
          <t>Equatorial Guinea</t>
        </is>
      </c>
      <c r="C1015" s="7" t="inlineStr">
        <is>
          <t>Sub-Saharan Africa</t>
        </is>
      </c>
      <c r="D1015" s="7" t="inlineStr">
        <is>
          <t>Upper middle income</t>
        </is>
      </c>
      <c r="E1015" s="7" t="b">
        <v>0</v>
      </c>
      <c r="F1015" s="7" t="inlineStr">
        <is>
          <t>gen_coal_twh</t>
        </is>
      </c>
      <c r="G1015" s="7" t="n">
        <v>0</v>
      </c>
      <c r="H1015" s="7" t="n">
        <v>2024</v>
      </c>
      <c r="I1015" s="7" t="inlineStr">
        <is>
          <t>release_generation_yearly_global.csv (Ember)</t>
        </is>
      </c>
    </row>
    <row r="1016">
      <c r="A1016" s="7" t="inlineStr">
        <is>
          <t>GNQ</t>
        </is>
      </c>
      <c r="B1016" s="7" t="inlineStr">
        <is>
          <t>Equatorial Guinea</t>
        </is>
      </c>
      <c r="C1016" s="7" t="inlineStr">
        <is>
          <t>Sub-Saharan Africa</t>
        </is>
      </c>
      <c r="D1016" s="7" t="inlineStr">
        <is>
          <t>Upper middle income</t>
        </is>
      </c>
      <c r="E1016" s="7" t="b">
        <v>0</v>
      </c>
      <c r="F1016" s="7" t="inlineStr">
        <is>
          <t>gen_gas_twh</t>
        </is>
      </c>
      <c r="G1016" s="7" t="n">
        <v>1.08</v>
      </c>
      <c r="H1016" s="7" t="n">
        <v>2024</v>
      </c>
      <c r="I1016" s="7" t="inlineStr">
        <is>
          <t>release_generation_yearly_global.csv (Ember)</t>
        </is>
      </c>
    </row>
    <row r="1017">
      <c r="A1017" s="7" t="inlineStr">
        <is>
          <t>GNQ</t>
        </is>
      </c>
      <c r="B1017" s="7" t="inlineStr">
        <is>
          <t>Equatorial Guinea</t>
        </is>
      </c>
      <c r="C1017" s="7" t="inlineStr">
        <is>
          <t>Sub-Saharan Africa</t>
        </is>
      </c>
      <c r="D1017" s="7" t="inlineStr">
        <is>
          <t>Upper middle income</t>
        </is>
      </c>
      <c r="E1017" s="7" t="b">
        <v>0</v>
      </c>
      <c r="F1017" s="7" t="inlineStr">
        <is>
          <t>gen_oil_twh</t>
        </is>
      </c>
      <c r="G1017" s="7" t="n">
        <v>0.01</v>
      </c>
      <c r="H1017" s="7" t="n">
        <v>2024</v>
      </c>
      <c r="I1017" s="7" t="inlineStr">
        <is>
          <t>release_generation_yearly_global.csv (Ember)</t>
        </is>
      </c>
    </row>
    <row r="1018">
      <c r="A1018" s="7" t="inlineStr">
        <is>
          <t>GNQ</t>
        </is>
      </c>
      <c r="B1018" s="7" t="inlineStr">
        <is>
          <t>Equatorial Guinea</t>
        </is>
      </c>
      <c r="C1018" s="7" t="inlineStr">
        <is>
          <t>Sub-Saharan Africa</t>
        </is>
      </c>
      <c r="D1018" s="7" t="inlineStr">
        <is>
          <t>Upper middle income</t>
        </is>
      </c>
      <c r="E1018" s="7" t="b">
        <v>0</v>
      </c>
      <c r="F1018" s="7" t="inlineStr">
        <is>
          <t>gen_total_twh</t>
        </is>
      </c>
      <c r="G1018" s="7" t="n">
        <v>1.49</v>
      </c>
      <c r="H1018" s="7" t="n">
        <v>2024</v>
      </c>
      <c r="I1018" s="7" t="inlineStr">
        <is>
          <t>release_generation_yearly_global.csv (Ember)</t>
        </is>
      </c>
    </row>
    <row r="1019">
      <c r="A1019" s="7" t="inlineStr">
        <is>
          <t>GNQ</t>
        </is>
      </c>
      <c r="B1019" s="7" t="inlineStr">
        <is>
          <t>Equatorial Guinea</t>
        </is>
      </c>
      <c r="C1019" s="7" t="inlineStr">
        <is>
          <t>Sub-Saharan Africa</t>
        </is>
      </c>
      <c r="D1019" s="7" t="inlineStr">
        <is>
          <t>Upper middle income</t>
        </is>
      </c>
      <c r="E1019" s="7" t="b">
        <v>0</v>
      </c>
      <c r="F1019" s="7" t="inlineStr">
        <is>
          <t>power_market_structure</t>
        </is>
      </c>
      <c r="G1019" s="7" t="n">
        <v>1</v>
      </c>
      <c r="H1019" s="7" t="inlineStr">
        <is>
          <t>2013</t>
        </is>
      </c>
      <c r="I1019" s="7" t="inlineStr">
        <is>
          <t>dataverse_files.zip</t>
        </is>
      </c>
    </row>
    <row r="1020">
      <c r="A1020" s="7" t="inlineStr">
        <is>
          <t>GNQ</t>
        </is>
      </c>
      <c r="B1020" s="7" t="inlineStr">
        <is>
          <t>Equatorial Guinea</t>
        </is>
      </c>
      <c r="C1020" s="7" t="inlineStr">
        <is>
          <t>Sub-Saharan Africa</t>
        </is>
      </c>
      <c r="D1020" s="7" t="inlineStr">
        <is>
          <t>Upper middle income</t>
        </is>
      </c>
      <c r="E1020" s="7" t="b">
        <v>0</v>
      </c>
      <c r="F1020" s="7" t="inlineStr">
        <is>
          <t>price_coal_power_usd_gj</t>
        </is>
      </c>
      <c r="G1020" s="7" t="n">
        <v>5.575</v>
      </c>
      <c r="H1020" s="7" t="inlineStr">
        <is>
          <t>2024</t>
        </is>
      </c>
      <c r="I1020" s="7" t="inlineStr">
        <is>
          <t>imffossilfuelsubsidiesdata.xlsb</t>
        </is>
      </c>
    </row>
    <row r="1021">
      <c r="A1021" s="7" t="inlineStr">
        <is>
          <t>GNQ</t>
        </is>
      </c>
      <c r="B1021" s="7" t="inlineStr">
        <is>
          <t>Equatorial Guinea</t>
        </is>
      </c>
      <c r="C1021" s="7" t="inlineStr">
        <is>
          <t>Sub-Saharan Africa</t>
        </is>
      </c>
      <c r="D1021" s="7" t="inlineStr">
        <is>
          <t>Upper middle income</t>
        </is>
      </c>
      <c r="E1021" s="7" t="b">
        <v>0</v>
      </c>
      <c r="F1021" s="7" t="inlineStr">
        <is>
          <t>price_electricity_residential_usd_kwh</t>
        </is>
      </c>
      <c r="G1021" s="7" t="n">
        <v>0.126</v>
      </c>
      <c r="H1021" s="7" t="inlineStr">
        <is>
          <t>2024</t>
        </is>
      </c>
      <c r="I1021" s="7" t="inlineStr">
        <is>
          <t>imffossilfuelsubsidiesdata.xlsb</t>
        </is>
      </c>
    </row>
    <row r="1022">
      <c r="A1022" s="7" t="inlineStr">
        <is>
          <t>GNQ</t>
        </is>
      </c>
      <c r="B1022" s="7" t="inlineStr">
        <is>
          <t>Equatorial Guinea</t>
        </is>
      </c>
      <c r="C1022" s="7" t="inlineStr">
        <is>
          <t>Sub-Saharan Africa</t>
        </is>
      </c>
      <c r="D1022" s="7" t="inlineStr">
        <is>
          <t>Upper middle income</t>
        </is>
      </c>
      <c r="E1022" s="7" t="b">
        <v>0</v>
      </c>
      <c r="F1022" s="7" t="inlineStr">
        <is>
          <t>price_gas_industry_usd_gj</t>
        </is>
      </c>
      <c r="G1022" s="7" t="n">
        <v>5.397</v>
      </c>
      <c r="H1022" s="7" t="inlineStr">
        <is>
          <t>2024</t>
        </is>
      </c>
      <c r="I1022" s="7" t="inlineStr">
        <is>
          <t>imffossilfuelsubsidiesdata.xlsb</t>
        </is>
      </c>
    </row>
    <row r="1023">
      <c r="A1023" s="7" t="inlineStr">
        <is>
          <t>GNQ</t>
        </is>
      </c>
      <c r="B1023" s="7" t="inlineStr">
        <is>
          <t>Equatorial Guinea</t>
        </is>
      </c>
      <c r="C1023" s="7" t="inlineStr">
        <is>
          <t>Sub-Saharan Africa</t>
        </is>
      </c>
      <c r="D1023" s="7" t="inlineStr">
        <is>
          <t>Upper middle income</t>
        </is>
      </c>
      <c r="E1023" s="7" t="b">
        <v>0</v>
      </c>
      <c r="F1023" s="7" t="inlineStr">
        <is>
          <t>price_gas_power_usd_gj</t>
        </is>
      </c>
      <c r="G1023" s="7" t="n">
        <v>4.735</v>
      </c>
      <c r="H1023" s="7" t="inlineStr">
        <is>
          <t>2024</t>
        </is>
      </c>
      <c r="I1023" s="7" t="inlineStr">
        <is>
          <t>imffossilfuelsubsidiesdata.xlsb</t>
        </is>
      </c>
    </row>
    <row r="1024">
      <c r="A1024" s="7" t="inlineStr">
        <is>
          <t>GRC</t>
        </is>
      </c>
      <c r="B1024" s="7" t="inlineStr">
        <is>
          <t>Greece</t>
        </is>
      </c>
      <c r="C1024" s="7" t="inlineStr">
        <is>
          <t>Europe &amp; Central Asia</t>
        </is>
      </c>
      <c r="D1024" s="7" t="inlineStr">
        <is>
          <t>High income</t>
        </is>
      </c>
      <c r="E1024" s="7" t="b">
        <v>0</v>
      </c>
      <c r="F1024" s="7" t="inlineStr">
        <is>
          <t>coal_rents_pct_gdp</t>
        </is>
      </c>
      <c r="G1024" s="7" t="n">
        <v>0.015</v>
      </c>
      <c r="H1024" s="7" t="inlineStr">
        <is>
          <t>2021</t>
        </is>
      </c>
      <c r="I1024" s="7" t="inlineStr">
        <is>
          <t>API_NY_GDP_COAL_RT_ZS_DS2_en_csv_v2_35370.zip</t>
        </is>
      </c>
    </row>
    <row r="1025">
      <c r="A1025" s="7" t="inlineStr">
        <is>
          <t>GRC</t>
        </is>
      </c>
      <c r="B1025" s="7" t="inlineStr">
        <is>
          <t>Greece</t>
        </is>
      </c>
      <c r="C1025" s="7" t="inlineStr">
        <is>
          <t>Europe &amp; Central Asia</t>
        </is>
      </c>
      <c r="D1025" s="7" t="inlineStr">
        <is>
          <t>High income</t>
        </is>
      </c>
      <c r="E1025" s="7" t="b">
        <v>0</v>
      </c>
      <c r="F1025" s="7" t="inlineStr">
        <is>
          <t>em_coal_mt</t>
        </is>
      </c>
      <c r="G1025" s="7" t="n">
        <v>3.194</v>
      </c>
      <c r="H1025" s="7" t="n">
        <v>2024</v>
      </c>
      <c r="I1025" s="7" t="inlineStr">
        <is>
          <t>release_generation_yearly_global.csv (Ember)</t>
        </is>
      </c>
    </row>
    <row r="1026">
      <c r="A1026" s="7" t="inlineStr">
        <is>
          <t>GRC</t>
        </is>
      </c>
      <c r="B1026" s="7" t="inlineStr">
        <is>
          <t>Greece</t>
        </is>
      </c>
      <c r="C1026" s="7" t="inlineStr">
        <is>
          <t>Europe &amp; Central Asia</t>
        </is>
      </c>
      <c r="D1026" s="7" t="inlineStr">
        <is>
          <t>High income</t>
        </is>
      </c>
      <c r="E1026" s="7" t="b">
        <v>0</v>
      </c>
      <c r="F1026" s="7" t="inlineStr">
        <is>
          <t>em_gas_mt</t>
        </is>
      </c>
      <c r="G1026" s="7" t="n">
        <v>11.497</v>
      </c>
      <c r="H1026" s="7" t="n">
        <v>2024</v>
      </c>
      <c r="I1026" s="7" t="inlineStr">
        <is>
          <t>release_generation_yearly_global.csv (Ember)</t>
        </is>
      </c>
    </row>
    <row r="1027">
      <c r="A1027" s="7" t="inlineStr">
        <is>
          <t>GRC</t>
        </is>
      </c>
      <c r="B1027" s="7" t="inlineStr">
        <is>
          <t>Greece</t>
        </is>
      </c>
      <c r="C1027" s="7" t="inlineStr">
        <is>
          <t>Europe &amp; Central Asia</t>
        </is>
      </c>
      <c r="D1027" s="7" t="inlineStr">
        <is>
          <t>High income</t>
        </is>
      </c>
      <c r="E1027" s="7" t="b">
        <v>0</v>
      </c>
      <c r="F1027" s="7" t="inlineStr">
        <is>
          <t>em_oil_mt</t>
        </is>
      </c>
      <c r="G1027" s="7" t="n">
        <v>2.75</v>
      </c>
      <c r="H1027" s="7" t="n">
        <v>2024</v>
      </c>
      <c r="I1027" s="7" t="inlineStr">
        <is>
          <t>release_generation_yearly_global.csv (Ember)</t>
        </is>
      </c>
    </row>
    <row r="1028">
      <c r="A1028" s="7" t="inlineStr">
        <is>
          <t>GRC</t>
        </is>
      </c>
      <c r="B1028" s="7" t="inlineStr">
        <is>
          <t>Greece</t>
        </is>
      </c>
      <c r="C1028" s="7" t="inlineStr">
        <is>
          <t>Europe &amp; Central Asia</t>
        </is>
      </c>
      <c r="D1028" s="7" t="inlineStr">
        <is>
          <t>High income</t>
        </is>
      </c>
      <c r="E1028" s="7" t="b">
        <v>0</v>
      </c>
      <c r="F1028" s="7" t="inlineStr">
        <is>
          <t>ff_subsidy_explicit_pct_gdp</t>
        </is>
      </c>
      <c r="G1028" s="7" t="n">
        <v>0</v>
      </c>
      <c r="H1028" s="7" t="inlineStr">
        <is>
          <t>2024</t>
        </is>
      </c>
      <c r="I1028" s="7" t="inlineStr">
        <is>
          <t>imffossilfuelsubsidiesdata.xlsb</t>
        </is>
      </c>
    </row>
    <row r="1029">
      <c r="A1029" s="7" t="inlineStr">
        <is>
          <t>GRC</t>
        </is>
      </c>
      <c r="B1029" s="7" t="inlineStr">
        <is>
          <t>Greece</t>
        </is>
      </c>
      <c r="C1029" s="7" t="inlineStr">
        <is>
          <t>Europe &amp; Central Asia</t>
        </is>
      </c>
      <c r="D1029" s="7" t="inlineStr">
        <is>
          <t>High income</t>
        </is>
      </c>
      <c r="E1029" s="7" t="b">
        <v>0</v>
      </c>
      <c r="F1029" s="7" t="inlineStr">
        <is>
          <t>fuel_exports_pct_merch</t>
        </is>
      </c>
      <c r="G1029" s="7" t="n">
        <v>30.248</v>
      </c>
      <c r="H1029" s="7" t="inlineStr">
        <is>
          <t>2024</t>
        </is>
      </c>
      <c r="I1029" s="7" t="inlineStr">
        <is>
          <t>API_TX_VAL_FUEL_ZS_UN_DS2_en_csv_v2_33055.zip</t>
        </is>
      </c>
    </row>
    <row r="1030">
      <c r="A1030" s="7" t="inlineStr">
        <is>
          <t>GRC</t>
        </is>
      </c>
      <c r="B1030" s="7" t="inlineStr">
        <is>
          <t>Greece</t>
        </is>
      </c>
      <c r="C1030" s="7" t="inlineStr">
        <is>
          <t>Europe &amp; Central Asia</t>
        </is>
      </c>
      <c r="D1030" s="7" t="inlineStr">
        <is>
          <t>High income</t>
        </is>
      </c>
      <c r="E1030" s="7" t="b">
        <v>0</v>
      </c>
      <c r="F1030" s="7" t="inlineStr">
        <is>
          <t>gen_coal_twh</t>
        </is>
      </c>
      <c r="G1030" s="7" t="n">
        <v>3.27</v>
      </c>
      <c r="H1030" s="7" t="n">
        <v>2024</v>
      </c>
      <c r="I1030" s="7" t="inlineStr">
        <is>
          <t>release_generation_yearly_global.csv (Ember)</t>
        </is>
      </c>
    </row>
    <row r="1031">
      <c r="A1031" s="7" t="inlineStr">
        <is>
          <t>GRC</t>
        </is>
      </c>
      <c r="B1031" s="7" t="inlineStr">
        <is>
          <t>Greece</t>
        </is>
      </c>
      <c r="C1031" s="7" t="inlineStr">
        <is>
          <t>Europe &amp; Central Asia</t>
        </is>
      </c>
      <c r="D1031" s="7" t="inlineStr">
        <is>
          <t>High income</t>
        </is>
      </c>
      <c r="E1031" s="7" t="b">
        <v>0</v>
      </c>
      <c r="F1031" s="7" t="inlineStr">
        <is>
          <t>gen_gas_twh</t>
        </is>
      </c>
      <c r="G1031" s="7" t="n">
        <v>21.53</v>
      </c>
      <c r="H1031" s="7" t="n">
        <v>2024</v>
      </c>
      <c r="I1031" s="7" t="inlineStr">
        <is>
          <t>release_generation_yearly_global.csv (Ember)</t>
        </is>
      </c>
    </row>
    <row r="1032">
      <c r="A1032" s="7" t="inlineStr">
        <is>
          <t>GRC</t>
        </is>
      </c>
      <c r="B1032" s="7" t="inlineStr">
        <is>
          <t>Greece</t>
        </is>
      </c>
      <c r="C1032" s="7" t="inlineStr">
        <is>
          <t>Europe &amp; Central Asia</t>
        </is>
      </c>
      <c r="D1032" s="7" t="inlineStr">
        <is>
          <t>High income</t>
        </is>
      </c>
      <c r="E1032" s="7" t="b">
        <v>0</v>
      </c>
      <c r="F1032" s="7" t="inlineStr">
        <is>
          <t>gen_oil_twh</t>
        </is>
      </c>
      <c r="G1032" s="7" t="n">
        <v>4.18</v>
      </c>
      <c r="H1032" s="7" t="n">
        <v>2024</v>
      </c>
      <c r="I1032" s="7" t="inlineStr">
        <is>
          <t>release_generation_yearly_global.csv (Ember)</t>
        </is>
      </c>
    </row>
    <row r="1033">
      <c r="A1033" s="7" t="inlineStr">
        <is>
          <t>GRC</t>
        </is>
      </c>
      <c r="B1033" s="7" t="inlineStr">
        <is>
          <t>Greece</t>
        </is>
      </c>
      <c r="C1033" s="7" t="inlineStr">
        <is>
          <t>Europe &amp; Central Asia</t>
        </is>
      </c>
      <c r="D1033" s="7" t="inlineStr">
        <is>
          <t>High income</t>
        </is>
      </c>
      <c r="E1033" s="7" t="b">
        <v>0</v>
      </c>
      <c r="F1033" s="7" t="inlineStr">
        <is>
          <t>gen_total_twh</t>
        </is>
      </c>
      <c r="G1033" s="7" t="n">
        <v>57.08</v>
      </c>
      <c r="H1033" s="7" t="n">
        <v>2024</v>
      </c>
      <c r="I1033" s="7" t="inlineStr">
        <is>
          <t>release_generation_yearly_global.csv (Ember)</t>
        </is>
      </c>
    </row>
    <row r="1034">
      <c r="A1034" s="7" t="inlineStr">
        <is>
          <t>GRC</t>
        </is>
      </c>
      <c r="B1034" s="7" t="inlineStr">
        <is>
          <t>Greece</t>
        </is>
      </c>
      <c r="C1034" s="7" t="inlineStr">
        <is>
          <t>Europe &amp; Central Asia</t>
        </is>
      </c>
      <c r="D1034" s="7" t="inlineStr">
        <is>
          <t>High income</t>
        </is>
      </c>
      <c r="E1034" s="7" t="b">
        <v>0</v>
      </c>
      <c r="F1034" s="7" t="inlineStr">
        <is>
          <t>price_coal_power_usd_gj</t>
        </is>
      </c>
      <c r="G1034" s="7" t="n">
        <v>8.81</v>
      </c>
      <c r="H1034" s="7" t="inlineStr">
        <is>
          <t>2024</t>
        </is>
      </c>
      <c r="I1034" s="7" t="inlineStr">
        <is>
          <t>imffossilfuelsubsidiesdata.xlsb</t>
        </is>
      </c>
    </row>
    <row r="1035">
      <c r="A1035" s="7" t="inlineStr">
        <is>
          <t>GRC</t>
        </is>
      </c>
      <c r="B1035" s="7" t="inlineStr">
        <is>
          <t>Greece</t>
        </is>
      </c>
      <c r="C1035" s="7" t="inlineStr">
        <is>
          <t>Europe &amp; Central Asia</t>
        </is>
      </c>
      <c r="D1035" s="7" t="inlineStr">
        <is>
          <t>High income</t>
        </is>
      </c>
      <c r="E1035" s="7" t="b">
        <v>0</v>
      </c>
      <c r="F1035" s="7" t="inlineStr">
        <is>
          <t>price_electricity_residential_usd_kwh</t>
        </is>
      </c>
      <c r="G1035" s="7" t="n">
        <v>0.245</v>
      </c>
      <c r="H1035" s="7" t="inlineStr">
        <is>
          <t>2024</t>
        </is>
      </c>
      <c r="I1035" s="7" t="inlineStr">
        <is>
          <t>imffossilfuelsubsidiesdata.xlsb</t>
        </is>
      </c>
    </row>
    <row r="1036">
      <c r="A1036" s="7" t="inlineStr">
        <is>
          <t>GRC</t>
        </is>
      </c>
      <c r="B1036" s="7" t="inlineStr">
        <is>
          <t>Greece</t>
        </is>
      </c>
      <c r="C1036" s="7" t="inlineStr">
        <is>
          <t>Europe &amp; Central Asia</t>
        </is>
      </c>
      <c r="D1036" s="7" t="inlineStr">
        <is>
          <t>High income</t>
        </is>
      </c>
      <c r="E1036" s="7" t="b">
        <v>0</v>
      </c>
      <c r="F1036" s="7" t="inlineStr">
        <is>
          <t>price_gas_industry_usd_gj</t>
        </is>
      </c>
      <c r="G1036" s="7" t="n">
        <v>17.278</v>
      </c>
      <c r="H1036" s="7" t="inlineStr">
        <is>
          <t>2024</t>
        </is>
      </c>
      <c r="I1036" s="7" t="inlineStr">
        <is>
          <t>imffossilfuelsubsidiesdata.xlsb</t>
        </is>
      </c>
    </row>
    <row r="1037">
      <c r="A1037" s="7" t="inlineStr">
        <is>
          <t>GRC</t>
        </is>
      </c>
      <c r="B1037" s="7" t="inlineStr">
        <is>
          <t>Greece</t>
        </is>
      </c>
      <c r="C1037" s="7" t="inlineStr">
        <is>
          <t>Europe &amp; Central Asia</t>
        </is>
      </c>
      <c r="D1037" s="7" t="inlineStr">
        <is>
          <t>High income</t>
        </is>
      </c>
      <c r="E1037" s="7" t="b">
        <v>0</v>
      </c>
      <c r="F1037" s="7" t="inlineStr">
        <is>
          <t>price_gas_power_usd_gj</t>
        </is>
      </c>
      <c r="G1037" s="7" t="n">
        <v>17.278</v>
      </c>
      <c r="H1037" s="7" t="inlineStr">
        <is>
          <t>2024</t>
        </is>
      </c>
      <c r="I1037" s="7" t="inlineStr">
        <is>
          <t>imffossilfuelsubsidiesdata.xlsb</t>
        </is>
      </c>
    </row>
    <row r="1038">
      <c r="A1038" s="7" t="inlineStr">
        <is>
          <t>GRC</t>
        </is>
      </c>
      <c r="B1038" s="7" t="inlineStr">
        <is>
          <t>Greece</t>
        </is>
      </c>
      <c r="C1038" s="7" t="inlineStr">
        <is>
          <t>Europe &amp; Central Asia</t>
        </is>
      </c>
      <c r="D1038" s="7" t="inlineStr">
        <is>
          <t>High income</t>
        </is>
      </c>
      <c r="E1038" s="7" t="b">
        <v>0</v>
      </c>
      <c r="F1038" s="7" t="inlineStr">
        <is>
          <t>rise_renewable_energy_score</t>
        </is>
      </c>
      <c r="G1038" s="7" t="n">
        <v>76.667</v>
      </c>
      <c r="H1038" s="7" t="inlineStr">
        <is>
          <t>2023</t>
        </is>
      </c>
      <c r="I1038" s="7" t="inlineStr">
        <is>
          <t>WB_RISE_WIDEF.csv</t>
        </is>
      </c>
    </row>
    <row r="1039">
      <c r="A1039" s="7" t="inlineStr">
        <is>
          <t>GRD</t>
        </is>
      </c>
      <c r="B1039" s="7" t="inlineStr">
        <is>
          <t>Grenada</t>
        </is>
      </c>
      <c r="C1039" s="7" t="inlineStr">
        <is>
          <t>Latin America &amp; Caribbean</t>
        </is>
      </c>
      <c r="D1039" s="7" t="inlineStr">
        <is>
          <t>Upper middle income</t>
        </is>
      </c>
      <c r="E1039" s="7" t="b">
        <v>1</v>
      </c>
      <c r="F1039" s="7" t="inlineStr">
        <is>
          <t>coal_rents_pct_gdp</t>
        </is>
      </c>
      <c r="G1039" s="7" t="n">
        <v>0</v>
      </c>
      <c r="H1039" s="7" t="inlineStr">
        <is>
          <t>2021</t>
        </is>
      </c>
      <c r="I1039" s="7" t="inlineStr">
        <is>
          <t>API_NY_GDP_COAL_RT_ZS_DS2_en_csv_v2_35370.zip</t>
        </is>
      </c>
    </row>
    <row r="1040">
      <c r="A1040" s="7" t="inlineStr">
        <is>
          <t>GRD</t>
        </is>
      </c>
      <c r="B1040" s="7" t="inlineStr">
        <is>
          <t>Grenada</t>
        </is>
      </c>
      <c r="C1040" s="7" t="inlineStr">
        <is>
          <t>Latin America &amp; Caribbean</t>
        </is>
      </c>
      <c r="D1040" s="7" t="inlineStr">
        <is>
          <t>Upper middle income</t>
        </is>
      </c>
      <c r="E1040" s="7" t="b">
        <v>1</v>
      </c>
      <c r="F1040" s="7" t="inlineStr">
        <is>
          <t>em_coal_mt</t>
        </is>
      </c>
      <c r="G1040" s="7" t="n">
        <v>0</v>
      </c>
      <c r="H1040" s="7" t="n">
        <v>2024</v>
      </c>
      <c r="I1040" s="7" t="inlineStr">
        <is>
          <t>release_generation_yearly_global.csv (Ember)</t>
        </is>
      </c>
    </row>
    <row r="1041">
      <c r="A1041" s="7" t="inlineStr">
        <is>
          <t>GRD</t>
        </is>
      </c>
      <c r="B1041" s="7" t="inlineStr">
        <is>
          <t>Grenada</t>
        </is>
      </c>
      <c r="C1041" s="7" t="inlineStr">
        <is>
          <t>Latin America &amp; Caribbean</t>
        </is>
      </c>
      <c r="D1041" s="7" t="inlineStr">
        <is>
          <t>Upper middle income</t>
        </is>
      </c>
      <c r="E1041" s="7" t="b">
        <v>1</v>
      </c>
      <c r="F1041" s="7" t="inlineStr">
        <is>
          <t>em_gas_mt</t>
        </is>
      </c>
      <c r="G1041" s="7" t="n">
        <v>0</v>
      </c>
      <c r="H1041" s="7" t="n">
        <v>2024</v>
      </c>
      <c r="I1041" s="7" t="inlineStr">
        <is>
          <t>release_generation_yearly_global.csv (Ember)</t>
        </is>
      </c>
    </row>
    <row r="1042">
      <c r="A1042" s="7" t="inlineStr">
        <is>
          <t>GRD</t>
        </is>
      </c>
      <c r="B1042" s="7" t="inlineStr">
        <is>
          <t>Grenada</t>
        </is>
      </c>
      <c r="C1042" s="7" t="inlineStr">
        <is>
          <t>Latin America &amp; Caribbean</t>
        </is>
      </c>
      <c r="D1042" s="7" t="inlineStr">
        <is>
          <t>Upper middle income</t>
        </is>
      </c>
      <c r="E1042" s="7" t="b">
        <v>1</v>
      </c>
      <c r="F1042" s="7" t="inlineStr">
        <is>
          <t>em_oil_mt</t>
        </is>
      </c>
      <c r="G1042" s="7" t="n">
        <v>0.158</v>
      </c>
      <c r="H1042" s="7" t="n">
        <v>2024</v>
      </c>
      <c r="I1042" s="7" t="inlineStr">
        <is>
          <t>release_generation_yearly_global.csv (Ember)</t>
        </is>
      </c>
    </row>
    <row r="1043">
      <c r="A1043" s="7" t="inlineStr">
        <is>
          <t>GRD</t>
        </is>
      </c>
      <c r="B1043" s="7" t="inlineStr">
        <is>
          <t>Grenada</t>
        </is>
      </c>
      <c r="C1043" s="7" t="inlineStr">
        <is>
          <t>Latin America &amp; Caribbean</t>
        </is>
      </c>
      <c r="D1043" s="7" t="inlineStr">
        <is>
          <t>Upper middle income</t>
        </is>
      </c>
      <c r="E1043" s="7" t="b">
        <v>1</v>
      </c>
      <c r="F1043" s="7" t="inlineStr">
        <is>
          <t>ff_subsidy_explicit_pct_gdp</t>
        </is>
      </c>
      <c r="G1043" s="7" t="n">
        <v>0.131</v>
      </c>
      <c r="H1043" s="7" t="inlineStr">
        <is>
          <t>2024</t>
        </is>
      </c>
      <c r="I1043" s="7" t="inlineStr">
        <is>
          <t>imffossilfuelsubsidiesdata.xlsb</t>
        </is>
      </c>
    </row>
    <row r="1044">
      <c r="A1044" s="7" t="inlineStr">
        <is>
          <t>GRD</t>
        </is>
      </c>
      <c r="B1044" s="7" t="inlineStr">
        <is>
          <t>Grenada</t>
        </is>
      </c>
      <c r="C1044" s="7" t="inlineStr">
        <is>
          <t>Latin America &amp; Caribbean</t>
        </is>
      </c>
      <c r="D1044" s="7" t="inlineStr">
        <is>
          <t>Upper middle income</t>
        </is>
      </c>
      <c r="E1044" s="7" t="b">
        <v>1</v>
      </c>
      <c r="F1044" s="7" t="inlineStr">
        <is>
          <t>fuel_exports_pct_merch</t>
        </is>
      </c>
      <c r="G1044" s="7" t="n">
        <v>0</v>
      </c>
      <c r="H1044" s="7" t="inlineStr">
        <is>
          <t>2024</t>
        </is>
      </c>
      <c r="I1044" s="7" t="inlineStr">
        <is>
          <t>API_TX_VAL_FUEL_ZS_UN_DS2_en_csv_v2_33055.zip</t>
        </is>
      </c>
    </row>
    <row r="1045">
      <c r="A1045" s="7" t="inlineStr">
        <is>
          <t>GRD</t>
        </is>
      </c>
      <c r="B1045" s="7" t="inlineStr">
        <is>
          <t>Grenada</t>
        </is>
      </c>
      <c r="C1045" s="7" t="inlineStr">
        <is>
          <t>Latin America &amp; Caribbean</t>
        </is>
      </c>
      <c r="D1045" s="7" t="inlineStr">
        <is>
          <t>Upper middle income</t>
        </is>
      </c>
      <c r="E1045" s="7" t="b">
        <v>1</v>
      </c>
      <c r="F1045" s="7" t="inlineStr">
        <is>
          <t>gen_coal_twh</t>
        </is>
      </c>
      <c r="G1045" s="7" t="n">
        <v>0</v>
      </c>
      <c r="H1045" s="7" t="n">
        <v>2024</v>
      </c>
      <c r="I1045" s="7" t="inlineStr">
        <is>
          <t>release_generation_yearly_global.csv (Ember)</t>
        </is>
      </c>
    </row>
    <row r="1046">
      <c r="A1046" s="7" t="inlineStr">
        <is>
          <t>GRD</t>
        </is>
      </c>
      <c r="B1046" s="7" t="inlineStr">
        <is>
          <t>Grenada</t>
        </is>
      </c>
      <c r="C1046" s="7" t="inlineStr">
        <is>
          <t>Latin America &amp; Caribbean</t>
        </is>
      </c>
      <c r="D1046" s="7" t="inlineStr">
        <is>
          <t>Upper middle income</t>
        </is>
      </c>
      <c r="E1046" s="7" t="b">
        <v>1</v>
      </c>
      <c r="F1046" s="7" t="inlineStr">
        <is>
          <t>gen_gas_twh</t>
        </is>
      </c>
      <c r="G1046" s="7" t="n">
        <v>0</v>
      </c>
      <c r="H1046" s="7" t="n">
        <v>2024</v>
      </c>
      <c r="I1046" s="7" t="inlineStr">
        <is>
          <t>release_generation_yearly_global.csv (Ember)</t>
        </is>
      </c>
    </row>
    <row r="1047">
      <c r="A1047" s="7" t="inlineStr">
        <is>
          <t>GRD</t>
        </is>
      </c>
      <c r="B1047" s="7" t="inlineStr">
        <is>
          <t>Grenada</t>
        </is>
      </c>
      <c r="C1047" s="7" t="inlineStr">
        <is>
          <t>Latin America &amp; Caribbean</t>
        </is>
      </c>
      <c r="D1047" s="7" t="inlineStr">
        <is>
          <t>Upper middle income</t>
        </is>
      </c>
      <c r="E1047" s="7" t="b">
        <v>1</v>
      </c>
      <c r="F1047" s="7" t="inlineStr">
        <is>
          <t>gen_oil_twh</t>
        </is>
      </c>
      <c r="G1047" s="7" t="n">
        <v>0.24</v>
      </c>
      <c r="H1047" s="7" t="n">
        <v>2024</v>
      </c>
      <c r="I1047" s="7" t="inlineStr">
        <is>
          <t>release_generation_yearly_global.csv (Ember)</t>
        </is>
      </c>
    </row>
    <row r="1048">
      <c r="A1048" s="7" t="inlineStr">
        <is>
          <t>GRD</t>
        </is>
      </c>
      <c r="B1048" s="7" t="inlineStr">
        <is>
          <t>Grenada</t>
        </is>
      </c>
      <c r="C1048" s="7" t="inlineStr">
        <is>
          <t>Latin America &amp; Caribbean</t>
        </is>
      </c>
      <c r="D1048" s="7" t="inlineStr">
        <is>
          <t>Upper middle income</t>
        </is>
      </c>
      <c r="E1048" s="7" t="b">
        <v>1</v>
      </c>
      <c r="F1048" s="7" t="inlineStr">
        <is>
          <t>gen_total_twh</t>
        </is>
      </c>
      <c r="G1048" s="7" t="n">
        <v>0.24</v>
      </c>
      <c r="H1048" s="7" t="n">
        <v>2024</v>
      </c>
      <c r="I1048" s="7" t="inlineStr">
        <is>
          <t>release_generation_yearly_global.csv (Ember)</t>
        </is>
      </c>
    </row>
    <row r="1049">
      <c r="A1049" s="7" t="inlineStr">
        <is>
          <t>GRD</t>
        </is>
      </c>
      <c r="B1049" s="7" t="inlineStr">
        <is>
          <t>Grenada</t>
        </is>
      </c>
      <c r="C1049" s="7" t="inlineStr">
        <is>
          <t>Latin America &amp; Caribbean</t>
        </is>
      </c>
      <c r="D1049" s="7" t="inlineStr">
        <is>
          <t>Upper middle income</t>
        </is>
      </c>
      <c r="E1049" s="7" t="b">
        <v>1</v>
      </c>
      <c r="F1049" s="7" t="inlineStr">
        <is>
          <t>power_market_structure</t>
        </is>
      </c>
      <c r="G1049" s="7" t="n">
        <v>1</v>
      </c>
      <c r="H1049" s="7" t="inlineStr">
        <is>
          <t>2013</t>
        </is>
      </c>
      <c r="I1049" s="7" t="inlineStr">
        <is>
          <t>dataverse_files.zip</t>
        </is>
      </c>
    </row>
    <row r="1050">
      <c r="A1050" s="7" t="inlineStr">
        <is>
          <t>GRD</t>
        </is>
      </c>
      <c r="B1050" s="7" t="inlineStr">
        <is>
          <t>Grenada</t>
        </is>
      </c>
      <c r="C1050" s="7" t="inlineStr">
        <is>
          <t>Latin America &amp; Caribbean</t>
        </is>
      </c>
      <c r="D1050" s="7" t="inlineStr">
        <is>
          <t>Upper middle income</t>
        </is>
      </c>
      <c r="E1050" s="7" t="b">
        <v>1</v>
      </c>
      <c r="F1050" s="7" t="inlineStr">
        <is>
          <t>price_coal_power_usd_gj</t>
        </is>
      </c>
      <c r="G1050" s="7" t="n">
        <v>5.575</v>
      </c>
      <c r="H1050" s="7" t="inlineStr">
        <is>
          <t>2024</t>
        </is>
      </c>
      <c r="I1050" s="7" t="inlineStr">
        <is>
          <t>imffossilfuelsubsidiesdata.xlsb</t>
        </is>
      </c>
    </row>
    <row r="1051">
      <c r="A1051" s="7" t="inlineStr">
        <is>
          <t>GRD</t>
        </is>
      </c>
      <c r="B1051" s="7" t="inlineStr">
        <is>
          <t>Grenada</t>
        </is>
      </c>
      <c r="C1051" s="7" t="inlineStr">
        <is>
          <t>Latin America &amp; Caribbean</t>
        </is>
      </c>
      <c r="D1051" s="7" t="inlineStr">
        <is>
          <t>Upper middle income</t>
        </is>
      </c>
      <c r="E1051" s="7" t="b">
        <v>1</v>
      </c>
      <c r="F1051" s="7" t="inlineStr">
        <is>
          <t>price_electricity_residential_usd_kwh</t>
        </is>
      </c>
      <c r="G1051" s="7" t="n">
        <v>0.361</v>
      </c>
      <c r="H1051" s="7" t="inlineStr">
        <is>
          <t>2024</t>
        </is>
      </c>
      <c r="I1051" s="7" t="inlineStr">
        <is>
          <t>imffossilfuelsubsidiesdata.xlsb</t>
        </is>
      </c>
    </row>
    <row r="1052">
      <c r="A1052" s="7" t="inlineStr">
        <is>
          <t>GRD</t>
        </is>
      </c>
      <c r="B1052" s="7" t="inlineStr">
        <is>
          <t>Grenada</t>
        </is>
      </c>
      <c r="C1052" s="7" t="inlineStr">
        <is>
          <t>Latin America &amp; Caribbean</t>
        </is>
      </c>
      <c r="D1052" s="7" t="inlineStr">
        <is>
          <t>Upper middle income</t>
        </is>
      </c>
      <c r="E1052" s="7" t="b">
        <v>1</v>
      </c>
      <c r="F1052" s="7" t="inlineStr">
        <is>
          <t>price_gas_industry_usd_gj</t>
        </is>
      </c>
      <c r="G1052" s="7" t="n">
        <v>12.771</v>
      </c>
      <c r="H1052" s="7" t="inlineStr">
        <is>
          <t>2024</t>
        </is>
      </c>
      <c r="I1052" s="7" t="inlineStr">
        <is>
          <t>imffossilfuelsubsidiesdata.xlsb</t>
        </is>
      </c>
    </row>
    <row r="1053">
      <c r="A1053" s="7" t="inlineStr">
        <is>
          <t>GRD</t>
        </is>
      </c>
      <c r="B1053" s="7" t="inlineStr">
        <is>
          <t>Grenada</t>
        </is>
      </c>
      <c r="C1053" s="7" t="inlineStr">
        <is>
          <t>Latin America &amp; Caribbean</t>
        </is>
      </c>
      <c r="D1053" s="7" t="inlineStr">
        <is>
          <t>Upper middle income</t>
        </is>
      </c>
      <c r="E1053" s="7" t="b">
        <v>1</v>
      </c>
      <c r="F1053" s="7" t="inlineStr">
        <is>
          <t>price_gas_power_usd_gj</t>
        </is>
      </c>
      <c r="G1053" s="7" t="n">
        <v>11.447</v>
      </c>
      <c r="H1053" s="7" t="inlineStr">
        <is>
          <t>2024</t>
        </is>
      </c>
      <c r="I1053" s="7" t="inlineStr">
        <is>
          <t>imffossilfuelsubsidiesdata.xlsb</t>
        </is>
      </c>
    </row>
    <row r="1054">
      <c r="A1054" s="7" t="inlineStr">
        <is>
          <t>GRL</t>
        </is>
      </c>
      <c r="B1054" s="7" t="inlineStr">
        <is>
          <t>Greenland</t>
        </is>
      </c>
      <c r="C1054" s="7" t="inlineStr">
        <is>
          <t>Europe &amp; Central Asia</t>
        </is>
      </c>
      <c r="D1054" s="7" t="inlineStr">
        <is>
          <t>High income</t>
        </is>
      </c>
      <c r="E1054" s="7" t="b">
        <v>0</v>
      </c>
      <c r="F1054" s="7" t="inlineStr">
        <is>
          <t>coal_rents_pct_gdp</t>
        </is>
      </c>
      <c r="G1054" s="7" t="n">
        <v>0</v>
      </c>
      <c r="H1054" s="7" t="inlineStr">
        <is>
          <t>2020</t>
        </is>
      </c>
      <c r="I1054" s="7" t="inlineStr">
        <is>
          <t>API_NY_GDP_COAL_RT_ZS_DS2_en_csv_v2_35370.zip</t>
        </is>
      </c>
    </row>
    <row r="1055">
      <c r="A1055" s="7" t="inlineStr">
        <is>
          <t>GRL</t>
        </is>
      </c>
      <c r="B1055" s="7" t="inlineStr">
        <is>
          <t>Greenland</t>
        </is>
      </c>
      <c r="C1055" s="7" t="inlineStr">
        <is>
          <t>Europe &amp; Central Asia</t>
        </is>
      </c>
      <c r="D1055" s="7" t="inlineStr">
        <is>
          <t>High income</t>
        </is>
      </c>
      <c r="E1055" s="7" t="b">
        <v>0</v>
      </c>
      <c r="F1055" s="7" t="inlineStr">
        <is>
          <t>em_coal_mt</t>
        </is>
      </c>
      <c r="G1055" s="7" t="n">
        <v>0</v>
      </c>
      <c r="H1055" s="7" t="n">
        <v>2024</v>
      </c>
      <c r="I1055" s="7" t="inlineStr">
        <is>
          <t>release_generation_yearly_global.csv (Ember)</t>
        </is>
      </c>
    </row>
    <row r="1056">
      <c r="A1056" s="7" t="inlineStr">
        <is>
          <t>GRL</t>
        </is>
      </c>
      <c r="B1056" s="7" t="inlineStr">
        <is>
          <t>Greenland</t>
        </is>
      </c>
      <c r="C1056" s="7" t="inlineStr">
        <is>
          <t>Europe &amp; Central Asia</t>
        </is>
      </c>
      <c r="D1056" s="7" t="inlineStr">
        <is>
          <t>High income</t>
        </is>
      </c>
      <c r="E1056" s="7" t="b">
        <v>0</v>
      </c>
      <c r="F1056" s="7" t="inlineStr">
        <is>
          <t>em_gas_mt</t>
        </is>
      </c>
      <c r="G1056" s="7" t="n">
        <v>0</v>
      </c>
      <c r="H1056" s="7" t="n">
        <v>2024</v>
      </c>
      <c r="I1056" s="7" t="inlineStr">
        <is>
          <t>release_generation_yearly_global.csv (Ember)</t>
        </is>
      </c>
    </row>
    <row r="1057">
      <c r="A1057" s="7" t="inlineStr">
        <is>
          <t>GRL</t>
        </is>
      </c>
      <c r="B1057" s="7" t="inlineStr">
        <is>
          <t>Greenland</t>
        </is>
      </c>
      <c r="C1057" s="7" t="inlineStr">
        <is>
          <t>Europe &amp; Central Asia</t>
        </is>
      </c>
      <c r="D1057" s="7" t="inlineStr">
        <is>
          <t>High income</t>
        </is>
      </c>
      <c r="E1057" s="7" t="b">
        <v>0</v>
      </c>
      <c r="F1057" s="7" t="inlineStr">
        <is>
          <t>em_oil_mt</t>
        </is>
      </c>
      <c r="G1057" s="7" t="n">
        <v>0.066</v>
      </c>
      <c r="H1057" s="7" t="n">
        <v>2024</v>
      </c>
      <c r="I1057" s="7" t="inlineStr">
        <is>
          <t>release_generation_yearly_global.csv (Ember)</t>
        </is>
      </c>
    </row>
    <row r="1058">
      <c r="A1058" s="7" t="inlineStr">
        <is>
          <t>GRL</t>
        </is>
      </c>
      <c r="B1058" s="7" t="inlineStr">
        <is>
          <t>Greenland</t>
        </is>
      </c>
      <c r="C1058" s="7" t="inlineStr">
        <is>
          <t>Europe &amp; Central Asia</t>
        </is>
      </c>
      <c r="D1058" s="7" t="inlineStr">
        <is>
          <t>High income</t>
        </is>
      </c>
      <c r="E1058" s="7" t="b">
        <v>0</v>
      </c>
      <c r="F1058" s="7" t="inlineStr">
        <is>
          <t>fuel_exports_pct_merch</t>
        </is>
      </c>
      <c r="G1058" s="7" t="n">
        <v>0</v>
      </c>
      <c r="H1058" s="7" t="inlineStr">
        <is>
          <t>2018</t>
        </is>
      </c>
      <c r="I1058" s="7" t="inlineStr">
        <is>
          <t>API_TX_VAL_FUEL_ZS_UN_DS2_en_csv_v2_33055.zip</t>
        </is>
      </c>
    </row>
    <row r="1059">
      <c r="A1059" s="7" t="inlineStr">
        <is>
          <t>GRL</t>
        </is>
      </c>
      <c r="B1059" s="7" t="inlineStr">
        <is>
          <t>Greenland</t>
        </is>
      </c>
      <c r="C1059" s="7" t="inlineStr">
        <is>
          <t>Europe &amp; Central Asia</t>
        </is>
      </c>
      <c r="D1059" s="7" t="inlineStr">
        <is>
          <t>High income</t>
        </is>
      </c>
      <c r="E1059" s="7" t="b">
        <v>0</v>
      </c>
      <c r="F1059" s="7" t="inlineStr">
        <is>
          <t>gen_coal_twh</t>
        </is>
      </c>
      <c r="G1059" s="7" t="n">
        <v>0</v>
      </c>
      <c r="H1059" s="7" t="n">
        <v>2024</v>
      </c>
      <c r="I1059" s="7" t="inlineStr">
        <is>
          <t>release_generation_yearly_global.csv (Ember)</t>
        </is>
      </c>
    </row>
    <row r="1060">
      <c r="A1060" s="7" t="inlineStr">
        <is>
          <t>GRL</t>
        </is>
      </c>
      <c r="B1060" s="7" t="inlineStr">
        <is>
          <t>Greenland</t>
        </is>
      </c>
      <c r="C1060" s="7" t="inlineStr">
        <is>
          <t>Europe &amp; Central Asia</t>
        </is>
      </c>
      <c r="D1060" s="7" t="inlineStr">
        <is>
          <t>High income</t>
        </is>
      </c>
      <c r="E1060" s="7" t="b">
        <v>0</v>
      </c>
      <c r="F1060" s="7" t="inlineStr">
        <is>
          <t>gen_gas_twh</t>
        </is>
      </c>
      <c r="G1060" s="7" t="n">
        <v>0</v>
      </c>
      <c r="H1060" s="7" t="n">
        <v>2024</v>
      </c>
      <c r="I1060" s="7" t="inlineStr">
        <is>
          <t>release_generation_yearly_global.csv (Ember)</t>
        </is>
      </c>
    </row>
    <row r="1061">
      <c r="A1061" s="7" t="inlineStr">
        <is>
          <t>GRL</t>
        </is>
      </c>
      <c r="B1061" s="7" t="inlineStr">
        <is>
          <t>Greenland</t>
        </is>
      </c>
      <c r="C1061" s="7" t="inlineStr">
        <is>
          <t>Europe &amp; Central Asia</t>
        </is>
      </c>
      <c r="D1061" s="7" t="inlineStr">
        <is>
          <t>High income</t>
        </is>
      </c>
      <c r="E1061" s="7" t="b">
        <v>0</v>
      </c>
      <c r="F1061" s="7" t="inlineStr">
        <is>
          <t>gen_oil_twh</t>
        </is>
      </c>
      <c r="G1061" s="7" t="n">
        <v>0.1</v>
      </c>
      <c r="H1061" s="7" t="n">
        <v>2024</v>
      </c>
      <c r="I1061" s="7" t="inlineStr">
        <is>
          <t>release_generation_yearly_global.csv (Ember)</t>
        </is>
      </c>
    </row>
    <row r="1062">
      <c r="A1062" s="7" t="inlineStr">
        <is>
          <t>GRL</t>
        </is>
      </c>
      <c r="B1062" s="7" t="inlineStr">
        <is>
          <t>Greenland</t>
        </is>
      </c>
      <c r="C1062" s="7" t="inlineStr">
        <is>
          <t>Europe &amp; Central Asia</t>
        </is>
      </c>
      <c r="D1062" s="7" t="inlineStr">
        <is>
          <t>High income</t>
        </is>
      </c>
      <c r="E1062" s="7" t="b">
        <v>0</v>
      </c>
      <c r="F1062" s="7" t="inlineStr">
        <is>
          <t>gen_total_twh</t>
        </is>
      </c>
      <c r="G1062" s="7" t="n">
        <v>0.6</v>
      </c>
      <c r="H1062" s="7" t="n">
        <v>2024</v>
      </c>
      <c r="I1062" s="7" t="inlineStr">
        <is>
          <t>release_generation_yearly_global.csv (Ember)</t>
        </is>
      </c>
    </row>
    <row r="1063">
      <c r="A1063" s="7" t="inlineStr">
        <is>
          <t>GRL</t>
        </is>
      </c>
      <c r="B1063" s="7" t="inlineStr">
        <is>
          <t>Greenland</t>
        </is>
      </c>
      <c r="C1063" s="7" t="inlineStr">
        <is>
          <t>Europe &amp; Central Asia</t>
        </is>
      </c>
      <c r="D1063" s="7" t="inlineStr">
        <is>
          <t>High income</t>
        </is>
      </c>
      <c r="E1063" s="7" t="b">
        <v>0</v>
      </c>
      <c r="F1063" s="7" t="inlineStr">
        <is>
          <t>power_market_structure</t>
        </is>
      </c>
      <c r="G1063" s="7" t="n">
        <v>1</v>
      </c>
      <c r="H1063" s="7" t="inlineStr">
        <is>
          <t>2013</t>
        </is>
      </c>
      <c r="I1063" s="7" t="inlineStr">
        <is>
          <t>dataverse_files.zip</t>
        </is>
      </c>
    </row>
    <row r="1064">
      <c r="A1064" s="7" t="inlineStr">
        <is>
          <t>GTM</t>
        </is>
      </c>
      <c r="B1064" s="7" t="inlineStr">
        <is>
          <t>Guatemala</t>
        </is>
      </c>
      <c r="C1064" s="7" t="inlineStr">
        <is>
          <t>Latin America &amp; Caribbean</t>
        </is>
      </c>
      <c r="D1064" s="7" t="inlineStr">
        <is>
          <t>Upper middle income</t>
        </is>
      </c>
      <c r="E1064" s="7" t="b">
        <v>0</v>
      </c>
      <c r="F1064" s="7" t="inlineStr">
        <is>
          <t>coal_rents_pct_gdp</t>
        </is>
      </c>
      <c r="G1064" s="7" t="n">
        <v>0</v>
      </c>
      <c r="H1064" s="7" t="inlineStr">
        <is>
          <t>2021</t>
        </is>
      </c>
      <c r="I1064" s="7" t="inlineStr">
        <is>
          <t>API_NY_GDP_COAL_RT_ZS_DS2_en_csv_v2_35370.zip</t>
        </is>
      </c>
    </row>
    <row r="1065">
      <c r="A1065" s="7" t="inlineStr">
        <is>
          <t>GTM</t>
        </is>
      </c>
      <c r="B1065" s="7" t="inlineStr">
        <is>
          <t>Guatemala</t>
        </is>
      </c>
      <c r="C1065" s="7" t="inlineStr">
        <is>
          <t>Latin America &amp; Caribbean</t>
        </is>
      </c>
      <c r="D1065" s="7" t="inlineStr">
        <is>
          <t>Upper middle income</t>
        </is>
      </c>
      <c r="E1065" s="7" t="b">
        <v>0</v>
      </c>
      <c r="F1065" s="7" t="inlineStr">
        <is>
          <t>em_coal_mt</t>
        </is>
      </c>
      <c r="G1065" s="7" t="n">
        <v>2.179</v>
      </c>
      <c r="H1065" s="7" t="n">
        <v>2024</v>
      </c>
      <c r="I1065" s="7" t="inlineStr">
        <is>
          <t>release_generation_yearly_global.csv (Ember)</t>
        </is>
      </c>
    </row>
    <row r="1066">
      <c r="A1066" s="7" t="inlineStr">
        <is>
          <t>GTM</t>
        </is>
      </c>
      <c r="B1066" s="7" t="inlineStr">
        <is>
          <t>Guatemala</t>
        </is>
      </c>
      <c r="C1066" s="7" t="inlineStr">
        <is>
          <t>Latin America &amp; Caribbean</t>
        </is>
      </c>
      <c r="D1066" s="7" t="inlineStr">
        <is>
          <t>Upper middle income</t>
        </is>
      </c>
      <c r="E1066" s="7" t="b">
        <v>0</v>
      </c>
      <c r="F1066" s="7" t="inlineStr">
        <is>
          <t>em_gas_mt</t>
        </is>
      </c>
      <c r="G1066" s="7" t="n">
        <v>0</v>
      </c>
      <c r="H1066" s="7" t="n">
        <v>2024</v>
      </c>
      <c r="I1066" s="7" t="inlineStr">
        <is>
          <t>release_generation_yearly_global.csv (Ember)</t>
        </is>
      </c>
    </row>
    <row r="1067">
      <c r="A1067" s="7" t="inlineStr">
        <is>
          <t>GTM</t>
        </is>
      </c>
      <c r="B1067" s="7" t="inlineStr">
        <is>
          <t>Guatemala</t>
        </is>
      </c>
      <c r="C1067" s="7" t="inlineStr">
        <is>
          <t>Latin America &amp; Caribbean</t>
        </is>
      </c>
      <c r="D1067" s="7" t="inlineStr">
        <is>
          <t>Upper middle income</t>
        </is>
      </c>
      <c r="E1067" s="7" t="b">
        <v>0</v>
      </c>
      <c r="F1067" s="7" t="inlineStr">
        <is>
          <t>em_oil_mt</t>
        </is>
      </c>
      <c r="G1067" s="7" t="n">
        <v>1.645</v>
      </c>
      <c r="H1067" s="7" t="n">
        <v>2024</v>
      </c>
      <c r="I1067" s="7" t="inlineStr">
        <is>
          <t>release_generation_yearly_global.csv (Ember)</t>
        </is>
      </c>
    </row>
    <row r="1068">
      <c r="A1068" s="7" t="inlineStr">
        <is>
          <t>GTM</t>
        </is>
      </c>
      <c r="B1068" s="7" t="inlineStr">
        <is>
          <t>Guatemala</t>
        </is>
      </c>
      <c r="C1068" s="7" t="inlineStr">
        <is>
          <t>Latin America &amp; Caribbean</t>
        </is>
      </c>
      <c r="D1068" s="7" t="inlineStr">
        <is>
          <t>Upper middle income</t>
        </is>
      </c>
      <c r="E1068" s="7" t="b">
        <v>0</v>
      </c>
      <c r="F1068" s="7" t="inlineStr">
        <is>
          <t>ff_subsidy_explicit_pct_gdp</t>
        </is>
      </c>
      <c r="G1068" s="7" t="n">
        <v>0.225</v>
      </c>
      <c r="H1068" s="7" t="inlineStr">
        <is>
          <t>2024</t>
        </is>
      </c>
      <c r="I1068" s="7" t="inlineStr">
        <is>
          <t>imffossilfuelsubsidiesdata.xlsb</t>
        </is>
      </c>
    </row>
    <row r="1069">
      <c r="A1069" s="7" t="inlineStr">
        <is>
          <t>GTM</t>
        </is>
      </c>
      <c r="B1069" s="7" t="inlineStr">
        <is>
          <t>Guatemala</t>
        </is>
      </c>
      <c r="C1069" s="7" t="inlineStr">
        <is>
          <t>Latin America &amp; Caribbean</t>
        </is>
      </c>
      <c r="D1069" s="7" t="inlineStr">
        <is>
          <t>Upper middle income</t>
        </is>
      </c>
      <c r="E1069" s="7" t="b">
        <v>0</v>
      </c>
      <c r="F1069" s="7" t="inlineStr">
        <is>
          <t>fuel_exports_pct_merch</t>
        </is>
      </c>
      <c r="G1069" s="7" t="n">
        <v>2.877</v>
      </c>
      <c r="H1069" s="7" t="inlineStr">
        <is>
          <t>2024</t>
        </is>
      </c>
      <c r="I1069" s="7" t="inlineStr">
        <is>
          <t>API_TX_VAL_FUEL_ZS_UN_DS2_en_csv_v2_33055.zip</t>
        </is>
      </c>
    </row>
    <row r="1070">
      <c r="A1070" s="7" t="inlineStr">
        <is>
          <t>GTM</t>
        </is>
      </c>
      <c r="B1070" s="7" t="inlineStr">
        <is>
          <t>Guatemala</t>
        </is>
      </c>
      <c r="C1070" s="7" t="inlineStr">
        <is>
          <t>Latin America &amp; Caribbean</t>
        </is>
      </c>
      <c r="D1070" s="7" t="inlineStr">
        <is>
          <t>Upper middle income</t>
        </is>
      </c>
      <c r="E1070" s="7" t="b">
        <v>0</v>
      </c>
      <c r="F1070" s="7" t="inlineStr">
        <is>
          <t>gen_coal_twh</t>
        </is>
      </c>
      <c r="G1070" s="7" t="n">
        <v>2.5</v>
      </c>
      <c r="H1070" s="7" t="n">
        <v>2024</v>
      </c>
      <c r="I1070" s="7" t="inlineStr">
        <is>
          <t>release_generation_yearly_global.csv (Ember)</t>
        </is>
      </c>
    </row>
    <row r="1071">
      <c r="A1071" s="7" t="inlineStr">
        <is>
          <t>GTM</t>
        </is>
      </c>
      <c r="B1071" s="7" t="inlineStr">
        <is>
          <t>Guatemala</t>
        </is>
      </c>
      <c r="C1071" s="7" t="inlineStr">
        <is>
          <t>Latin America &amp; Caribbean</t>
        </is>
      </c>
      <c r="D1071" s="7" t="inlineStr">
        <is>
          <t>Upper middle income</t>
        </is>
      </c>
      <c r="E1071" s="7" t="b">
        <v>0</v>
      </c>
      <c r="F1071" s="7" t="inlineStr">
        <is>
          <t>gen_gas_twh</t>
        </is>
      </c>
      <c r="G1071" s="7" t="n">
        <v>0</v>
      </c>
      <c r="H1071" s="7" t="n">
        <v>2024</v>
      </c>
      <c r="I1071" s="7" t="inlineStr">
        <is>
          <t>release_generation_yearly_global.csv (Ember)</t>
        </is>
      </c>
    </row>
    <row r="1072">
      <c r="A1072" s="7" t="inlineStr">
        <is>
          <t>GTM</t>
        </is>
      </c>
      <c r="B1072" s="7" t="inlineStr">
        <is>
          <t>Guatemala</t>
        </is>
      </c>
      <c r="C1072" s="7" t="inlineStr">
        <is>
          <t>Latin America &amp; Caribbean</t>
        </is>
      </c>
      <c r="D1072" s="7" t="inlineStr">
        <is>
          <t>Upper middle income</t>
        </is>
      </c>
      <c r="E1072" s="7" t="b">
        <v>0</v>
      </c>
      <c r="F1072" s="7" t="inlineStr">
        <is>
          <t>gen_oil_twh</t>
        </is>
      </c>
      <c r="G1072" s="7" t="n">
        <v>2.5</v>
      </c>
      <c r="H1072" s="7" t="n">
        <v>2024</v>
      </c>
      <c r="I1072" s="7" t="inlineStr">
        <is>
          <t>release_generation_yearly_global.csv (Ember)</t>
        </is>
      </c>
    </row>
    <row r="1073">
      <c r="A1073" s="7" t="inlineStr">
        <is>
          <t>GTM</t>
        </is>
      </c>
      <c r="B1073" s="7" t="inlineStr">
        <is>
          <t>Guatemala</t>
        </is>
      </c>
      <c r="C1073" s="7" t="inlineStr">
        <is>
          <t>Latin America &amp; Caribbean</t>
        </is>
      </c>
      <c r="D1073" s="7" t="inlineStr">
        <is>
          <t>Upper middle income</t>
        </is>
      </c>
      <c r="E1073" s="7" t="b">
        <v>0</v>
      </c>
      <c r="F1073" s="7" t="inlineStr">
        <is>
          <t>gen_total_twh</t>
        </is>
      </c>
      <c r="G1073" s="7" t="n">
        <v>15.79</v>
      </c>
      <c r="H1073" s="7" t="n">
        <v>2024</v>
      </c>
      <c r="I1073" s="7" t="inlineStr">
        <is>
          <t>release_generation_yearly_global.csv (Ember)</t>
        </is>
      </c>
    </row>
    <row r="1074">
      <c r="A1074" s="7" t="inlineStr">
        <is>
          <t>GTM</t>
        </is>
      </c>
      <c r="B1074" s="7" t="inlineStr">
        <is>
          <t>Guatemala</t>
        </is>
      </c>
      <c r="C1074" s="7" t="inlineStr">
        <is>
          <t>Latin America &amp; Caribbean</t>
        </is>
      </c>
      <c r="D1074" s="7" t="inlineStr">
        <is>
          <t>Upper middle income</t>
        </is>
      </c>
      <c r="E1074" s="7" t="b">
        <v>0</v>
      </c>
      <c r="F1074" s="7" t="inlineStr">
        <is>
          <t>power_market_structure</t>
        </is>
      </c>
      <c r="G1074" s="7" t="n">
        <v>3</v>
      </c>
      <c r="H1074" s="7" t="inlineStr">
        <is>
          <t>2013</t>
        </is>
      </c>
      <c r="I1074" s="7" t="inlineStr">
        <is>
          <t>dataverse_files.zip</t>
        </is>
      </c>
    </row>
    <row r="1075">
      <c r="A1075" s="7" t="inlineStr">
        <is>
          <t>GTM</t>
        </is>
      </c>
      <c r="B1075" s="7" t="inlineStr">
        <is>
          <t>Guatemala</t>
        </is>
      </c>
      <c r="C1075" s="7" t="inlineStr">
        <is>
          <t>Latin America &amp; Caribbean</t>
        </is>
      </c>
      <c r="D1075" s="7" t="inlineStr">
        <is>
          <t>Upper middle income</t>
        </is>
      </c>
      <c r="E1075" s="7" t="b">
        <v>0</v>
      </c>
      <c r="F1075" s="7" t="inlineStr">
        <is>
          <t>price_coal_power_usd_gj</t>
        </is>
      </c>
      <c r="G1075" s="7" t="n">
        <v>5.021</v>
      </c>
      <c r="H1075" s="7" t="inlineStr">
        <is>
          <t>2024</t>
        </is>
      </c>
      <c r="I1075" s="7" t="inlineStr">
        <is>
          <t>imffossilfuelsubsidiesdata.xlsb</t>
        </is>
      </c>
    </row>
    <row r="1076">
      <c r="A1076" s="7" t="inlineStr">
        <is>
          <t>GTM</t>
        </is>
      </c>
      <c r="B1076" s="7" t="inlineStr">
        <is>
          <t>Guatemala</t>
        </is>
      </c>
      <c r="C1076" s="7" t="inlineStr">
        <is>
          <t>Latin America &amp; Caribbean</t>
        </is>
      </c>
      <c r="D1076" s="7" t="inlineStr">
        <is>
          <t>Upper middle income</t>
        </is>
      </c>
      <c r="E1076" s="7" t="b">
        <v>0</v>
      </c>
      <c r="F1076" s="7" t="inlineStr">
        <is>
          <t>price_electricity_residential_usd_kwh</t>
        </is>
      </c>
      <c r="G1076" s="7" t="n">
        <v>0.209</v>
      </c>
      <c r="H1076" s="7" t="inlineStr">
        <is>
          <t>2024</t>
        </is>
      </c>
      <c r="I1076" s="7" t="inlineStr">
        <is>
          <t>imffossilfuelsubsidiesdata.xlsb</t>
        </is>
      </c>
    </row>
    <row r="1077">
      <c r="A1077" s="7" t="inlineStr">
        <is>
          <t>GTM</t>
        </is>
      </c>
      <c r="B1077" s="7" t="inlineStr">
        <is>
          <t>Guatemala</t>
        </is>
      </c>
      <c r="C1077" s="7" t="inlineStr">
        <is>
          <t>Latin America &amp; Caribbean</t>
        </is>
      </c>
      <c r="D1077" s="7" t="inlineStr">
        <is>
          <t>Upper middle income</t>
        </is>
      </c>
      <c r="E1077" s="7" t="b">
        <v>0</v>
      </c>
      <c r="F1077" s="7" t="inlineStr">
        <is>
          <t>price_gas_industry_usd_gj</t>
        </is>
      </c>
      <c r="G1077" s="7" t="n">
        <v>6.853</v>
      </c>
      <c r="H1077" s="7" t="inlineStr">
        <is>
          <t>2024</t>
        </is>
      </c>
      <c r="I1077" s="7" t="inlineStr">
        <is>
          <t>imffossilfuelsubsidiesdata.xlsb</t>
        </is>
      </c>
    </row>
    <row r="1078">
      <c r="A1078" s="7" t="inlineStr">
        <is>
          <t>GTM</t>
        </is>
      </c>
      <c r="B1078" s="7" t="inlineStr">
        <is>
          <t>Guatemala</t>
        </is>
      </c>
      <c r="C1078" s="7" t="inlineStr">
        <is>
          <t>Latin America &amp; Caribbean</t>
        </is>
      </c>
      <c r="D1078" s="7" t="inlineStr">
        <is>
          <t>Upper middle income</t>
        </is>
      </c>
      <c r="E1078" s="7" t="b">
        <v>0</v>
      </c>
      <c r="F1078" s="7" t="inlineStr">
        <is>
          <t>price_gas_power_usd_gj</t>
        </is>
      </c>
      <c r="G1078" s="7" t="n">
        <v>6.191</v>
      </c>
      <c r="H1078" s="7" t="inlineStr">
        <is>
          <t>2024</t>
        </is>
      </c>
      <c r="I1078" s="7" t="inlineStr">
        <is>
          <t>imffossilfuelsubsidiesdata.xlsb</t>
        </is>
      </c>
    </row>
    <row r="1079">
      <c r="A1079" s="7" t="inlineStr">
        <is>
          <t>GTM</t>
        </is>
      </c>
      <c r="B1079" s="7" t="inlineStr">
        <is>
          <t>Guatemala</t>
        </is>
      </c>
      <c r="C1079" s="7" t="inlineStr">
        <is>
          <t>Latin America &amp; Caribbean</t>
        </is>
      </c>
      <c r="D1079" s="7" t="inlineStr">
        <is>
          <t>Upper middle income</t>
        </is>
      </c>
      <c r="E1079" s="7" t="b">
        <v>0</v>
      </c>
      <c r="F1079" s="7" t="inlineStr">
        <is>
          <t>rise_renewable_energy_score</t>
        </is>
      </c>
      <c r="G1079" s="7" t="n">
        <v>22.458</v>
      </c>
      <c r="H1079" s="7" t="inlineStr">
        <is>
          <t>2023</t>
        </is>
      </c>
      <c r="I1079" s="7" t="inlineStr">
        <is>
          <t>WB_RISE_WIDEF.csv</t>
        </is>
      </c>
    </row>
    <row r="1080">
      <c r="A1080" s="7" t="inlineStr">
        <is>
          <t>GUM</t>
        </is>
      </c>
      <c r="B1080" s="7" t="inlineStr">
        <is>
          <t>Guam</t>
        </is>
      </c>
      <c r="C1080" s="7" t="inlineStr">
        <is>
          <t>East Asia &amp; Pacific</t>
        </is>
      </c>
      <c r="D1080" s="7" t="inlineStr">
        <is>
          <t>High income</t>
        </is>
      </c>
      <c r="E1080" s="7" t="b">
        <v>0</v>
      </c>
      <c r="F1080" s="7" t="inlineStr">
        <is>
          <t>coal_rents_pct_gdp</t>
        </is>
      </c>
      <c r="G1080" s="7" t="n">
        <v>0</v>
      </c>
      <c r="H1080" s="7" t="inlineStr">
        <is>
          <t>2021</t>
        </is>
      </c>
      <c r="I1080" s="7" t="inlineStr">
        <is>
          <t>API_NY_GDP_COAL_RT_ZS_DS2_en_csv_v2_35370.zip</t>
        </is>
      </c>
    </row>
    <row r="1081">
      <c r="A1081" s="7" t="inlineStr">
        <is>
          <t>GUM</t>
        </is>
      </c>
      <c r="B1081" s="7" t="inlineStr">
        <is>
          <t>Guam</t>
        </is>
      </c>
      <c r="C1081" s="7" t="inlineStr">
        <is>
          <t>East Asia &amp; Pacific</t>
        </is>
      </c>
      <c r="D1081" s="7" t="inlineStr">
        <is>
          <t>High income</t>
        </is>
      </c>
      <c r="E1081" s="7" t="b">
        <v>0</v>
      </c>
      <c r="F1081" s="7" t="inlineStr">
        <is>
          <t>em_coal_mt</t>
        </is>
      </c>
      <c r="G1081" s="7" t="n">
        <v>0</v>
      </c>
      <c r="H1081" s="7" t="n">
        <v>2024</v>
      </c>
      <c r="I1081" s="7" t="inlineStr">
        <is>
          <t>release_generation_yearly_global.csv (Ember)</t>
        </is>
      </c>
    </row>
    <row r="1082">
      <c r="A1082" s="7" t="inlineStr">
        <is>
          <t>GUM</t>
        </is>
      </c>
      <c r="B1082" s="7" t="inlineStr">
        <is>
          <t>Guam</t>
        </is>
      </c>
      <c r="C1082" s="7" t="inlineStr">
        <is>
          <t>East Asia &amp; Pacific</t>
        </is>
      </c>
      <c r="D1082" s="7" t="inlineStr">
        <is>
          <t>High income</t>
        </is>
      </c>
      <c r="E1082" s="7" t="b">
        <v>0</v>
      </c>
      <c r="F1082" s="7" t="inlineStr">
        <is>
          <t>em_gas_mt</t>
        </is>
      </c>
      <c r="G1082" s="7" t="n">
        <v>0</v>
      </c>
      <c r="H1082" s="7" t="n">
        <v>2024</v>
      </c>
      <c r="I1082" s="7" t="inlineStr">
        <is>
          <t>release_generation_yearly_global.csv (Ember)</t>
        </is>
      </c>
    </row>
    <row r="1083">
      <c r="A1083" s="7" t="inlineStr">
        <is>
          <t>GUM</t>
        </is>
      </c>
      <c r="B1083" s="7" t="inlineStr">
        <is>
          <t>Guam</t>
        </is>
      </c>
      <c r="C1083" s="7" t="inlineStr">
        <is>
          <t>East Asia &amp; Pacific</t>
        </is>
      </c>
      <c r="D1083" s="7" t="inlineStr">
        <is>
          <t>High income</t>
        </is>
      </c>
      <c r="E1083" s="7" t="b">
        <v>0</v>
      </c>
      <c r="F1083" s="7" t="inlineStr">
        <is>
          <t>em_oil_mt</t>
        </is>
      </c>
      <c r="G1083" s="7" t="n">
        <v>1.119</v>
      </c>
      <c r="H1083" s="7" t="n">
        <v>2024</v>
      </c>
      <c r="I1083" s="7" t="inlineStr">
        <is>
          <t>release_generation_yearly_global.csv (Ember)</t>
        </is>
      </c>
    </row>
    <row r="1084">
      <c r="A1084" s="7" t="inlineStr">
        <is>
          <t>GUM</t>
        </is>
      </c>
      <c r="B1084" s="7" t="inlineStr">
        <is>
          <t>Guam</t>
        </is>
      </c>
      <c r="C1084" s="7" t="inlineStr">
        <is>
          <t>East Asia &amp; Pacific</t>
        </is>
      </c>
      <c r="D1084" s="7" t="inlineStr">
        <is>
          <t>High income</t>
        </is>
      </c>
      <c r="E1084" s="7" t="b">
        <v>0</v>
      </c>
      <c r="F1084" s="7" t="inlineStr">
        <is>
          <t>gen_coal_twh</t>
        </is>
      </c>
      <c r="G1084" s="7" t="n">
        <v>0</v>
      </c>
      <c r="H1084" s="7" t="n">
        <v>2024</v>
      </c>
      <c r="I1084" s="7" t="inlineStr">
        <is>
          <t>release_generation_yearly_global.csv (Ember)</t>
        </is>
      </c>
    </row>
    <row r="1085">
      <c r="A1085" s="7" t="inlineStr">
        <is>
          <t>GUM</t>
        </is>
      </c>
      <c r="B1085" s="7" t="inlineStr">
        <is>
          <t>Guam</t>
        </is>
      </c>
      <c r="C1085" s="7" t="inlineStr">
        <is>
          <t>East Asia &amp; Pacific</t>
        </is>
      </c>
      <c r="D1085" s="7" t="inlineStr">
        <is>
          <t>High income</t>
        </is>
      </c>
      <c r="E1085" s="7" t="b">
        <v>0</v>
      </c>
      <c r="F1085" s="7" t="inlineStr">
        <is>
          <t>gen_gas_twh</t>
        </is>
      </c>
      <c r="G1085" s="7" t="n">
        <v>0</v>
      </c>
      <c r="H1085" s="7" t="n">
        <v>2024</v>
      </c>
      <c r="I1085" s="7" t="inlineStr">
        <is>
          <t>release_generation_yearly_global.csv (Ember)</t>
        </is>
      </c>
    </row>
    <row r="1086">
      <c r="A1086" s="7" t="inlineStr">
        <is>
          <t>GUM</t>
        </is>
      </c>
      <c r="B1086" s="7" t="inlineStr">
        <is>
          <t>Guam</t>
        </is>
      </c>
      <c r="C1086" s="7" t="inlineStr">
        <is>
          <t>East Asia &amp; Pacific</t>
        </is>
      </c>
      <c r="D1086" s="7" t="inlineStr">
        <is>
          <t>High income</t>
        </is>
      </c>
      <c r="E1086" s="7" t="b">
        <v>0</v>
      </c>
      <c r="F1086" s="7" t="inlineStr">
        <is>
          <t>gen_oil_twh</t>
        </is>
      </c>
      <c r="G1086" s="7" t="n">
        <v>1.7</v>
      </c>
      <c r="H1086" s="7" t="n">
        <v>2024</v>
      </c>
      <c r="I1086" s="7" t="inlineStr">
        <is>
          <t>release_generation_yearly_global.csv (Ember)</t>
        </is>
      </c>
    </row>
    <row r="1087">
      <c r="A1087" s="7" t="inlineStr">
        <is>
          <t>GUM</t>
        </is>
      </c>
      <c r="B1087" s="7" t="inlineStr">
        <is>
          <t>Guam</t>
        </is>
      </c>
      <c r="C1087" s="7" t="inlineStr">
        <is>
          <t>East Asia &amp; Pacific</t>
        </is>
      </c>
      <c r="D1087" s="7" t="inlineStr">
        <is>
          <t>High income</t>
        </is>
      </c>
      <c r="E1087" s="7" t="b">
        <v>0</v>
      </c>
      <c r="F1087" s="7" t="inlineStr">
        <is>
          <t>gen_total_twh</t>
        </is>
      </c>
      <c r="G1087" s="7" t="n">
        <v>1.86</v>
      </c>
      <c r="H1087" s="7" t="n">
        <v>2024</v>
      </c>
      <c r="I1087" s="7" t="inlineStr">
        <is>
          <t>release_generation_yearly_global.csv (Ember)</t>
        </is>
      </c>
    </row>
    <row r="1088">
      <c r="A1088" s="7" t="inlineStr">
        <is>
          <t>GUY</t>
        </is>
      </c>
      <c r="B1088" s="7" t="inlineStr">
        <is>
          <t>Guyana</t>
        </is>
      </c>
      <c r="C1088" s="7" t="inlineStr">
        <is>
          <t>Latin America &amp; Caribbean</t>
        </is>
      </c>
      <c r="D1088" s="7" t="inlineStr">
        <is>
          <t>High income</t>
        </is>
      </c>
      <c r="E1088" s="7" t="b">
        <v>0</v>
      </c>
      <c r="F1088" s="7" t="inlineStr">
        <is>
          <t>coal_rents_pct_gdp</t>
        </is>
      </c>
      <c r="G1088" s="7" t="n">
        <v>0</v>
      </c>
      <c r="H1088" s="7" t="inlineStr">
        <is>
          <t>2021</t>
        </is>
      </c>
      <c r="I1088" s="7" t="inlineStr">
        <is>
          <t>API_NY_GDP_COAL_RT_ZS_DS2_en_csv_v2_35370.zip</t>
        </is>
      </c>
    </row>
    <row r="1089">
      <c r="A1089" s="7" t="inlineStr">
        <is>
          <t>GUY</t>
        </is>
      </c>
      <c r="B1089" s="7" t="inlineStr">
        <is>
          <t>Guyana</t>
        </is>
      </c>
      <c r="C1089" s="7" t="inlineStr">
        <is>
          <t>Latin America &amp; Caribbean</t>
        </is>
      </c>
      <c r="D1089" s="7" t="inlineStr">
        <is>
          <t>High income</t>
        </is>
      </c>
      <c r="E1089" s="7" t="b">
        <v>0</v>
      </c>
      <c r="F1089" s="7" t="inlineStr">
        <is>
          <t>em_coal_mt</t>
        </is>
      </c>
      <c r="G1089" s="7" t="n">
        <v>0</v>
      </c>
      <c r="H1089" s="7" t="n">
        <v>2024</v>
      </c>
      <c r="I1089" s="7" t="inlineStr">
        <is>
          <t>release_generation_yearly_global.csv (Ember)</t>
        </is>
      </c>
    </row>
    <row r="1090">
      <c r="A1090" s="7" t="inlineStr">
        <is>
          <t>GUY</t>
        </is>
      </c>
      <c r="B1090" s="7" t="inlineStr">
        <is>
          <t>Guyana</t>
        </is>
      </c>
      <c r="C1090" s="7" t="inlineStr">
        <is>
          <t>Latin America &amp; Caribbean</t>
        </is>
      </c>
      <c r="D1090" s="7" t="inlineStr">
        <is>
          <t>High income</t>
        </is>
      </c>
      <c r="E1090" s="7" t="b">
        <v>0</v>
      </c>
      <c r="F1090" s="7" t="inlineStr">
        <is>
          <t>em_gas_mt</t>
        </is>
      </c>
      <c r="G1090" s="7" t="n">
        <v>0.006</v>
      </c>
      <c r="H1090" s="7" t="n">
        <v>2024</v>
      </c>
      <c r="I1090" s="7" t="inlineStr">
        <is>
          <t>release_generation_yearly_global.csv (Ember)</t>
        </is>
      </c>
    </row>
    <row r="1091">
      <c r="A1091" s="7" t="inlineStr">
        <is>
          <t>GUY</t>
        </is>
      </c>
      <c r="B1091" s="7" t="inlineStr">
        <is>
          <t>Guyana</t>
        </is>
      </c>
      <c r="C1091" s="7" t="inlineStr">
        <is>
          <t>Latin America &amp; Caribbean</t>
        </is>
      </c>
      <c r="D1091" s="7" t="inlineStr">
        <is>
          <t>High income</t>
        </is>
      </c>
      <c r="E1091" s="7" t="b">
        <v>0</v>
      </c>
      <c r="F1091" s="7" t="inlineStr">
        <is>
          <t>em_oil_mt</t>
        </is>
      </c>
      <c r="G1091" s="7" t="n">
        <v>0.875</v>
      </c>
      <c r="H1091" s="7" t="n">
        <v>2024</v>
      </c>
      <c r="I1091" s="7" t="inlineStr">
        <is>
          <t>release_generation_yearly_global.csv (Ember)</t>
        </is>
      </c>
    </row>
    <row r="1092">
      <c r="A1092" s="7" t="inlineStr">
        <is>
          <t>GUY</t>
        </is>
      </c>
      <c r="B1092" s="7" t="inlineStr">
        <is>
          <t>Guyana</t>
        </is>
      </c>
      <c r="C1092" s="7" t="inlineStr">
        <is>
          <t>Latin America &amp; Caribbean</t>
        </is>
      </c>
      <c r="D1092" s="7" t="inlineStr">
        <is>
          <t>High income</t>
        </is>
      </c>
      <c r="E1092" s="7" t="b">
        <v>0</v>
      </c>
      <c r="F1092" s="7" t="inlineStr">
        <is>
          <t>ff_subsidy_explicit_pct_gdp</t>
        </is>
      </c>
      <c r="G1092" s="7" t="n">
        <v>0.179</v>
      </c>
      <c r="H1092" s="7" t="inlineStr">
        <is>
          <t>2024</t>
        </is>
      </c>
      <c r="I1092" s="7" t="inlineStr">
        <is>
          <t>imffossilfuelsubsidiesdata.xlsb</t>
        </is>
      </c>
    </row>
    <row r="1093">
      <c r="A1093" s="7" t="inlineStr">
        <is>
          <t>GUY</t>
        </is>
      </c>
      <c r="B1093" s="7" t="inlineStr">
        <is>
          <t>Guyana</t>
        </is>
      </c>
      <c r="C1093" s="7" t="inlineStr">
        <is>
          <t>Latin America &amp; Caribbean</t>
        </is>
      </c>
      <c r="D1093" s="7" t="inlineStr">
        <is>
          <t>High income</t>
        </is>
      </c>
      <c r="E1093" s="7" t="b">
        <v>0</v>
      </c>
      <c r="F1093" s="7" t="inlineStr">
        <is>
          <t>fuel_exports_pct_merch</t>
        </is>
      </c>
      <c r="G1093" s="7" t="n">
        <v>75.889</v>
      </c>
      <c r="H1093" s="7" t="inlineStr">
        <is>
          <t>2025</t>
        </is>
      </c>
      <c r="I1093" s="7" t="inlineStr">
        <is>
          <t>API_TX_VAL_FUEL_ZS_UN_DS2_en_csv_v2_33055.zip</t>
        </is>
      </c>
    </row>
    <row r="1094">
      <c r="A1094" s="7" t="inlineStr">
        <is>
          <t>GUY</t>
        </is>
      </c>
      <c r="B1094" s="7" t="inlineStr">
        <is>
          <t>Guyana</t>
        </is>
      </c>
      <c r="C1094" s="7" t="inlineStr">
        <is>
          <t>Latin America &amp; Caribbean</t>
        </is>
      </c>
      <c r="D1094" s="7" t="inlineStr">
        <is>
          <t>High income</t>
        </is>
      </c>
      <c r="E1094" s="7" t="b">
        <v>0</v>
      </c>
      <c r="F1094" s="7" t="inlineStr">
        <is>
          <t>gen_coal_twh</t>
        </is>
      </c>
      <c r="G1094" s="7" t="n">
        <v>0</v>
      </c>
      <c r="H1094" s="7" t="n">
        <v>2024</v>
      </c>
      <c r="I1094" s="7" t="inlineStr">
        <is>
          <t>release_generation_yearly_global.csv (Ember)</t>
        </is>
      </c>
    </row>
    <row r="1095">
      <c r="A1095" s="7" t="inlineStr">
        <is>
          <t>GUY</t>
        </is>
      </c>
      <c r="B1095" s="7" t="inlineStr">
        <is>
          <t>Guyana</t>
        </is>
      </c>
      <c r="C1095" s="7" t="inlineStr">
        <is>
          <t>Latin America &amp; Caribbean</t>
        </is>
      </c>
      <c r="D1095" s="7" t="inlineStr">
        <is>
          <t>High income</t>
        </is>
      </c>
      <c r="E1095" s="7" t="b">
        <v>0</v>
      </c>
      <c r="F1095" s="7" t="inlineStr">
        <is>
          <t>gen_gas_twh</t>
        </is>
      </c>
      <c r="G1095" s="7" t="n">
        <v>0.01</v>
      </c>
      <c r="H1095" s="7" t="n">
        <v>2024</v>
      </c>
      <c r="I1095" s="7" t="inlineStr">
        <is>
          <t>release_generation_yearly_global.csv (Ember)</t>
        </is>
      </c>
    </row>
    <row r="1096">
      <c r="A1096" s="7" t="inlineStr">
        <is>
          <t>GUY</t>
        </is>
      </c>
      <c r="B1096" s="7" t="inlineStr">
        <is>
          <t>Guyana</t>
        </is>
      </c>
      <c r="C1096" s="7" t="inlineStr">
        <is>
          <t>Latin America &amp; Caribbean</t>
        </is>
      </c>
      <c r="D1096" s="7" t="inlineStr">
        <is>
          <t>High income</t>
        </is>
      </c>
      <c r="E1096" s="7" t="b">
        <v>0</v>
      </c>
      <c r="F1096" s="7" t="inlineStr">
        <is>
          <t>gen_oil_twh</t>
        </is>
      </c>
      <c r="G1096" s="7" t="n">
        <v>1.33</v>
      </c>
      <c r="H1096" s="7" t="n">
        <v>2024</v>
      </c>
      <c r="I1096" s="7" t="inlineStr">
        <is>
          <t>release_generation_yearly_global.csv (Ember)</t>
        </is>
      </c>
    </row>
    <row r="1097">
      <c r="A1097" s="7" t="inlineStr">
        <is>
          <t>GUY</t>
        </is>
      </c>
      <c r="B1097" s="7" t="inlineStr">
        <is>
          <t>Guyana</t>
        </is>
      </c>
      <c r="C1097" s="7" t="inlineStr">
        <is>
          <t>Latin America &amp; Caribbean</t>
        </is>
      </c>
      <c r="D1097" s="7" t="inlineStr">
        <is>
          <t>High income</t>
        </is>
      </c>
      <c r="E1097" s="7" t="b">
        <v>0</v>
      </c>
      <c r="F1097" s="7" t="inlineStr">
        <is>
          <t>gen_total_twh</t>
        </is>
      </c>
      <c r="G1097" s="7" t="n">
        <v>1.38</v>
      </c>
      <c r="H1097" s="7" t="n">
        <v>2024</v>
      </c>
      <c r="I1097" s="7" t="inlineStr">
        <is>
          <t>release_generation_yearly_global.csv (Ember)</t>
        </is>
      </c>
    </row>
    <row r="1098">
      <c r="A1098" s="7" t="inlineStr">
        <is>
          <t>GUY</t>
        </is>
      </c>
      <c r="B1098" s="7" t="inlineStr">
        <is>
          <t>Guyana</t>
        </is>
      </c>
      <c r="C1098" s="7" t="inlineStr">
        <is>
          <t>Latin America &amp; Caribbean</t>
        </is>
      </c>
      <c r="D1098" s="7" t="inlineStr">
        <is>
          <t>High income</t>
        </is>
      </c>
      <c r="E1098" s="7" t="b">
        <v>0</v>
      </c>
      <c r="F1098" s="7" t="inlineStr">
        <is>
          <t>power_market_structure</t>
        </is>
      </c>
      <c r="G1098" s="7" t="n">
        <v>2</v>
      </c>
      <c r="H1098" s="7" t="inlineStr">
        <is>
          <t>2013</t>
        </is>
      </c>
      <c r="I1098" s="7" t="inlineStr">
        <is>
          <t>dataverse_files.zip</t>
        </is>
      </c>
    </row>
    <row r="1099">
      <c r="A1099" s="7" t="inlineStr">
        <is>
          <t>GUY</t>
        </is>
      </c>
      <c r="B1099" s="7" t="inlineStr">
        <is>
          <t>Guyana</t>
        </is>
      </c>
      <c r="C1099" s="7" t="inlineStr">
        <is>
          <t>Latin America &amp; Caribbean</t>
        </is>
      </c>
      <c r="D1099" s="7" t="inlineStr">
        <is>
          <t>High income</t>
        </is>
      </c>
      <c r="E1099" s="7" t="b">
        <v>0</v>
      </c>
      <c r="F1099" s="7" t="inlineStr">
        <is>
          <t>price_coal_power_usd_gj</t>
        </is>
      </c>
      <c r="G1099" s="7" t="n">
        <v>5.575</v>
      </c>
      <c r="H1099" s="7" t="inlineStr">
        <is>
          <t>2024</t>
        </is>
      </c>
      <c r="I1099" s="7" t="inlineStr">
        <is>
          <t>imffossilfuelsubsidiesdata.xlsb</t>
        </is>
      </c>
    </row>
    <row r="1100">
      <c r="A1100" s="7" t="inlineStr">
        <is>
          <t>GUY</t>
        </is>
      </c>
      <c r="B1100" s="7" t="inlineStr">
        <is>
          <t>Guyana</t>
        </is>
      </c>
      <c r="C1100" s="7" t="inlineStr">
        <is>
          <t>Latin America &amp; Caribbean</t>
        </is>
      </c>
      <c r="D1100" s="7" t="inlineStr">
        <is>
          <t>High income</t>
        </is>
      </c>
      <c r="E1100" s="7" t="b">
        <v>0</v>
      </c>
      <c r="F1100" s="7" t="inlineStr">
        <is>
          <t>price_electricity_residential_usd_kwh</t>
        </is>
      </c>
      <c r="G1100" s="7" t="n">
        <v>0.357</v>
      </c>
      <c r="H1100" s="7" t="inlineStr">
        <is>
          <t>2024</t>
        </is>
      </c>
      <c r="I1100" s="7" t="inlineStr">
        <is>
          <t>imffossilfuelsubsidiesdata.xlsb</t>
        </is>
      </c>
    </row>
    <row r="1101">
      <c r="A1101" s="7" t="inlineStr">
        <is>
          <t>GUY</t>
        </is>
      </c>
      <c r="B1101" s="7" t="inlineStr">
        <is>
          <t>Guyana</t>
        </is>
      </c>
      <c r="C1101" s="7" t="inlineStr">
        <is>
          <t>Latin America &amp; Caribbean</t>
        </is>
      </c>
      <c r="D1101" s="7" t="inlineStr">
        <is>
          <t>High income</t>
        </is>
      </c>
      <c r="E1101" s="7" t="b">
        <v>0</v>
      </c>
      <c r="F1101" s="7" t="inlineStr">
        <is>
          <t>price_gas_industry_usd_gj</t>
        </is>
      </c>
      <c r="G1101" s="7" t="n">
        <v>12.667</v>
      </c>
      <c r="H1101" s="7" t="inlineStr">
        <is>
          <t>2024</t>
        </is>
      </c>
      <c r="I1101" s="7" t="inlineStr">
        <is>
          <t>imffossilfuelsubsidiesdata.xlsb</t>
        </is>
      </c>
    </row>
    <row r="1102">
      <c r="A1102" s="7" t="inlineStr">
        <is>
          <t>GUY</t>
        </is>
      </c>
      <c r="B1102" s="7" t="inlineStr">
        <is>
          <t>Guyana</t>
        </is>
      </c>
      <c r="C1102" s="7" t="inlineStr">
        <is>
          <t>Latin America &amp; Caribbean</t>
        </is>
      </c>
      <c r="D1102" s="7" t="inlineStr">
        <is>
          <t>High income</t>
        </is>
      </c>
      <c r="E1102" s="7" t="b">
        <v>0</v>
      </c>
      <c r="F1102" s="7" t="inlineStr">
        <is>
          <t>price_gas_power_usd_gj</t>
        </is>
      </c>
      <c r="G1102" s="7" t="n">
        <v>11.344</v>
      </c>
      <c r="H1102" s="7" t="inlineStr">
        <is>
          <t>2024</t>
        </is>
      </c>
      <c r="I1102" s="7" t="inlineStr">
        <is>
          <t>imffossilfuelsubsidiesdata.xlsb</t>
        </is>
      </c>
    </row>
    <row r="1103">
      <c r="A1103" s="7" t="inlineStr">
        <is>
          <t>HKG</t>
        </is>
      </c>
      <c r="B1103" s="7" t="inlineStr">
        <is>
          <t>Hong Kong SAR, China</t>
        </is>
      </c>
      <c r="C1103" s="7" t="inlineStr">
        <is>
          <t>East Asia &amp; Pacific</t>
        </is>
      </c>
      <c r="D1103" s="7" t="inlineStr">
        <is>
          <t>High income</t>
        </is>
      </c>
      <c r="E1103" s="7" t="b">
        <v>0</v>
      </c>
      <c r="F1103" s="7" t="inlineStr">
        <is>
          <t>coal_rents_pct_gdp</t>
        </is>
      </c>
      <c r="G1103" s="7" t="n">
        <v>0</v>
      </c>
      <c r="H1103" s="7" t="inlineStr">
        <is>
          <t>2021</t>
        </is>
      </c>
      <c r="I1103" s="7" t="inlineStr">
        <is>
          <t>API_NY_GDP_COAL_RT_ZS_DS2_en_csv_v2_35370.zip</t>
        </is>
      </c>
    </row>
    <row r="1104">
      <c r="A1104" s="7" t="inlineStr">
        <is>
          <t>HKG</t>
        </is>
      </c>
      <c r="B1104" s="7" t="inlineStr">
        <is>
          <t>Hong Kong SAR, China</t>
        </is>
      </c>
      <c r="C1104" s="7" t="inlineStr">
        <is>
          <t>East Asia &amp; Pacific</t>
        </is>
      </c>
      <c r="D1104" s="7" t="inlineStr">
        <is>
          <t>High income</t>
        </is>
      </c>
      <c r="E1104" s="7" t="b">
        <v>0</v>
      </c>
      <c r="F1104" s="7" t="inlineStr">
        <is>
          <t>em_coal_mt</t>
        </is>
      </c>
      <c r="G1104" s="7" t="n">
        <v>12.095</v>
      </c>
      <c r="H1104" s="7" t="n">
        <v>2024</v>
      </c>
      <c r="I1104" s="7" t="inlineStr">
        <is>
          <t>release_generation_yearly_global.csv (Ember)</t>
        </is>
      </c>
    </row>
    <row r="1105">
      <c r="A1105" s="7" t="inlineStr">
        <is>
          <t>HKG</t>
        </is>
      </c>
      <c r="B1105" s="7" t="inlineStr">
        <is>
          <t>Hong Kong SAR, China</t>
        </is>
      </c>
      <c r="C1105" s="7" t="inlineStr">
        <is>
          <t>East Asia &amp; Pacific</t>
        </is>
      </c>
      <c r="D1105" s="7" t="inlineStr">
        <is>
          <t>High income</t>
        </is>
      </c>
      <c r="E1105" s="7" t="b">
        <v>0</v>
      </c>
      <c r="F1105" s="7" t="inlineStr">
        <is>
          <t>em_gas_mt</t>
        </is>
      </c>
      <c r="G1105" s="7" t="n">
        <v>12.857</v>
      </c>
      <c r="H1105" s="7" t="n">
        <v>2024</v>
      </c>
      <c r="I1105" s="7" t="inlineStr">
        <is>
          <t>release_generation_yearly_global.csv (Ember)</t>
        </is>
      </c>
    </row>
    <row r="1106">
      <c r="A1106" s="7" t="inlineStr">
        <is>
          <t>HKG</t>
        </is>
      </c>
      <c r="B1106" s="7" t="inlineStr">
        <is>
          <t>Hong Kong SAR, China</t>
        </is>
      </c>
      <c r="C1106" s="7" t="inlineStr">
        <is>
          <t>East Asia &amp; Pacific</t>
        </is>
      </c>
      <c r="D1106" s="7" t="inlineStr">
        <is>
          <t>High income</t>
        </is>
      </c>
      <c r="E1106" s="7" t="b">
        <v>0</v>
      </c>
      <c r="F1106" s="7" t="inlineStr">
        <is>
          <t>em_oil_mt</t>
        </is>
      </c>
      <c r="G1106" s="7" t="n">
        <v>0.296</v>
      </c>
      <c r="H1106" s="7" t="n">
        <v>2024</v>
      </c>
      <c r="I1106" s="7" t="inlineStr">
        <is>
          <t>release_generation_yearly_global.csv (Ember)</t>
        </is>
      </c>
    </row>
    <row r="1107">
      <c r="A1107" s="7" t="inlineStr">
        <is>
          <t>HKG</t>
        </is>
      </c>
      <c r="B1107" s="7" t="inlineStr">
        <is>
          <t>Hong Kong SAR, China</t>
        </is>
      </c>
      <c r="C1107" s="7" t="inlineStr">
        <is>
          <t>East Asia &amp; Pacific</t>
        </is>
      </c>
      <c r="D1107" s="7" t="inlineStr">
        <is>
          <t>High income</t>
        </is>
      </c>
      <c r="E1107" s="7" t="b">
        <v>0</v>
      </c>
      <c r="F1107" s="7" t="inlineStr">
        <is>
          <t>ff_subsidy_explicit_pct_gdp</t>
        </is>
      </c>
      <c r="G1107" s="7" t="n">
        <v>0.024</v>
      </c>
      <c r="H1107" s="7" t="inlineStr">
        <is>
          <t>2024</t>
        </is>
      </c>
      <c r="I1107" s="7" t="inlineStr">
        <is>
          <t>imffossilfuelsubsidiesdata.xlsb</t>
        </is>
      </c>
    </row>
    <row r="1108">
      <c r="A1108" s="7" t="inlineStr">
        <is>
          <t>HKG</t>
        </is>
      </c>
      <c r="B1108" s="7" t="inlineStr">
        <is>
          <t>Hong Kong SAR, China</t>
        </is>
      </c>
      <c r="C1108" s="7" t="inlineStr">
        <is>
          <t>East Asia &amp; Pacific</t>
        </is>
      </c>
      <c r="D1108" s="7" t="inlineStr">
        <is>
          <t>High income</t>
        </is>
      </c>
      <c r="E1108" s="7" t="b">
        <v>0</v>
      </c>
      <c r="F1108" s="7" t="inlineStr">
        <is>
          <t>fuel_exports_pct_merch</t>
        </is>
      </c>
      <c r="G1108" s="7" t="n">
        <v>0.112</v>
      </c>
      <c r="H1108" s="7" t="inlineStr">
        <is>
          <t>2024</t>
        </is>
      </c>
      <c r="I1108" s="7" t="inlineStr">
        <is>
          <t>API_TX_VAL_FUEL_ZS_UN_DS2_en_csv_v2_33055.zip</t>
        </is>
      </c>
    </row>
    <row r="1109">
      <c r="A1109" s="7" t="inlineStr">
        <is>
          <t>HKG</t>
        </is>
      </c>
      <c r="B1109" s="7" t="inlineStr">
        <is>
          <t>Hong Kong SAR, China</t>
        </is>
      </c>
      <c r="C1109" s="7" t="inlineStr">
        <is>
          <t>East Asia &amp; Pacific</t>
        </is>
      </c>
      <c r="D1109" s="7" t="inlineStr">
        <is>
          <t>High income</t>
        </is>
      </c>
      <c r="E1109" s="7" t="b">
        <v>0</v>
      </c>
      <c r="F1109" s="7" t="inlineStr">
        <is>
          <t>gen_coal_twh</t>
        </is>
      </c>
      <c r="G1109" s="7" t="n">
        <v>12.6</v>
      </c>
      <c r="H1109" s="7" t="n">
        <v>2024</v>
      </c>
      <c r="I1109" s="7" t="inlineStr">
        <is>
          <t>release_generation_yearly_global.csv (Ember)</t>
        </is>
      </c>
    </row>
    <row r="1110">
      <c r="A1110" s="7" t="inlineStr">
        <is>
          <t>HKG</t>
        </is>
      </c>
      <c r="B1110" s="7" t="inlineStr">
        <is>
          <t>Hong Kong SAR, China</t>
        </is>
      </c>
      <c r="C1110" s="7" t="inlineStr">
        <is>
          <t>East Asia &amp; Pacific</t>
        </is>
      </c>
      <c r="D1110" s="7" t="inlineStr">
        <is>
          <t>High income</t>
        </is>
      </c>
      <c r="E1110" s="7" t="b">
        <v>0</v>
      </c>
      <c r="F1110" s="7" t="inlineStr">
        <is>
          <t>gen_gas_twh</t>
        </is>
      </c>
      <c r="G1110" s="7" t="n">
        <v>24</v>
      </c>
      <c r="H1110" s="7" t="n">
        <v>2024</v>
      </c>
      <c r="I1110" s="7" t="inlineStr">
        <is>
          <t>release_generation_yearly_global.csv (Ember)</t>
        </is>
      </c>
    </row>
    <row r="1111">
      <c r="A1111" s="7" t="inlineStr">
        <is>
          <t>HKG</t>
        </is>
      </c>
      <c r="B1111" s="7" t="inlineStr">
        <is>
          <t>Hong Kong SAR, China</t>
        </is>
      </c>
      <c r="C1111" s="7" t="inlineStr">
        <is>
          <t>East Asia &amp; Pacific</t>
        </is>
      </c>
      <c r="D1111" s="7" t="inlineStr">
        <is>
          <t>High income</t>
        </is>
      </c>
      <c r="E1111" s="7" t="b">
        <v>0</v>
      </c>
      <c r="F1111" s="7" t="inlineStr">
        <is>
          <t>gen_oil_twh</t>
        </is>
      </c>
      <c r="G1111" s="7" t="n">
        <v>0.45</v>
      </c>
      <c r="H1111" s="7" t="n">
        <v>2024</v>
      </c>
      <c r="I1111" s="7" t="inlineStr">
        <is>
          <t>release_generation_yearly_global.csv (Ember)</t>
        </is>
      </c>
    </row>
    <row r="1112">
      <c r="A1112" s="7" t="inlineStr">
        <is>
          <t>HKG</t>
        </is>
      </c>
      <c r="B1112" s="7" t="inlineStr">
        <is>
          <t>Hong Kong SAR, China</t>
        </is>
      </c>
      <c r="C1112" s="7" t="inlineStr">
        <is>
          <t>East Asia &amp; Pacific</t>
        </is>
      </c>
      <c r="D1112" s="7" t="inlineStr">
        <is>
          <t>High income</t>
        </is>
      </c>
      <c r="E1112" s="7" t="b">
        <v>0</v>
      </c>
      <c r="F1112" s="7" t="inlineStr">
        <is>
          <t>gen_total_twh</t>
        </is>
      </c>
      <c r="G1112" s="7" t="n">
        <v>37.44</v>
      </c>
      <c r="H1112" s="7" t="n">
        <v>2024</v>
      </c>
      <c r="I1112" s="7" t="inlineStr">
        <is>
          <t>release_generation_yearly_global.csv (Ember)</t>
        </is>
      </c>
    </row>
    <row r="1113">
      <c r="A1113" s="7" t="inlineStr">
        <is>
          <t>HKG</t>
        </is>
      </c>
      <c r="B1113" s="7" t="inlineStr">
        <is>
          <t>Hong Kong SAR, China</t>
        </is>
      </c>
      <c r="C1113" s="7" t="inlineStr">
        <is>
          <t>East Asia &amp; Pacific</t>
        </is>
      </c>
      <c r="D1113" s="7" t="inlineStr">
        <is>
          <t>High income</t>
        </is>
      </c>
      <c r="E1113" s="7" t="b">
        <v>0</v>
      </c>
      <c r="F1113" s="7" t="inlineStr">
        <is>
          <t>price_coal_power_usd_gj</t>
        </is>
      </c>
      <c r="G1113" s="7" t="n">
        <v>4.833</v>
      </c>
      <c r="H1113" s="7" t="inlineStr">
        <is>
          <t>2024</t>
        </is>
      </c>
      <c r="I1113" s="7" t="inlineStr">
        <is>
          <t>imffossilfuelsubsidiesdata.xlsb</t>
        </is>
      </c>
    </row>
    <row r="1114">
      <c r="A1114" s="7" t="inlineStr">
        <is>
          <t>HKG</t>
        </is>
      </c>
      <c r="B1114" s="7" t="inlineStr">
        <is>
          <t>Hong Kong SAR, China</t>
        </is>
      </c>
      <c r="C1114" s="7" t="inlineStr">
        <is>
          <t>East Asia &amp; Pacific</t>
        </is>
      </c>
      <c r="D1114" s="7" t="inlineStr">
        <is>
          <t>High income</t>
        </is>
      </c>
      <c r="E1114" s="7" t="b">
        <v>0</v>
      </c>
      <c r="F1114" s="7" t="inlineStr">
        <is>
          <t>price_electricity_residential_usd_kwh</t>
        </is>
      </c>
      <c r="G1114" s="7" t="n">
        <v>0.179</v>
      </c>
      <c r="H1114" s="7" t="inlineStr">
        <is>
          <t>2024</t>
        </is>
      </c>
      <c r="I1114" s="7" t="inlineStr">
        <is>
          <t>imffossilfuelsubsidiesdata.xlsb</t>
        </is>
      </c>
    </row>
    <row r="1115">
      <c r="A1115" s="7" t="inlineStr">
        <is>
          <t>HKG</t>
        </is>
      </c>
      <c r="B1115" s="7" t="inlineStr">
        <is>
          <t>Hong Kong SAR, China</t>
        </is>
      </c>
      <c r="C1115" s="7" t="inlineStr">
        <is>
          <t>East Asia &amp; Pacific</t>
        </is>
      </c>
      <c r="D1115" s="7" t="inlineStr">
        <is>
          <t>High income</t>
        </is>
      </c>
      <c r="E1115" s="7" t="b">
        <v>0</v>
      </c>
      <c r="F1115" s="7" t="inlineStr">
        <is>
          <t>price_gas_industry_usd_gj</t>
        </is>
      </c>
      <c r="G1115" s="7" t="n">
        <v>39.742</v>
      </c>
      <c r="H1115" s="7" t="inlineStr">
        <is>
          <t>2024</t>
        </is>
      </c>
      <c r="I1115" s="7" t="inlineStr">
        <is>
          <t>imffossilfuelsubsidiesdata.xlsb</t>
        </is>
      </c>
    </row>
    <row r="1116">
      <c r="A1116" s="7" t="inlineStr">
        <is>
          <t>HKG</t>
        </is>
      </c>
      <c r="B1116" s="7" t="inlineStr">
        <is>
          <t>Hong Kong SAR, China</t>
        </is>
      </c>
      <c r="C1116" s="7" t="inlineStr">
        <is>
          <t>East Asia &amp; Pacific</t>
        </is>
      </c>
      <c r="D1116" s="7" t="inlineStr">
        <is>
          <t>High income</t>
        </is>
      </c>
      <c r="E1116" s="7" t="b">
        <v>0</v>
      </c>
      <c r="F1116" s="7" t="inlineStr">
        <is>
          <t>price_gas_power_usd_gj</t>
        </is>
      </c>
      <c r="G1116" s="7" t="n">
        <v>39.742</v>
      </c>
      <c r="H1116" s="7" t="inlineStr">
        <is>
          <t>2024</t>
        </is>
      </c>
      <c r="I1116" s="7" t="inlineStr">
        <is>
          <t>imffossilfuelsubsidiesdata.xlsb</t>
        </is>
      </c>
    </row>
    <row r="1117">
      <c r="A1117" s="7" t="inlineStr">
        <is>
          <t>HND</t>
        </is>
      </c>
      <c r="B1117" s="7" t="inlineStr">
        <is>
          <t>Honduras</t>
        </is>
      </c>
      <c r="C1117" s="7" t="inlineStr">
        <is>
          <t>Latin America &amp; Caribbean</t>
        </is>
      </c>
      <c r="D1117" s="7" t="inlineStr">
        <is>
          <t>Lower middle income</t>
        </is>
      </c>
      <c r="E1117" s="7" t="b">
        <v>1</v>
      </c>
      <c r="F1117" s="7" t="inlineStr">
        <is>
          <t>coal_rents_pct_gdp</t>
        </is>
      </c>
      <c r="G1117" s="7" t="n">
        <v>0</v>
      </c>
      <c r="H1117" s="7" t="inlineStr">
        <is>
          <t>2021</t>
        </is>
      </c>
      <c r="I1117" s="7" t="inlineStr">
        <is>
          <t>API_NY_GDP_COAL_RT_ZS_DS2_en_csv_v2_35370.zip</t>
        </is>
      </c>
    </row>
    <row r="1118">
      <c r="A1118" s="7" t="inlineStr">
        <is>
          <t>HND</t>
        </is>
      </c>
      <c r="B1118" s="7" t="inlineStr">
        <is>
          <t>Honduras</t>
        </is>
      </c>
      <c r="C1118" s="7" t="inlineStr">
        <is>
          <t>Latin America &amp; Caribbean</t>
        </is>
      </c>
      <c r="D1118" s="7" t="inlineStr">
        <is>
          <t>Lower middle income</t>
        </is>
      </c>
      <c r="E1118" s="7" t="b">
        <v>1</v>
      </c>
      <c r="F1118" s="7" t="inlineStr">
        <is>
          <t>em_coal_mt</t>
        </is>
      </c>
      <c r="G1118" s="7" t="n">
        <v>0.052</v>
      </c>
      <c r="H1118" s="7" t="n">
        <v>2024</v>
      </c>
      <c r="I1118" s="7" t="inlineStr">
        <is>
          <t>release_generation_yearly_global.csv (Ember)</t>
        </is>
      </c>
    </row>
    <row r="1119">
      <c r="A1119" s="7" t="inlineStr">
        <is>
          <t>HND</t>
        </is>
      </c>
      <c r="B1119" s="7" t="inlineStr">
        <is>
          <t>Honduras</t>
        </is>
      </c>
      <c r="C1119" s="7" t="inlineStr">
        <is>
          <t>Latin America &amp; Caribbean</t>
        </is>
      </c>
      <c r="D1119" s="7" t="inlineStr">
        <is>
          <t>Lower middle income</t>
        </is>
      </c>
      <c r="E1119" s="7" t="b">
        <v>1</v>
      </c>
      <c r="F1119" s="7" t="inlineStr">
        <is>
          <t>em_gas_mt</t>
        </is>
      </c>
      <c r="G1119" s="7" t="n">
        <v>0</v>
      </c>
      <c r="H1119" s="7" t="n">
        <v>2024</v>
      </c>
      <c r="I1119" s="7" t="inlineStr">
        <is>
          <t>release_generation_yearly_global.csv (Ember)</t>
        </is>
      </c>
    </row>
    <row r="1120">
      <c r="A1120" s="7" t="inlineStr">
        <is>
          <t>HND</t>
        </is>
      </c>
      <c r="B1120" s="7" t="inlineStr">
        <is>
          <t>Honduras</t>
        </is>
      </c>
      <c r="C1120" s="7" t="inlineStr">
        <is>
          <t>Latin America &amp; Caribbean</t>
        </is>
      </c>
      <c r="D1120" s="7" t="inlineStr">
        <is>
          <t>Lower middle income</t>
        </is>
      </c>
      <c r="E1120" s="7" t="b">
        <v>1</v>
      </c>
      <c r="F1120" s="7" t="inlineStr">
        <is>
          <t>em_oil_mt</t>
        </is>
      </c>
      <c r="G1120" s="7" t="n">
        <v>3.619</v>
      </c>
      <c r="H1120" s="7" t="n">
        <v>2024</v>
      </c>
      <c r="I1120" s="7" t="inlineStr">
        <is>
          <t>release_generation_yearly_global.csv (Ember)</t>
        </is>
      </c>
    </row>
    <row r="1121">
      <c r="A1121" s="7" t="inlineStr">
        <is>
          <t>HND</t>
        </is>
      </c>
      <c r="B1121" s="7" t="inlineStr">
        <is>
          <t>Honduras</t>
        </is>
      </c>
      <c r="C1121" s="7" t="inlineStr">
        <is>
          <t>Latin America &amp; Caribbean</t>
        </is>
      </c>
      <c r="D1121" s="7" t="inlineStr">
        <is>
          <t>Lower middle income</t>
        </is>
      </c>
      <c r="E1121" s="7" t="b">
        <v>1</v>
      </c>
      <c r="F1121" s="7" t="inlineStr">
        <is>
          <t>ff_subsidy_explicit_pct_gdp</t>
        </is>
      </c>
      <c r="G1121" s="7" t="n">
        <v>0.079</v>
      </c>
      <c r="H1121" s="7" t="inlineStr">
        <is>
          <t>2024</t>
        </is>
      </c>
      <c r="I1121" s="7" t="inlineStr">
        <is>
          <t>imffossilfuelsubsidiesdata.xlsb</t>
        </is>
      </c>
    </row>
    <row r="1122">
      <c r="A1122" s="7" t="inlineStr">
        <is>
          <t>HND</t>
        </is>
      </c>
      <c r="B1122" s="7" t="inlineStr">
        <is>
          <t>Honduras</t>
        </is>
      </c>
      <c r="C1122" s="7" t="inlineStr">
        <is>
          <t>Latin America &amp; Caribbean</t>
        </is>
      </c>
      <c r="D1122" s="7" t="inlineStr">
        <is>
          <t>Lower middle income</t>
        </is>
      </c>
      <c r="E1122" s="7" t="b">
        <v>1</v>
      </c>
      <c r="F1122" s="7" t="inlineStr">
        <is>
          <t>fuel_exports_pct_merch</t>
        </is>
      </c>
      <c r="G1122" s="7" t="n">
        <v>0.029</v>
      </c>
      <c r="H1122" s="7" t="inlineStr">
        <is>
          <t>2024</t>
        </is>
      </c>
      <c r="I1122" s="7" t="inlineStr">
        <is>
          <t>API_TX_VAL_FUEL_ZS_UN_DS2_en_csv_v2_33055.zip</t>
        </is>
      </c>
    </row>
    <row r="1123">
      <c r="A1123" s="7" t="inlineStr">
        <is>
          <t>HND</t>
        </is>
      </c>
      <c r="B1123" s="7" t="inlineStr">
        <is>
          <t>Honduras</t>
        </is>
      </c>
      <c r="C1123" s="7" t="inlineStr">
        <is>
          <t>Latin America &amp; Caribbean</t>
        </is>
      </c>
      <c r="D1123" s="7" t="inlineStr">
        <is>
          <t>Lower middle income</t>
        </is>
      </c>
      <c r="E1123" s="7" t="b">
        <v>1</v>
      </c>
      <c r="F1123" s="7" t="inlineStr">
        <is>
          <t>gen_coal_twh</t>
        </is>
      </c>
      <c r="G1123" s="7" t="n">
        <v>0.06</v>
      </c>
      <c r="H1123" s="7" t="n">
        <v>2024</v>
      </c>
      <c r="I1123" s="7" t="inlineStr">
        <is>
          <t>release_generation_yearly_global.csv (Ember)</t>
        </is>
      </c>
    </row>
    <row r="1124">
      <c r="A1124" s="7" t="inlineStr">
        <is>
          <t>HND</t>
        </is>
      </c>
      <c r="B1124" s="7" t="inlineStr">
        <is>
          <t>Honduras</t>
        </is>
      </c>
      <c r="C1124" s="7" t="inlineStr">
        <is>
          <t>Latin America &amp; Caribbean</t>
        </is>
      </c>
      <c r="D1124" s="7" t="inlineStr">
        <is>
          <t>Lower middle income</t>
        </is>
      </c>
      <c r="E1124" s="7" t="b">
        <v>1</v>
      </c>
      <c r="F1124" s="7" t="inlineStr">
        <is>
          <t>gen_gas_twh</t>
        </is>
      </c>
      <c r="G1124" s="7" t="n">
        <v>0</v>
      </c>
      <c r="H1124" s="7" t="n">
        <v>2024</v>
      </c>
      <c r="I1124" s="7" t="inlineStr">
        <is>
          <t>release_generation_yearly_global.csv (Ember)</t>
        </is>
      </c>
    </row>
    <row r="1125">
      <c r="A1125" s="7" t="inlineStr">
        <is>
          <t>HND</t>
        </is>
      </c>
      <c r="B1125" s="7" t="inlineStr">
        <is>
          <t>Honduras</t>
        </is>
      </c>
      <c r="C1125" s="7" t="inlineStr">
        <is>
          <t>Latin America &amp; Caribbean</t>
        </is>
      </c>
      <c r="D1125" s="7" t="inlineStr">
        <is>
          <t>Lower middle income</t>
        </is>
      </c>
      <c r="E1125" s="7" t="b">
        <v>1</v>
      </c>
      <c r="F1125" s="7" t="inlineStr">
        <is>
          <t>gen_oil_twh</t>
        </is>
      </c>
      <c r="G1125" s="7" t="n">
        <v>5.5</v>
      </c>
      <c r="H1125" s="7" t="n">
        <v>2024</v>
      </c>
      <c r="I1125" s="7" t="inlineStr">
        <is>
          <t>release_generation_yearly_global.csv (Ember)</t>
        </is>
      </c>
    </row>
    <row r="1126">
      <c r="A1126" s="7" t="inlineStr">
        <is>
          <t>HND</t>
        </is>
      </c>
      <c r="B1126" s="7" t="inlineStr">
        <is>
          <t>Honduras</t>
        </is>
      </c>
      <c r="C1126" s="7" t="inlineStr">
        <is>
          <t>Latin America &amp; Caribbean</t>
        </is>
      </c>
      <c r="D1126" s="7" t="inlineStr">
        <is>
          <t>Lower middle income</t>
        </is>
      </c>
      <c r="E1126" s="7" t="b">
        <v>1</v>
      </c>
      <c r="F1126" s="7" t="inlineStr">
        <is>
          <t>gen_total_twh</t>
        </is>
      </c>
      <c r="G1126" s="7" t="n">
        <v>12.48</v>
      </c>
      <c r="H1126" s="7" t="n">
        <v>2024</v>
      </c>
      <c r="I1126" s="7" t="inlineStr">
        <is>
          <t>release_generation_yearly_global.csv (Ember)</t>
        </is>
      </c>
    </row>
    <row r="1127">
      <c r="A1127" s="7" t="inlineStr">
        <is>
          <t>HND</t>
        </is>
      </c>
      <c r="B1127" s="7" t="inlineStr">
        <is>
          <t>Honduras</t>
        </is>
      </c>
      <c r="C1127" s="7" t="inlineStr">
        <is>
          <t>Latin America &amp; Caribbean</t>
        </is>
      </c>
      <c r="D1127" s="7" t="inlineStr">
        <is>
          <t>Lower middle income</t>
        </is>
      </c>
      <c r="E1127" s="7" t="b">
        <v>1</v>
      </c>
      <c r="F1127" s="7" t="inlineStr">
        <is>
          <t>power_market_structure</t>
        </is>
      </c>
      <c r="G1127" s="7" t="n">
        <v>2</v>
      </c>
      <c r="H1127" s="7" t="inlineStr">
        <is>
          <t>2013</t>
        </is>
      </c>
      <c r="I1127" s="7" t="inlineStr">
        <is>
          <t>dataverse_files.zip</t>
        </is>
      </c>
    </row>
    <row r="1128">
      <c r="A1128" s="7" t="inlineStr">
        <is>
          <t>HND</t>
        </is>
      </c>
      <c r="B1128" s="7" t="inlineStr">
        <is>
          <t>Honduras</t>
        </is>
      </c>
      <c r="C1128" s="7" t="inlineStr">
        <is>
          <t>Latin America &amp; Caribbean</t>
        </is>
      </c>
      <c r="D1128" s="7" t="inlineStr">
        <is>
          <t>Lower middle income</t>
        </is>
      </c>
      <c r="E1128" s="7" t="b">
        <v>1</v>
      </c>
      <c r="F1128" s="7" t="inlineStr">
        <is>
          <t>price_coal_power_usd_gj</t>
        </is>
      </c>
      <c r="G1128" s="7" t="n">
        <v>5.575</v>
      </c>
      <c r="H1128" s="7" t="inlineStr">
        <is>
          <t>2024</t>
        </is>
      </c>
      <c r="I1128" s="7" t="inlineStr">
        <is>
          <t>imffossilfuelsubsidiesdata.xlsb</t>
        </is>
      </c>
    </row>
    <row r="1129">
      <c r="A1129" s="7" t="inlineStr">
        <is>
          <t>HND</t>
        </is>
      </c>
      <c r="B1129" s="7" t="inlineStr">
        <is>
          <t>Honduras</t>
        </is>
      </c>
      <c r="C1129" s="7" t="inlineStr">
        <is>
          <t>Latin America &amp; Caribbean</t>
        </is>
      </c>
      <c r="D1129" s="7" t="inlineStr">
        <is>
          <t>Lower middle income</t>
        </is>
      </c>
      <c r="E1129" s="7" t="b">
        <v>1</v>
      </c>
      <c r="F1129" s="7" t="inlineStr">
        <is>
          <t>price_electricity_residential_usd_kwh</t>
        </is>
      </c>
      <c r="G1129" s="7" t="n">
        <v>0.21</v>
      </c>
      <c r="H1129" s="7" t="inlineStr">
        <is>
          <t>2024</t>
        </is>
      </c>
      <c r="I1129" s="7" t="inlineStr">
        <is>
          <t>imffossilfuelsubsidiesdata.xlsb</t>
        </is>
      </c>
    </row>
    <row r="1130">
      <c r="A1130" s="7" t="inlineStr">
        <is>
          <t>HND</t>
        </is>
      </c>
      <c r="B1130" s="7" t="inlineStr">
        <is>
          <t>Honduras</t>
        </is>
      </c>
      <c r="C1130" s="7" t="inlineStr">
        <is>
          <t>Latin America &amp; Caribbean</t>
        </is>
      </c>
      <c r="D1130" s="7" t="inlineStr">
        <is>
          <t>Lower middle income</t>
        </is>
      </c>
      <c r="E1130" s="7" t="b">
        <v>1</v>
      </c>
      <c r="F1130" s="7" t="inlineStr">
        <is>
          <t>price_gas_industry_usd_gj</t>
        </is>
      </c>
      <c r="G1130" s="7" t="n">
        <v>6.283</v>
      </c>
      <c r="H1130" s="7" t="inlineStr">
        <is>
          <t>2024</t>
        </is>
      </c>
      <c r="I1130" s="7" t="inlineStr">
        <is>
          <t>imffossilfuelsubsidiesdata.xlsb</t>
        </is>
      </c>
    </row>
    <row r="1131">
      <c r="A1131" s="7" t="inlineStr">
        <is>
          <t>HND</t>
        </is>
      </c>
      <c r="B1131" s="7" t="inlineStr">
        <is>
          <t>Honduras</t>
        </is>
      </c>
      <c r="C1131" s="7" t="inlineStr">
        <is>
          <t>Latin America &amp; Caribbean</t>
        </is>
      </c>
      <c r="D1131" s="7" t="inlineStr">
        <is>
          <t>Lower middle income</t>
        </is>
      </c>
      <c r="E1131" s="7" t="b">
        <v>1</v>
      </c>
      <c r="F1131" s="7" t="inlineStr">
        <is>
          <t>price_gas_power_usd_gj</t>
        </is>
      </c>
      <c r="G1131" s="7" t="n">
        <v>4.96</v>
      </c>
      <c r="H1131" s="7" t="inlineStr">
        <is>
          <t>2024</t>
        </is>
      </c>
      <c r="I1131" s="7" t="inlineStr">
        <is>
          <t>imffossilfuelsubsidiesdata.xlsb</t>
        </is>
      </c>
    </row>
    <row r="1132">
      <c r="A1132" s="7" t="inlineStr">
        <is>
          <t>HND</t>
        </is>
      </c>
      <c r="B1132" s="7" t="inlineStr">
        <is>
          <t>Honduras</t>
        </is>
      </c>
      <c r="C1132" s="7" t="inlineStr">
        <is>
          <t>Latin America &amp; Caribbean</t>
        </is>
      </c>
      <c r="D1132" s="7" t="inlineStr">
        <is>
          <t>Lower middle income</t>
        </is>
      </c>
      <c r="E1132" s="7" t="b">
        <v>1</v>
      </c>
      <c r="F1132" s="7" t="inlineStr">
        <is>
          <t>rise_renewable_energy_score</t>
        </is>
      </c>
      <c r="G1132" s="7" t="n">
        <v>22.757</v>
      </c>
      <c r="H1132" s="7" t="inlineStr">
        <is>
          <t>2023</t>
        </is>
      </c>
      <c r="I1132" s="7" t="inlineStr">
        <is>
          <t>WB_RISE_WIDEF.csv</t>
        </is>
      </c>
    </row>
    <row r="1133">
      <c r="A1133" s="7" t="inlineStr">
        <is>
          <t>HRV</t>
        </is>
      </c>
      <c r="B1133" s="7" t="inlineStr">
        <is>
          <t>Croatia</t>
        </is>
      </c>
      <c r="C1133" s="7" t="inlineStr">
        <is>
          <t>Europe &amp; Central Asia</t>
        </is>
      </c>
      <c r="D1133" s="7" t="inlineStr">
        <is>
          <t>High income</t>
        </is>
      </c>
      <c r="E1133" s="7" t="b">
        <v>1</v>
      </c>
      <c r="F1133" s="7" t="inlineStr">
        <is>
          <t>coal_rents_pct_gdp</t>
        </is>
      </c>
      <c r="G1133" s="7" t="n">
        <v>0</v>
      </c>
      <c r="H1133" s="7" t="inlineStr">
        <is>
          <t>2021</t>
        </is>
      </c>
      <c r="I1133" s="7" t="inlineStr">
        <is>
          <t>API_NY_GDP_COAL_RT_ZS_DS2_en_csv_v2_35370.zip</t>
        </is>
      </c>
    </row>
    <row r="1134">
      <c r="A1134" s="7" t="inlineStr">
        <is>
          <t>HRV</t>
        </is>
      </c>
      <c r="B1134" s="7" t="inlineStr">
        <is>
          <t>Croatia</t>
        </is>
      </c>
      <c r="C1134" s="7" t="inlineStr">
        <is>
          <t>Europe &amp; Central Asia</t>
        </is>
      </c>
      <c r="D1134" s="7" t="inlineStr">
        <is>
          <t>High income</t>
        </is>
      </c>
      <c r="E1134" s="7" t="b">
        <v>1</v>
      </c>
      <c r="F1134" s="7" t="inlineStr">
        <is>
          <t>em_coal_mt</t>
        </is>
      </c>
      <c r="G1134" s="7" t="n">
        <v>0.769</v>
      </c>
      <c r="H1134" s="7" t="n">
        <v>2024</v>
      </c>
      <c r="I1134" s="7" t="inlineStr">
        <is>
          <t>release_generation_yearly_global.csv (Ember)</t>
        </is>
      </c>
    </row>
    <row r="1135">
      <c r="A1135" s="7" t="inlineStr">
        <is>
          <t>HRV</t>
        </is>
      </c>
      <c r="B1135" s="7" t="inlineStr">
        <is>
          <t>Croatia</t>
        </is>
      </c>
      <c r="C1135" s="7" t="inlineStr">
        <is>
          <t>Europe &amp; Central Asia</t>
        </is>
      </c>
      <c r="D1135" s="7" t="inlineStr">
        <is>
          <t>High income</t>
        </is>
      </c>
      <c r="E1135" s="7" t="b">
        <v>1</v>
      </c>
      <c r="F1135" s="7" t="inlineStr">
        <is>
          <t>em_gas_mt</t>
        </is>
      </c>
      <c r="G1135" s="7" t="n">
        <v>1.382</v>
      </c>
      <c r="H1135" s="7" t="n">
        <v>2024</v>
      </c>
      <c r="I1135" s="7" t="inlineStr">
        <is>
          <t>release_generation_yearly_global.csv (Ember)</t>
        </is>
      </c>
    </row>
    <row r="1136">
      <c r="A1136" s="7" t="inlineStr">
        <is>
          <t>HRV</t>
        </is>
      </c>
      <c r="B1136" s="7" t="inlineStr">
        <is>
          <t>Croatia</t>
        </is>
      </c>
      <c r="C1136" s="7" t="inlineStr">
        <is>
          <t>Europe &amp; Central Asia</t>
        </is>
      </c>
      <c r="D1136" s="7" t="inlineStr">
        <is>
          <t>High income</t>
        </is>
      </c>
      <c r="E1136" s="7" t="b">
        <v>1</v>
      </c>
      <c r="F1136" s="7" t="inlineStr">
        <is>
          <t>em_oil_mt</t>
        </is>
      </c>
      <c r="G1136" s="7" t="n">
        <v>0.007</v>
      </c>
      <c r="H1136" s="7" t="n">
        <v>2024</v>
      </c>
      <c r="I1136" s="7" t="inlineStr">
        <is>
          <t>release_generation_yearly_global.csv (Ember)</t>
        </is>
      </c>
    </row>
    <row r="1137">
      <c r="A1137" s="7" t="inlineStr">
        <is>
          <t>HRV</t>
        </is>
      </c>
      <c r="B1137" s="7" t="inlineStr">
        <is>
          <t>Croatia</t>
        </is>
      </c>
      <c r="C1137" s="7" t="inlineStr">
        <is>
          <t>Europe &amp; Central Asia</t>
        </is>
      </c>
      <c r="D1137" s="7" t="inlineStr">
        <is>
          <t>High income</t>
        </is>
      </c>
      <c r="E1137" s="7" t="b">
        <v>1</v>
      </c>
      <c r="F1137" s="7" t="inlineStr">
        <is>
          <t>ff_subsidy_explicit_pct_gdp</t>
        </is>
      </c>
      <c r="G1137" s="7" t="n">
        <v>0.779</v>
      </c>
      <c r="H1137" s="7" t="inlineStr">
        <is>
          <t>2024</t>
        </is>
      </c>
      <c r="I1137" s="7" t="inlineStr">
        <is>
          <t>imffossilfuelsubsidiesdata.xlsb</t>
        </is>
      </c>
    </row>
    <row r="1138">
      <c r="A1138" s="7" t="inlineStr">
        <is>
          <t>HRV</t>
        </is>
      </c>
      <c r="B1138" s="7" t="inlineStr">
        <is>
          <t>Croatia</t>
        </is>
      </c>
      <c r="C1138" s="7" t="inlineStr">
        <is>
          <t>Europe &amp; Central Asia</t>
        </is>
      </c>
      <c r="D1138" s="7" t="inlineStr">
        <is>
          <t>High income</t>
        </is>
      </c>
      <c r="E1138" s="7" t="b">
        <v>1</v>
      </c>
      <c r="F1138" s="7" t="inlineStr">
        <is>
          <t>fuel_exports_pct_merch</t>
        </is>
      </c>
      <c r="G1138" s="7" t="n">
        <v>13.092</v>
      </c>
      <c r="H1138" s="7" t="inlineStr">
        <is>
          <t>2024</t>
        </is>
      </c>
      <c r="I1138" s="7" t="inlineStr">
        <is>
          <t>API_TX_VAL_FUEL_ZS_UN_DS2_en_csv_v2_33055.zip</t>
        </is>
      </c>
    </row>
    <row r="1139">
      <c r="A1139" s="7" t="inlineStr">
        <is>
          <t>HRV</t>
        </is>
      </c>
      <c r="B1139" s="7" t="inlineStr">
        <is>
          <t>Croatia</t>
        </is>
      </c>
      <c r="C1139" s="7" t="inlineStr">
        <is>
          <t>Europe &amp; Central Asia</t>
        </is>
      </c>
      <c r="D1139" s="7" t="inlineStr">
        <is>
          <t>High income</t>
        </is>
      </c>
      <c r="E1139" s="7" t="b">
        <v>1</v>
      </c>
      <c r="F1139" s="7" t="inlineStr">
        <is>
          <t>gen_coal_twh</t>
        </is>
      </c>
      <c r="G1139" s="7" t="n">
        <v>0.8</v>
      </c>
      <c r="H1139" s="7" t="n">
        <v>2024</v>
      </c>
      <c r="I1139" s="7" t="inlineStr">
        <is>
          <t>release_generation_yearly_global.csv (Ember)</t>
        </is>
      </c>
    </row>
    <row r="1140">
      <c r="A1140" s="7" t="inlineStr">
        <is>
          <t>HRV</t>
        </is>
      </c>
      <c r="B1140" s="7" t="inlineStr">
        <is>
          <t>Croatia</t>
        </is>
      </c>
      <c r="C1140" s="7" t="inlineStr">
        <is>
          <t>Europe &amp; Central Asia</t>
        </is>
      </c>
      <c r="D1140" s="7" t="inlineStr">
        <is>
          <t>High income</t>
        </is>
      </c>
      <c r="E1140" s="7" t="b">
        <v>1</v>
      </c>
      <c r="F1140" s="7" t="inlineStr">
        <is>
          <t>gen_gas_twh</t>
        </is>
      </c>
      <c r="G1140" s="7" t="n">
        <v>3.25</v>
      </c>
      <c r="H1140" s="7" t="n">
        <v>2024</v>
      </c>
      <c r="I1140" s="7" t="inlineStr">
        <is>
          <t>release_generation_yearly_global.csv (Ember)</t>
        </is>
      </c>
    </row>
    <row r="1141">
      <c r="A1141" s="7" t="inlineStr">
        <is>
          <t>HRV</t>
        </is>
      </c>
      <c r="B1141" s="7" t="inlineStr">
        <is>
          <t>Croatia</t>
        </is>
      </c>
      <c r="C1141" s="7" t="inlineStr">
        <is>
          <t>Europe &amp; Central Asia</t>
        </is>
      </c>
      <c r="D1141" s="7" t="inlineStr">
        <is>
          <t>High income</t>
        </is>
      </c>
      <c r="E1141" s="7" t="b">
        <v>1</v>
      </c>
      <c r="F1141" s="7" t="inlineStr">
        <is>
          <t>gen_oil_twh</t>
        </is>
      </c>
      <c r="G1141" s="7" t="n">
        <v>0.01</v>
      </c>
      <c r="H1141" s="7" t="n">
        <v>2024</v>
      </c>
      <c r="I1141" s="7" t="inlineStr">
        <is>
          <t>release_generation_yearly_global.csv (Ember)</t>
        </is>
      </c>
    </row>
    <row r="1142">
      <c r="A1142" s="7" t="inlineStr">
        <is>
          <t>HRV</t>
        </is>
      </c>
      <c r="B1142" s="7" t="inlineStr">
        <is>
          <t>Croatia</t>
        </is>
      </c>
      <c r="C1142" s="7" t="inlineStr">
        <is>
          <t>Europe &amp; Central Asia</t>
        </is>
      </c>
      <c r="D1142" s="7" t="inlineStr">
        <is>
          <t>High income</t>
        </is>
      </c>
      <c r="E1142" s="7" t="b">
        <v>1</v>
      </c>
      <c r="F1142" s="7" t="inlineStr">
        <is>
          <t>gen_total_twh</t>
        </is>
      </c>
      <c r="G1142" s="7" t="n">
        <v>15.29</v>
      </c>
      <c r="H1142" s="7" t="n">
        <v>2024</v>
      </c>
      <c r="I1142" s="7" t="inlineStr">
        <is>
          <t>release_generation_yearly_global.csv (Ember)</t>
        </is>
      </c>
    </row>
    <row r="1143">
      <c r="A1143" s="7" t="inlineStr">
        <is>
          <t>HRV</t>
        </is>
      </c>
      <c r="B1143" s="7" t="inlineStr">
        <is>
          <t>Croatia</t>
        </is>
      </c>
      <c r="C1143" s="7" t="inlineStr">
        <is>
          <t>Europe &amp; Central Asia</t>
        </is>
      </c>
      <c r="D1143" s="7" t="inlineStr">
        <is>
          <t>High income</t>
        </is>
      </c>
      <c r="E1143" s="7" t="b">
        <v>1</v>
      </c>
      <c r="F1143" s="7" t="inlineStr">
        <is>
          <t>power_market_structure</t>
        </is>
      </c>
      <c r="G1143" s="7" t="n">
        <v>3</v>
      </c>
      <c r="H1143" s="7" t="inlineStr">
        <is>
          <t>2013</t>
        </is>
      </c>
      <c r="I1143" s="7" t="inlineStr">
        <is>
          <t>dataverse_files.zip</t>
        </is>
      </c>
    </row>
    <row r="1144">
      <c r="A1144" s="7" t="inlineStr">
        <is>
          <t>HRV</t>
        </is>
      </c>
      <c r="B1144" s="7" t="inlineStr">
        <is>
          <t>Croatia</t>
        </is>
      </c>
      <c r="C1144" s="7" t="inlineStr">
        <is>
          <t>Europe &amp; Central Asia</t>
        </is>
      </c>
      <c r="D1144" s="7" t="inlineStr">
        <is>
          <t>High income</t>
        </is>
      </c>
      <c r="E1144" s="7" t="b">
        <v>1</v>
      </c>
      <c r="F1144" s="7" t="inlineStr">
        <is>
          <t>price_coal_power_usd_gj</t>
        </is>
      </c>
      <c r="G1144" s="7" t="n">
        <v>12.775</v>
      </c>
      <c r="H1144" s="7" t="inlineStr">
        <is>
          <t>2024</t>
        </is>
      </c>
      <c r="I1144" s="7" t="inlineStr">
        <is>
          <t>imffossilfuelsubsidiesdata.xlsb</t>
        </is>
      </c>
    </row>
    <row r="1145">
      <c r="A1145" s="7" t="inlineStr">
        <is>
          <t>HRV</t>
        </is>
      </c>
      <c r="B1145" s="7" t="inlineStr">
        <is>
          <t>Croatia</t>
        </is>
      </c>
      <c r="C1145" s="7" t="inlineStr">
        <is>
          <t>Europe &amp; Central Asia</t>
        </is>
      </c>
      <c r="D1145" s="7" t="inlineStr">
        <is>
          <t>High income</t>
        </is>
      </c>
      <c r="E1145" s="7" t="b">
        <v>1</v>
      </c>
      <c r="F1145" s="7" t="inlineStr">
        <is>
          <t>price_electricity_residential_usd_kwh</t>
        </is>
      </c>
      <c r="G1145" s="7" t="n">
        <v>0.16</v>
      </c>
      <c r="H1145" s="7" t="inlineStr">
        <is>
          <t>2024</t>
        </is>
      </c>
      <c r="I1145" s="7" t="inlineStr">
        <is>
          <t>imffossilfuelsubsidiesdata.xlsb</t>
        </is>
      </c>
    </row>
    <row r="1146">
      <c r="A1146" s="7" t="inlineStr">
        <is>
          <t>HRV</t>
        </is>
      </c>
      <c r="B1146" s="7" t="inlineStr">
        <is>
          <t>Croatia</t>
        </is>
      </c>
      <c r="C1146" s="7" t="inlineStr">
        <is>
          <t>Europe &amp; Central Asia</t>
        </is>
      </c>
      <c r="D1146" s="7" t="inlineStr">
        <is>
          <t>High income</t>
        </is>
      </c>
      <c r="E1146" s="7" t="b">
        <v>1</v>
      </c>
      <c r="F1146" s="7" t="inlineStr">
        <is>
          <t>price_gas_industry_usd_gj</t>
        </is>
      </c>
      <c r="G1146" s="7" t="n">
        <v>19.497</v>
      </c>
      <c r="H1146" s="7" t="inlineStr">
        <is>
          <t>2024</t>
        </is>
      </c>
      <c r="I1146" s="7" t="inlineStr">
        <is>
          <t>imffossilfuelsubsidiesdata.xlsb</t>
        </is>
      </c>
    </row>
    <row r="1147">
      <c r="A1147" s="7" t="inlineStr">
        <is>
          <t>HRV</t>
        </is>
      </c>
      <c r="B1147" s="7" t="inlineStr">
        <is>
          <t>Croatia</t>
        </is>
      </c>
      <c r="C1147" s="7" t="inlineStr">
        <is>
          <t>Europe &amp; Central Asia</t>
        </is>
      </c>
      <c r="D1147" s="7" t="inlineStr">
        <is>
          <t>High income</t>
        </is>
      </c>
      <c r="E1147" s="7" t="b">
        <v>1</v>
      </c>
      <c r="F1147" s="7" t="inlineStr">
        <is>
          <t>price_gas_power_usd_gj</t>
        </is>
      </c>
      <c r="G1147" s="7" t="n">
        <v>19.497</v>
      </c>
      <c r="H1147" s="7" t="inlineStr">
        <is>
          <t>2024</t>
        </is>
      </c>
      <c r="I1147" s="7" t="inlineStr">
        <is>
          <t>imffossilfuelsubsidiesdata.xlsb</t>
        </is>
      </c>
    </row>
    <row r="1148">
      <c r="A1148" s="7" t="inlineStr">
        <is>
          <t>HRV</t>
        </is>
      </c>
      <c r="B1148" s="7" t="inlineStr">
        <is>
          <t>Croatia</t>
        </is>
      </c>
      <c r="C1148" s="7" t="inlineStr">
        <is>
          <t>Europe &amp; Central Asia</t>
        </is>
      </c>
      <c r="D1148" s="7" t="inlineStr">
        <is>
          <t>High income</t>
        </is>
      </c>
      <c r="E1148" s="7" t="b">
        <v>1</v>
      </c>
      <c r="F1148" s="7" t="inlineStr">
        <is>
          <t>rise_renewable_energy_score</t>
        </is>
      </c>
      <c r="G1148" s="7" t="n">
        <v>59.222</v>
      </c>
      <c r="H1148" s="7" t="inlineStr">
        <is>
          <t>2023</t>
        </is>
      </c>
      <c r="I1148" s="7" t="inlineStr">
        <is>
          <t>WB_RISE_WIDEF.csv</t>
        </is>
      </c>
    </row>
    <row r="1149">
      <c r="A1149" s="7" t="inlineStr">
        <is>
          <t>HTI</t>
        </is>
      </c>
      <c r="B1149" s="7" t="inlineStr">
        <is>
          <t>Haiti</t>
        </is>
      </c>
      <c r="C1149" s="7" t="inlineStr">
        <is>
          <t>Latin America &amp; Caribbean</t>
        </is>
      </c>
      <c r="D1149" s="7" t="inlineStr">
        <is>
          <t>Lower middle income</t>
        </is>
      </c>
      <c r="E1149" s="7" t="b">
        <v>0</v>
      </c>
      <c r="F1149" s="7" t="inlineStr">
        <is>
          <t>coal_rents_pct_gdp</t>
        </is>
      </c>
      <c r="G1149" s="7" t="n">
        <v>0</v>
      </c>
      <c r="H1149" s="7" t="inlineStr">
        <is>
          <t>2021</t>
        </is>
      </c>
      <c r="I1149" s="7" t="inlineStr">
        <is>
          <t>API_NY_GDP_COAL_RT_ZS_DS2_en_csv_v2_35370.zip</t>
        </is>
      </c>
    </row>
    <row r="1150">
      <c r="A1150" s="7" t="inlineStr">
        <is>
          <t>HTI</t>
        </is>
      </c>
      <c r="B1150" s="7" t="inlineStr">
        <is>
          <t>Haiti</t>
        </is>
      </c>
      <c r="C1150" s="7" t="inlineStr">
        <is>
          <t>Latin America &amp; Caribbean</t>
        </is>
      </c>
      <c r="D1150" s="7" t="inlineStr">
        <is>
          <t>Lower middle income</t>
        </is>
      </c>
      <c r="E1150" s="7" t="b">
        <v>0</v>
      </c>
      <c r="F1150" s="7" t="inlineStr">
        <is>
          <t>em_coal_mt</t>
        </is>
      </c>
      <c r="G1150" s="7" t="n">
        <v>0</v>
      </c>
      <c r="H1150" s="7" t="n">
        <v>2024</v>
      </c>
      <c r="I1150" s="7" t="inlineStr">
        <is>
          <t>release_generation_yearly_global.csv (Ember)</t>
        </is>
      </c>
    </row>
    <row r="1151">
      <c r="A1151" s="7" t="inlineStr">
        <is>
          <t>HTI</t>
        </is>
      </c>
      <c r="B1151" s="7" t="inlineStr">
        <is>
          <t>Haiti</t>
        </is>
      </c>
      <c r="C1151" s="7" t="inlineStr">
        <is>
          <t>Latin America &amp; Caribbean</t>
        </is>
      </c>
      <c r="D1151" s="7" t="inlineStr">
        <is>
          <t>Lower middle income</t>
        </is>
      </c>
      <c r="E1151" s="7" t="b">
        <v>0</v>
      </c>
      <c r="F1151" s="7" t="inlineStr">
        <is>
          <t>em_gas_mt</t>
        </is>
      </c>
      <c r="G1151" s="7" t="n">
        <v>0</v>
      </c>
      <c r="H1151" s="7" t="n">
        <v>2024</v>
      </c>
      <c r="I1151" s="7" t="inlineStr">
        <is>
          <t>release_generation_yearly_global.csv (Ember)</t>
        </is>
      </c>
    </row>
    <row r="1152">
      <c r="A1152" s="7" t="inlineStr">
        <is>
          <t>HTI</t>
        </is>
      </c>
      <c r="B1152" s="7" t="inlineStr">
        <is>
          <t>Haiti</t>
        </is>
      </c>
      <c r="C1152" s="7" t="inlineStr">
        <is>
          <t>Latin America &amp; Caribbean</t>
        </is>
      </c>
      <c r="D1152" s="7" t="inlineStr">
        <is>
          <t>Lower middle income</t>
        </is>
      </c>
      <c r="E1152" s="7" t="b">
        <v>0</v>
      </c>
      <c r="F1152" s="7" t="inlineStr">
        <is>
          <t>em_oil_mt</t>
        </is>
      </c>
      <c r="G1152" s="7" t="n">
        <v>0.461</v>
      </c>
      <c r="H1152" s="7" t="n">
        <v>2024</v>
      </c>
      <c r="I1152" s="7" t="inlineStr">
        <is>
          <t>release_generation_yearly_global.csv (Ember)</t>
        </is>
      </c>
    </row>
    <row r="1153">
      <c r="A1153" s="7" t="inlineStr">
        <is>
          <t>HTI</t>
        </is>
      </c>
      <c r="B1153" s="7" t="inlineStr">
        <is>
          <t>Haiti</t>
        </is>
      </c>
      <c r="C1153" s="7" t="inlineStr">
        <is>
          <t>Latin America &amp; Caribbean</t>
        </is>
      </c>
      <c r="D1153" s="7" t="inlineStr">
        <is>
          <t>Lower middle income</t>
        </is>
      </c>
      <c r="E1153" s="7" t="b">
        <v>0</v>
      </c>
      <c r="F1153" s="7" t="inlineStr">
        <is>
          <t>ff_subsidy_explicit_pct_gdp</t>
        </is>
      </c>
      <c r="G1153" s="7" t="n">
        <v>0.669</v>
      </c>
      <c r="H1153" s="7" t="inlineStr">
        <is>
          <t>2024</t>
        </is>
      </c>
      <c r="I1153" s="7" t="inlineStr">
        <is>
          <t>imffossilfuelsubsidiesdata.xlsb</t>
        </is>
      </c>
    </row>
    <row r="1154">
      <c r="A1154" s="7" t="inlineStr">
        <is>
          <t>HTI</t>
        </is>
      </c>
      <c r="B1154" s="7" t="inlineStr">
        <is>
          <t>Haiti</t>
        </is>
      </c>
      <c r="C1154" s="7" t="inlineStr">
        <is>
          <t>Latin America &amp; Caribbean</t>
        </is>
      </c>
      <c r="D1154" s="7" t="inlineStr">
        <is>
          <t>Lower middle income</t>
        </is>
      </c>
      <c r="E1154" s="7" t="b">
        <v>0</v>
      </c>
      <c r="F1154" s="7" t="inlineStr">
        <is>
          <t>fuel_exports_pct_merch</t>
        </is>
      </c>
      <c r="G1154" s="7" t="n">
        <v>0</v>
      </c>
      <c r="H1154" s="7" t="inlineStr">
        <is>
          <t>2016</t>
        </is>
      </c>
      <c r="I1154" s="7" t="inlineStr">
        <is>
          <t>API_TX_VAL_FUEL_ZS_UN_DS2_en_csv_v2_33055.zip</t>
        </is>
      </c>
    </row>
    <row r="1155">
      <c r="A1155" s="7" t="inlineStr">
        <is>
          <t>HTI</t>
        </is>
      </c>
      <c r="B1155" s="7" t="inlineStr">
        <is>
          <t>Haiti</t>
        </is>
      </c>
      <c r="C1155" s="7" t="inlineStr">
        <is>
          <t>Latin America &amp; Caribbean</t>
        </is>
      </c>
      <c r="D1155" s="7" t="inlineStr">
        <is>
          <t>Lower middle income</t>
        </is>
      </c>
      <c r="E1155" s="7" t="b">
        <v>0</v>
      </c>
      <c r="F1155" s="7" t="inlineStr">
        <is>
          <t>gen_coal_twh</t>
        </is>
      </c>
      <c r="G1155" s="7" t="n">
        <v>0</v>
      </c>
      <c r="H1155" s="7" t="n">
        <v>2024</v>
      </c>
      <c r="I1155" s="7" t="inlineStr">
        <is>
          <t>release_generation_yearly_global.csv (Ember)</t>
        </is>
      </c>
    </row>
    <row r="1156">
      <c r="A1156" s="7" t="inlineStr">
        <is>
          <t>HTI</t>
        </is>
      </c>
      <c r="B1156" s="7" t="inlineStr">
        <is>
          <t>Haiti</t>
        </is>
      </c>
      <c r="C1156" s="7" t="inlineStr">
        <is>
          <t>Latin America &amp; Caribbean</t>
        </is>
      </c>
      <c r="D1156" s="7" t="inlineStr">
        <is>
          <t>Lower middle income</t>
        </is>
      </c>
      <c r="E1156" s="7" t="b">
        <v>0</v>
      </c>
      <c r="F1156" s="7" t="inlineStr">
        <is>
          <t>gen_gas_twh</t>
        </is>
      </c>
      <c r="G1156" s="7" t="n">
        <v>0</v>
      </c>
      <c r="H1156" s="7" t="n">
        <v>2024</v>
      </c>
      <c r="I1156" s="7" t="inlineStr">
        <is>
          <t>release_generation_yearly_global.csv (Ember)</t>
        </is>
      </c>
    </row>
    <row r="1157">
      <c r="A1157" s="7" t="inlineStr">
        <is>
          <t>HTI</t>
        </is>
      </c>
      <c r="B1157" s="7" t="inlineStr">
        <is>
          <t>Haiti</t>
        </is>
      </c>
      <c r="C1157" s="7" t="inlineStr">
        <is>
          <t>Latin America &amp; Caribbean</t>
        </is>
      </c>
      <c r="D1157" s="7" t="inlineStr">
        <is>
          <t>Lower middle income</t>
        </is>
      </c>
      <c r="E1157" s="7" t="b">
        <v>0</v>
      </c>
      <c r="F1157" s="7" t="inlineStr">
        <is>
          <t>gen_oil_twh</t>
        </is>
      </c>
      <c r="G1157" s="7" t="n">
        <v>0.7</v>
      </c>
      <c r="H1157" s="7" t="n">
        <v>2024</v>
      </c>
      <c r="I1157" s="7" t="inlineStr">
        <is>
          <t>release_generation_yearly_global.csv (Ember)</t>
        </is>
      </c>
    </row>
    <row r="1158">
      <c r="A1158" s="7" t="inlineStr">
        <is>
          <t>HTI</t>
        </is>
      </c>
      <c r="B1158" s="7" t="inlineStr">
        <is>
          <t>Haiti</t>
        </is>
      </c>
      <c r="C1158" s="7" t="inlineStr">
        <is>
          <t>Latin America &amp; Caribbean</t>
        </is>
      </c>
      <c r="D1158" s="7" t="inlineStr">
        <is>
          <t>Lower middle income</t>
        </is>
      </c>
      <c r="E1158" s="7" t="b">
        <v>0</v>
      </c>
      <c r="F1158" s="7" t="inlineStr">
        <is>
          <t>gen_total_twh</t>
        </is>
      </c>
      <c r="G1158" s="7" t="n">
        <v>0.86</v>
      </c>
      <c r="H1158" s="7" t="n">
        <v>2024</v>
      </c>
      <c r="I1158" s="7" t="inlineStr">
        <is>
          <t>release_generation_yearly_global.csv (Ember)</t>
        </is>
      </c>
    </row>
    <row r="1159">
      <c r="A1159" s="7" t="inlineStr">
        <is>
          <t>HTI</t>
        </is>
      </c>
      <c r="B1159" s="7" t="inlineStr">
        <is>
          <t>Haiti</t>
        </is>
      </c>
      <c r="C1159" s="7" t="inlineStr">
        <is>
          <t>Latin America &amp; Caribbean</t>
        </is>
      </c>
      <c r="D1159" s="7" t="inlineStr">
        <is>
          <t>Lower middle income</t>
        </is>
      </c>
      <c r="E1159" s="7" t="b">
        <v>0</v>
      </c>
      <c r="F1159" s="7" t="inlineStr">
        <is>
          <t>power_market_structure</t>
        </is>
      </c>
      <c r="G1159" s="7" t="n">
        <v>2</v>
      </c>
      <c r="H1159" s="7" t="inlineStr">
        <is>
          <t>2013</t>
        </is>
      </c>
      <c r="I1159" s="7" t="inlineStr">
        <is>
          <t>dataverse_files.zip</t>
        </is>
      </c>
    </row>
    <row r="1160">
      <c r="A1160" s="7" t="inlineStr">
        <is>
          <t>HTI</t>
        </is>
      </c>
      <c r="B1160" s="7" t="inlineStr">
        <is>
          <t>Haiti</t>
        </is>
      </c>
      <c r="C1160" s="7" t="inlineStr">
        <is>
          <t>Latin America &amp; Caribbean</t>
        </is>
      </c>
      <c r="D1160" s="7" t="inlineStr">
        <is>
          <t>Lower middle income</t>
        </is>
      </c>
      <c r="E1160" s="7" t="b">
        <v>0</v>
      </c>
      <c r="F1160" s="7" t="inlineStr">
        <is>
          <t>price_coal_power_usd_gj</t>
        </is>
      </c>
      <c r="G1160" s="7" t="n">
        <v>5.575</v>
      </c>
      <c r="H1160" s="7" t="inlineStr">
        <is>
          <t>2024</t>
        </is>
      </c>
      <c r="I1160" s="7" t="inlineStr">
        <is>
          <t>imffossilfuelsubsidiesdata.xlsb</t>
        </is>
      </c>
    </row>
    <row r="1161">
      <c r="A1161" s="7" t="inlineStr">
        <is>
          <t>HTI</t>
        </is>
      </c>
      <c r="B1161" s="7" t="inlineStr">
        <is>
          <t>Haiti</t>
        </is>
      </c>
      <c r="C1161" s="7" t="inlineStr">
        <is>
          <t>Latin America &amp; Caribbean</t>
        </is>
      </c>
      <c r="D1161" s="7" t="inlineStr">
        <is>
          <t>Lower middle income</t>
        </is>
      </c>
      <c r="E1161" s="7" t="b">
        <v>0</v>
      </c>
      <c r="F1161" s="7" t="inlineStr">
        <is>
          <t>price_electricity_residential_usd_kwh</t>
        </is>
      </c>
      <c r="G1161" s="7" t="n">
        <v>0.116</v>
      </c>
      <c r="H1161" s="7" t="inlineStr">
        <is>
          <t>2024</t>
        </is>
      </c>
      <c r="I1161" s="7" t="inlineStr">
        <is>
          <t>imffossilfuelsubsidiesdata.xlsb</t>
        </is>
      </c>
    </row>
    <row r="1162">
      <c r="A1162" s="7" t="inlineStr">
        <is>
          <t>HTI</t>
        </is>
      </c>
      <c r="B1162" s="7" t="inlineStr">
        <is>
          <t>Haiti</t>
        </is>
      </c>
      <c r="C1162" s="7" t="inlineStr">
        <is>
          <t>Latin America &amp; Caribbean</t>
        </is>
      </c>
      <c r="D1162" s="7" t="inlineStr">
        <is>
          <t>Lower middle income</t>
        </is>
      </c>
      <c r="E1162" s="7" t="b">
        <v>0</v>
      </c>
      <c r="F1162" s="7" t="inlineStr">
        <is>
          <t>price_gas_industry_usd_gj</t>
        </is>
      </c>
      <c r="G1162" s="7" t="n">
        <v>12.771</v>
      </c>
      <c r="H1162" s="7" t="inlineStr">
        <is>
          <t>2024</t>
        </is>
      </c>
      <c r="I1162" s="7" t="inlineStr">
        <is>
          <t>imffossilfuelsubsidiesdata.xlsb</t>
        </is>
      </c>
    </row>
    <row r="1163">
      <c r="A1163" s="7" t="inlineStr">
        <is>
          <t>HTI</t>
        </is>
      </c>
      <c r="B1163" s="7" t="inlineStr">
        <is>
          <t>Haiti</t>
        </is>
      </c>
      <c r="C1163" s="7" t="inlineStr">
        <is>
          <t>Latin America &amp; Caribbean</t>
        </is>
      </c>
      <c r="D1163" s="7" t="inlineStr">
        <is>
          <t>Lower middle income</t>
        </is>
      </c>
      <c r="E1163" s="7" t="b">
        <v>0</v>
      </c>
      <c r="F1163" s="7" t="inlineStr">
        <is>
          <t>price_gas_power_usd_gj</t>
        </is>
      </c>
      <c r="G1163" s="7" t="n">
        <v>11.447</v>
      </c>
      <c r="H1163" s="7" t="inlineStr">
        <is>
          <t>2024</t>
        </is>
      </c>
      <c r="I1163" s="7" t="inlineStr">
        <is>
          <t>imffossilfuelsubsidiesdata.xlsb</t>
        </is>
      </c>
    </row>
    <row r="1164">
      <c r="A1164" s="7" t="inlineStr">
        <is>
          <t>HTI</t>
        </is>
      </c>
      <c r="B1164" s="7" t="inlineStr">
        <is>
          <t>Haiti</t>
        </is>
      </c>
      <c r="C1164" s="7" t="inlineStr">
        <is>
          <t>Latin America &amp; Caribbean</t>
        </is>
      </c>
      <c r="D1164" s="7" t="inlineStr">
        <is>
          <t>Lower middle income</t>
        </is>
      </c>
      <c r="E1164" s="7" t="b">
        <v>0</v>
      </c>
      <c r="F1164" s="7" t="inlineStr">
        <is>
          <t>rise_renewable_energy_score</t>
        </is>
      </c>
      <c r="G1164" s="7" t="n">
        <v>5.648</v>
      </c>
      <c r="H1164" s="7" t="inlineStr">
        <is>
          <t>2023</t>
        </is>
      </c>
      <c r="I1164" s="7" t="inlineStr">
        <is>
          <t>WB_RISE_WIDEF.csv</t>
        </is>
      </c>
    </row>
    <row r="1165">
      <c r="A1165" s="7" t="inlineStr">
        <is>
          <t>HUN</t>
        </is>
      </c>
      <c r="B1165" s="7" t="inlineStr">
        <is>
          <t>Hungary</t>
        </is>
      </c>
      <c r="C1165" s="7" t="inlineStr">
        <is>
          <t>Europe &amp; Central Asia</t>
        </is>
      </c>
      <c r="D1165" s="7" t="inlineStr">
        <is>
          <t>High income</t>
        </is>
      </c>
      <c r="E1165" s="7" t="b">
        <v>0</v>
      </c>
      <c r="F1165" s="7" t="inlineStr">
        <is>
          <t>coal_rents_pct_gdp</t>
        </is>
      </c>
      <c r="G1165" s="7" t="n">
        <v>0.008999999999999999</v>
      </c>
      <c r="H1165" s="7" t="inlineStr">
        <is>
          <t>2021</t>
        </is>
      </c>
      <c r="I1165" s="7" t="inlineStr">
        <is>
          <t>API_NY_GDP_COAL_RT_ZS_DS2_en_csv_v2_35370.zip</t>
        </is>
      </c>
    </row>
    <row r="1166">
      <c r="A1166" s="7" t="inlineStr">
        <is>
          <t>HUN</t>
        </is>
      </c>
      <c r="B1166" s="7" t="inlineStr">
        <is>
          <t>Hungary</t>
        </is>
      </c>
      <c r="C1166" s="7" t="inlineStr">
        <is>
          <t>Europe &amp; Central Asia</t>
        </is>
      </c>
      <c r="D1166" s="7" t="inlineStr">
        <is>
          <t>High income</t>
        </is>
      </c>
      <c r="E1166" s="7" t="b">
        <v>0</v>
      </c>
      <c r="F1166" s="7" t="inlineStr">
        <is>
          <t>em_coal_mt</t>
        </is>
      </c>
      <c r="G1166" s="7" t="n">
        <v>2.476</v>
      </c>
      <c r="H1166" s="7" t="n">
        <v>2024</v>
      </c>
      <c r="I1166" s="7" t="inlineStr">
        <is>
          <t>release_generation_yearly_global.csv (Ember)</t>
        </is>
      </c>
    </row>
    <row r="1167">
      <c r="A1167" s="7" t="inlineStr">
        <is>
          <t>HUN</t>
        </is>
      </c>
      <c r="B1167" s="7" t="inlineStr">
        <is>
          <t>Hungary</t>
        </is>
      </c>
      <c r="C1167" s="7" t="inlineStr">
        <is>
          <t>Europe &amp; Central Asia</t>
        </is>
      </c>
      <c r="D1167" s="7" t="inlineStr">
        <is>
          <t>High income</t>
        </is>
      </c>
      <c r="E1167" s="7" t="b">
        <v>0</v>
      </c>
      <c r="F1167" s="7" t="inlineStr">
        <is>
          <t>em_gas_mt</t>
        </is>
      </c>
      <c r="G1167" s="7" t="n">
        <v>3.287</v>
      </c>
      <c r="H1167" s="7" t="n">
        <v>2024</v>
      </c>
      <c r="I1167" s="7" t="inlineStr">
        <is>
          <t>release_generation_yearly_global.csv (Ember)</t>
        </is>
      </c>
    </row>
    <row r="1168">
      <c r="A1168" s="7" t="inlineStr">
        <is>
          <t>HUN</t>
        </is>
      </c>
      <c r="B1168" s="7" t="inlineStr">
        <is>
          <t>Hungary</t>
        </is>
      </c>
      <c r="C1168" s="7" t="inlineStr">
        <is>
          <t>Europe &amp; Central Asia</t>
        </is>
      </c>
      <c r="D1168" s="7" t="inlineStr">
        <is>
          <t>High income</t>
        </is>
      </c>
      <c r="E1168" s="7" t="b">
        <v>0</v>
      </c>
      <c r="F1168" s="7" t="inlineStr">
        <is>
          <t>em_oil_mt</t>
        </is>
      </c>
      <c r="G1168" s="7" t="n">
        <v>0.296</v>
      </c>
      <c r="H1168" s="7" t="n">
        <v>2024</v>
      </c>
      <c r="I1168" s="7" t="inlineStr">
        <is>
          <t>release_generation_yearly_global.csv (Ember)</t>
        </is>
      </c>
    </row>
    <row r="1169">
      <c r="A1169" s="7" t="inlineStr">
        <is>
          <t>HUN</t>
        </is>
      </c>
      <c r="B1169" s="7" t="inlineStr">
        <is>
          <t>Hungary</t>
        </is>
      </c>
      <c r="C1169" s="7" t="inlineStr">
        <is>
          <t>Europe &amp; Central Asia</t>
        </is>
      </c>
      <c r="D1169" s="7" t="inlineStr">
        <is>
          <t>High income</t>
        </is>
      </c>
      <c r="E1169" s="7" t="b">
        <v>0</v>
      </c>
      <c r="F1169" s="7" t="inlineStr">
        <is>
          <t>ff_subsidy_explicit_pct_gdp</t>
        </is>
      </c>
      <c r="G1169" s="7" t="n">
        <v>1.435</v>
      </c>
      <c r="H1169" s="7" t="inlineStr">
        <is>
          <t>2024</t>
        </is>
      </c>
      <c r="I1169" s="7" t="inlineStr">
        <is>
          <t>imffossilfuelsubsidiesdata.xlsb</t>
        </is>
      </c>
    </row>
    <row r="1170">
      <c r="A1170" s="7" t="inlineStr">
        <is>
          <t>HUN</t>
        </is>
      </c>
      <c r="B1170" s="7" t="inlineStr">
        <is>
          <t>Hungary</t>
        </is>
      </c>
      <c r="C1170" s="7" t="inlineStr">
        <is>
          <t>Europe &amp; Central Asia</t>
        </is>
      </c>
      <c r="D1170" s="7" t="inlineStr">
        <is>
          <t>High income</t>
        </is>
      </c>
      <c r="E1170" s="7" t="b">
        <v>0</v>
      </c>
      <c r="F1170" s="7" t="inlineStr">
        <is>
          <t>fuel_exports_pct_merch</t>
        </is>
      </c>
      <c r="G1170" s="7" t="n">
        <v>4.132</v>
      </c>
      <c r="H1170" s="7" t="inlineStr">
        <is>
          <t>2025</t>
        </is>
      </c>
      <c r="I1170" s="7" t="inlineStr">
        <is>
          <t>API_TX_VAL_FUEL_ZS_UN_DS2_en_csv_v2_33055.zip</t>
        </is>
      </c>
    </row>
    <row r="1171">
      <c r="A1171" s="7" t="inlineStr">
        <is>
          <t>HUN</t>
        </is>
      </c>
      <c r="B1171" s="7" t="inlineStr">
        <is>
          <t>Hungary</t>
        </is>
      </c>
      <c r="C1171" s="7" t="inlineStr">
        <is>
          <t>Europe &amp; Central Asia</t>
        </is>
      </c>
      <c r="D1171" s="7" t="inlineStr">
        <is>
          <t>High income</t>
        </is>
      </c>
      <c r="E1171" s="7" t="b">
        <v>0</v>
      </c>
      <c r="F1171" s="7" t="inlineStr">
        <is>
          <t>gen_coal_twh</t>
        </is>
      </c>
      <c r="G1171" s="7" t="n">
        <v>2.44</v>
      </c>
      <c r="H1171" s="7" t="n">
        <v>2024</v>
      </c>
      <c r="I1171" s="7" t="inlineStr">
        <is>
          <t>release_generation_yearly_global.csv (Ember)</t>
        </is>
      </c>
    </row>
    <row r="1172">
      <c r="A1172" s="7" t="inlineStr">
        <is>
          <t>HUN</t>
        </is>
      </c>
      <c r="B1172" s="7" t="inlineStr">
        <is>
          <t>Hungary</t>
        </is>
      </c>
      <c r="C1172" s="7" t="inlineStr">
        <is>
          <t>Europe &amp; Central Asia</t>
        </is>
      </c>
      <c r="D1172" s="7" t="inlineStr">
        <is>
          <t>High income</t>
        </is>
      </c>
      <c r="E1172" s="7" t="b">
        <v>0</v>
      </c>
      <c r="F1172" s="7" t="inlineStr">
        <is>
          <t>gen_gas_twh</t>
        </is>
      </c>
      <c r="G1172" s="7" t="n">
        <v>7.13</v>
      </c>
      <c r="H1172" s="7" t="n">
        <v>2024</v>
      </c>
      <c r="I1172" s="7" t="inlineStr">
        <is>
          <t>release_generation_yearly_global.csv (Ember)</t>
        </is>
      </c>
    </row>
    <row r="1173">
      <c r="A1173" s="7" t="inlineStr">
        <is>
          <t>HUN</t>
        </is>
      </c>
      <c r="B1173" s="7" t="inlineStr">
        <is>
          <t>Hungary</t>
        </is>
      </c>
      <c r="C1173" s="7" t="inlineStr">
        <is>
          <t>Europe &amp; Central Asia</t>
        </is>
      </c>
      <c r="D1173" s="7" t="inlineStr">
        <is>
          <t>High income</t>
        </is>
      </c>
      <c r="E1173" s="7" t="b">
        <v>0</v>
      </c>
      <c r="F1173" s="7" t="inlineStr">
        <is>
          <t>gen_oil_twh</t>
        </is>
      </c>
      <c r="G1173" s="7" t="n">
        <v>0.45</v>
      </c>
      <c r="H1173" s="7" t="n">
        <v>2024</v>
      </c>
      <c r="I1173" s="7" t="inlineStr">
        <is>
          <t>release_generation_yearly_global.csv (Ember)</t>
        </is>
      </c>
    </row>
    <row r="1174">
      <c r="A1174" s="7" t="inlineStr">
        <is>
          <t>HUN</t>
        </is>
      </c>
      <c r="B1174" s="7" t="inlineStr">
        <is>
          <t>Hungary</t>
        </is>
      </c>
      <c r="C1174" s="7" t="inlineStr">
        <is>
          <t>Europe &amp; Central Asia</t>
        </is>
      </c>
      <c r="D1174" s="7" t="inlineStr">
        <is>
          <t>High income</t>
        </is>
      </c>
      <c r="E1174" s="7" t="b">
        <v>0</v>
      </c>
      <c r="F1174" s="7" t="inlineStr">
        <is>
          <t>gen_total_twh</t>
        </is>
      </c>
      <c r="G1174" s="7" t="n">
        <v>38</v>
      </c>
      <c r="H1174" s="7" t="n">
        <v>2024</v>
      </c>
      <c r="I1174" s="7" t="inlineStr">
        <is>
          <t>release_generation_yearly_global.csv (Ember)</t>
        </is>
      </c>
    </row>
    <row r="1175">
      <c r="A1175" s="7" t="inlineStr">
        <is>
          <t>HUN</t>
        </is>
      </c>
      <c r="B1175" s="7" t="inlineStr">
        <is>
          <t>Hungary</t>
        </is>
      </c>
      <c r="C1175" s="7" t="inlineStr">
        <is>
          <t>Europe &amp; Central Asia</t>
        </is>
      </c>
      <c r="D1175" s="7" t="inlineStr">
        <is>
          <t>High income</t>
        </is>
      </c>
      <c r="E1175" s="7" t="b">
        <v>0</v>
      </c>
      <c r="F1175" s="7" t="inlineStr">
        <is>
          <t>price_coal_power_usd_gj</t>
        </is>
      </c>
      <c r="G1175" s="7" t="n">
        <v>12.382</v>
      </c>
      <c r="H1175" s="7" t="inlineStr">
        <is>
          <t>2024</t>
        </is>
      </c>
      <c r="I1175" s="7" t="inlineStr">
        <is>
          <t>imffossilfuelsubsidiesdata.xlsb</t>
        </is>
      </c>
    </row>
    <row r="1176">
      <c r="A1176" s="7" t="inlineStr">
        <is>
          <t>HUN</t>
        </is>
      </c>
      <c r="B1176" s="7" t="inlineStr">
        <is>
          <t>Hungary</t>
        </is>
      </c>
      <c r="C1176" s="7" t="inlineStr">
        <is>
          <t>Europe &amp; Central Asia</t>
        </is>
      </c>
      <c r="D1176" s="7" t="inlineStr">
        <is>
          <t>High income</t>
        </is>
      </c>
      <c r="E1176" s="7" t="b">
        <v>0</v>
      </c>
      <c r="F1176" s="7" t="inlineStr">
        <is>
          <t>price_electricity_residential_usd_kwh</t>
        </is>
      </c>
      <c r="G1176" s="7" t="n">
        <v>0.115</v>
      </c>
      <c r="H1176" s="7" t="inlineStr">
        <is>
          <t>2024</t>
        </is>
      </c>
      <c r="I1176" s="7" t="inlineStr">
        <is>
          <t>imffossilfuelsubsidiesdata.xlsb</t>
        </is>
      </c>
    </row>
    <row r="1177">
      <c r="A1177" s="7" t="inlineStr">
        <is>
          <t>HUN</t>
        </is>
      </c>
      <c r="B1177" s="7" t="inlineStr">
        <is>
          <t>Hungary</t>
        </is>
      </c>
      <c r="C1177" s="7" t="inlineStr">
        <is>
          <t>Europe &amp; Central Asia</t>
        </is>
      </c>
      <c r="D1177" s="7" t="inlineStr">
        <is>
          <t>High income</t>
        </is>
      </c>
      <c r="E1177" s="7" t="b">
        <v>0</v>
      </c>
      <c r="F1177" s="7" t="inlineStr">
        <is>
          <t>price_gas_industry_usd_gj</t>
        </is>
      </c>
      <c r="G1177" s="7" t="n">
        <v>22.19</v>
      </c>
      <c r="H1177" s="7" t="inlineStr">
        <is>
          <t>2024</t>
        </is>
      </c>
      <c r="I1177" s="7" t="inlineStr">
        <is>
          <t>imffossilfuelsubsidiesdata.xlsb</t>
        </is>
      </c>
    </row>
    <row r="1178">
      <c r="A1178" s="7" t="inlineStr">
        <is>
          <t>HUN</t>
        </is>
      </c>
      <c r="B1178" s="7" t="inlineStr">
        <is>
          <t>Hungary</t>
        </is>
      </c>
      <c r="C1178" s="7" t="inlineStr">
        <is>
          <t>Europe &amp; Central Asia</t>
        </is>
      </c>
      <c r="D1178" s="7" t="inlineStr">
        <is>
          <t>High income</t>
        </is>
      </c>
      <c r="E1178" s="7" t="b">
        <v>0</v>
      </c>
      <c r="F1178" s="7" t="inlineStr">
        <is>
          <t>price_gas_power_usd_gj</t>
        </is>
      </c>
      <c r="G1178" s="7" t="n">
        <v>22.19</v>
      </c>
      <c r="H1178" s="7" t="inlineStr">
        <is>
          <t>2024</t>
        </is>
      </c>
      <c r="I1178" s="7" t="inlineStr">
        <is>
          <t>imffossilfuelsubsidiesdata.xlsb</t>
        </is>
      </c>
    </row>
    <row r="1179">
      <c r="A1179" s="7" t="inlineStr">
        <is>
          <t>HUN</t>
        </is>
      </c>
      <c r="B1179" s="7" t="inlineStr">
        <is>
          <t>Hungary</t>
        </is>
      </c>
      <c r="C1179" s="7" t="inlineStr">
        <is>
          <t>Europe &amp; Central Asia</t>
        </is>
      </c>
      <c r="D1179" s="7" t="inlineStr">
        <is>
          <t>High income</t>
        </is>
      </c>
      <c r="E1179" s="7" t="b">
        <v>0</v>
      </c>
      <c r="F1179" s="7" t="inlineStr">
        <is>
          <t>rise_renewable_energy_score</t>
        </is>
      </c>
      <c r="G1179" s="7" t="n">
        <v>72.315</v>
      </c>
      <c r="H1179" s="7" t="inlineStr">
        <is>
          <t>2023</t>
        </is>
      </c>
      <c r="I1179" s="7" t="inlineStr">
        <is>
          <t>WB_RISE_WIDEF.csv</t>
        </is>
      </c>
    </row>
    <row r="1180">
      <c r="A1180" s="7" t="inlineStr">
        <is>
          <t>IDN</t>
        </is>
      </c>
      <c r="B1180" s="7" t="inlineStr">
        <is>
          <t>Indonesia</t>
        </is>
      </c>
      <c r="C1180" s="7" t="inlineStr">
        <is>
          <t>East Asia &amp; Pacific</t>
        </is>
      </c>
      <c r="D1180" s="7" t="inlineStr">
        <is>
          <t>Upper middle income</t>
        </is>
      </c>
      <c r="E1180" s="7" t="b">
        <v>1</v>
      </c>
      <c r="F1180" s="7" t="inlineStr">
        <is>
          <t>coal_rents_pct_gdp</t>
        </is>
      </c>
      <c r="G1180" s="7" t="n">
        <v>1.223</v>
      </c>
      <c r="H1180" s="7" t="inlineStr">
        <is>
          <t>2021</t>
        </is>
      </c>
      <c r="I1180" s="7" t="inlineStr">
        <is>
          <t>API_NY_GDP_COAL_RT_ZS_DS2_en_csv_v2_35370.zip</t>
        </is>
      </c>
    </row>
    <row r="1181">
      <c r="A1181" s="7" t="inlineStr">
        <is>
          <t>IDN</t>
        </is>
      </c>
      <c r="B1181" s="7" t="inlineStr">
        <is>
          <t>Indonesia</t>
        </is>
      </c>
      <c r="C1181" s="7" t="inlineStr">
        <is>
          <t>East Asia &amp; Pacific</t>
        </is>
      </c>
      <c r="D1181" s="7" t="inlineStr">
        <is>
          <t>Upper middle income</t>
        </is>
      </c>
      <c r="E1181" s="7" t="b">
        <v>1</v>
      </c>
      <c r="F1181" s="7" t="inlineStr">
        <is>
          <t>em_coal_mt</t>
        </is>
      </c>
      <c r="G1181" s="7" t="n">
        <v>193.998</v>
      </c>
      <c r="H1181" s="7" t="n">
        <v>2024</v>
      </c>
      <c r="I1181" s="7" t="inlineStr">
        <is>
          <t>release_generation_yearly_global.csv (Ember)</t>
        </is>
      </c>
    </row>
    <row r="1182">
      <c r="A1182" s="7" t="inlineStr">
        <is>
          <t>IDN</t>
        </is>
      </c>
      <c r="B1182" s="7" t="inlineStr">
        <is>
          <t>Indonesia</t>
        </is>
      </c>
      <c r="C1182" s="7" t="inlineStr">
        <is>
          <t>East Asia &amp; Pacific</t>
        </is>
      </c>
      <c r="D1182" s="7" t="inlineStr">
        <is>
          <t>Upper middle income</t>
        </is>
      </c>
      <c r="E1182" s="7" t="b">
        <v>1</v>
      </c>
      <c r="F1182" s="7" t="inlineStr">
        <is>
          <t>em_gas_mt</t>
        </is>
      </c>
      <c r="G1182" s="7" t="n">
        <v>48.42</v>
      </c>
      <c r="H1182" s="7" t="n">
        <v>2024</v>
      </c>
      <c r="I1182" s="7" t="inlineStr">
        <is>
          <t>release_generation_yearly_global.csv (Ember)</t>
        </is>
      </c>
    </row>
    <row r="1183">
      <c r="A1183" s="7" t="inlineStr">
        <is>
          <t>IDN</t>
        </is>
      </c>
      <c r="B1183" s="7" t="inlineStr">
        <is>
          <t>Indonesia</t>
        </is>
      </c>
      <c r="C1183" s="7" t="inlineStr">
        <is>
          <t>East Asia &amp; Pacific</t>
        </is>
      </c>
      <c r="D1183" s="7" t="inlineStr">
        <is>
          <t>Upper middle income</t>
        </is>
      </c>
      <c r="E1183" s="7" t="b">
        <v>1</v>
      </c>
      <c r="F1183" s="7" t="inlineStr">
        <is>
          <t>em_oil_mt</t>
        </is>
      </c>
      <c r="G1183" s="7" t="n">
        <v>4.685</v>
      </c>
      <c r="H1183" s="7" t="n">
        <v>2024</v>
      </c>
      <c r="I1183" s="7" t="inlineStr">
        <is>
          <t>release_generation_yearly_global.csv (Ember)</t>
        </is>
      </c>
    </row>
    <row r="1184">
      <c r="A1184" s="7" t="inlineStr">
        <is>
          <t>IDN</t>
        </is>
      </c>
      <c r="B1184" s="7" t="inlineStr">
        <is>
          <t>Indonesia</t>
        </is>
      </c>
      <c r="C1184" s="7" t="inlineStr">
        <is>
          <t>East Asia &amp; Pacific</t>
        </is>
      </c>
      <c r="D1184" s="7" t="inlineStr">
        <is>
          <t>Upper middle income</t>
        </is>
      </c>
      <c r="E1184" s="7" t="b">
        <v>1</v>
      </c>
      <c r="F1184" s="7" t="inlineStr">
        <is>
          <t>ff_subsidy_explicit_pct_gdp</t>
        </is>
      </c>
      <c r="G1184" s="7" t="n">
        <v>2.981</v>
      </c>
      <c r="H1184" s="7" t="inlineStr">
        <is>
          <t>2024</t>
        </is>
      </c>
      <c r="I1184" s="7" t="inlineStr">
        <is>
          <t>imffossilfuelsubsidiesdata.xlsb</t>
        </is>
      </c>
    </row>
    <row r="1185">
      <c r="A1185" s="7" t="inlineStr">
        <is>
          <t>IDN</t>
        </is>
      </c>
      <c r="B1185" s="7" t="inlineStr">
        <is>
          <t>Indonesia</t>
        </is>
      </c>
      <c r="C1185" s="7" t="inlineStr">
        <is>
          <t>East Asia &amp; Pacific</t>
        </is>
      </c>
      <c r="D1185" s="7" t="inlineStr">
        <is>
          <t>Upper middle income</t>
        </is>
      </c>
      <c r="E1185" s="7" t="b">
        <v>1</v>
      </c>
      <c r="F1185" s="7" t="inlineStr">
        <is>
          <t>fuel_exports_pct_merch</t>
        </is>
      </c>
      <c r="G1185" s="7" t="n">
        <v>16.012</v>
      </c>
      <c r="H1185" s="7" t="inlineStr">
        <is>
          <t>2025</t>
        </is>
      </c>
      <c r="I1185" s="7" t="inlineStr">
        <is>
          <t>API_TX_VAL_FUEL_ZS_UN_DS2_en_csv_v2_33055.zip</t>
        </is>
      </c>
    </row>
    <row r="1186">
      <c r="A1186" s="7" t="inlineStr">
        <is>
          <t>IDN</t>
        </is>
      </c>
      <c r="B1186" s="7" t="inlineStr">
        <is>
          <t>Indonesia</t>
        </is>
      </c>
      <c r="C1186" s="7" t="inlineStr">
        <is>
          <t>East Asia &amp; Pacific</t>
        </is>
      </c>
      <c r="D1186" s="7" t="inlineStr">
        <is>
          <t>Upper middle income</t>
        </is>
      </c>
      <c r="E1186" s="7" t="b">
        <v>1</v>
      </c>
      <c r="F1186" s="7" t="inlineStr">
        <is>
          <t>gen_coal_twh</t>
        </is>
      </c>
      <c r="G1186" s="7" t="n">
        <v>228.43</v>
      </c>
      <c r="H1186" s="7" t="n">
        <v>2024</v>
      </c>
      <c r="I1186" s="7" t="inlineStr">
        <is>
          <t>release_generation_yearly_global.csv (Ember)</t>
        </is>
      </c>
    </row>
    <row r="1187">
      <c r="A1187" s="7" t="inlineStr">
        <is>
          <t>IDN</t>
        </is>
      </c>
      <c r="B1187" s="7" t="inlineStr">
        <is>
          <t>Indonesia</t>
        </is>
      </c>
      <c r="C1187" s="7" t="inlineStr">
        <is>
          <t>East Asia &amp; Pacific</t>
        </is>
      </c>
      <c r="D1187" s="7" t="inlineStr">
        <is>
          <t>Upper middle income</t>
        </is>
      </c>
      <c r="E1187" s="7" t="b">
        <v>1</v>
      </c>
      <c r="F1187" s="7" t="inlineStr">
        <is>
          <t>gen_gas_twh</t>
        </is>
      </c>
      <c r="G1187" s="7" t="n">
        <v>68.78</v>
      </c>
      <c r="H1187" s="7" t="n">
        <v>2024</v>
      </c>
      <c r="I1187" s="7" t="inlineStr">
        <is>
          <t>release_generation_yearly_global.csv (Ember)</t>
        </is>
      </c>
    </row>
    <row r="1188">
      <c r="A1188" s="7" t="inlineStr">
        <is>
          <t>IDN</t>
        </is>
      </c>
      <c r="B1188" s="7" t="inlineStr">
        <is>
          <t>Indonesia</t>
        </is>
      </c>
      <c r="C1188" s="7" t="inlineStr">
        <is>
          <t>East Asia &amp; Pacific</t>
        </is>
      </c>
      <c r="D1188" s="7" t="inlineStr">
        <is>
          <t>Upper middle income</t>
        </is>
      </c>
      <c r="E1188" s="7" t="b">
        <v>1</v>
      </c>
      <c r="F1188" s="7" t="inlineStr">
        <is>
          <t>gen_oil_twh</t>
        </is>
      </c>
      <c r="G1188" s="7" t="n">
        <v>7.12</v>
      </c>
      <c r="H1188" s="7" t="n">
        <v>2024</v>
      </c>
      <c r="I1188" s="7" t="inlineStr">
        <is>
          <t>release_generation_yearly_global.csv (Ember)</t>
        </is>
      </c>
    </row>
    <row r="1189">
      <c r="A1189" s="7" t="inlineStr">
        <is>
          <t>IDN</t>
        </is>
      </c>
      <c r="B1189" s="7" t="inlineStr">
        <is>
          <t>Indonesia</t>
        </is>
      </c>
      <c r="C1189" s="7" t="inlineStr">
        <is>
          <t>East Asia &amp; Pacific</t>
        </is>
      </c>
      <c r="D1189" s="7" t="inlineStr">
        <is>
          <t>Upper middle income</t>
        </is>
      </c>
      <c r="E1189" s="7" t="b">
        <v>1</v>
      </c>
      <c r="F1189" s="7" t="inlineStr">
        <is>
          <t>gen_total_twh</t>
        </is>
      </c>
      <c r="G1189" s="7" t="n">
        <v>371.54</v>
      </c>
      <c r="H1189" s="7" t="n">
        <v>2024</v>
      </c>
      <c r="I1189" s="7" t="inlineStr">
        <is>
          <t>release_generation_yearly_global.csv (Ember)</t>
        </is>
      </c>
    </row>
    <row r="1190">
      <c r="A1190" s="7" t="inlineStr">
        <is>
          <t>IDN</t>
        </is>
      </c>
      <c r="B1190" s="7" t="inlineStr">
        <is>
          <t>Indonesia</t>
        </is>
      </c>
      <c r="C1190" s="7" t="inlineStr">
        <is>
          <t>East Asia &amp; Pacific</t>
        </is>
      </c>
      <c r="D1190" s="7" t="inlineStr">
        <is>
          <t>Upper middle income</t>
        </is>
      </c>
      <c r="E1190" s="7" t="b">
        <v>1</v>
      </c>
      <c r="F1190" s="7" t="inlineStr">
        <is>
          <t>power_market_structure</t>
        </is>
      </c>
      <c r="G1190" s="7" t="n">
        <v>2</v>
      </c>
      <c r="H1190" s="7" t="inlineStr">
        <is>
          <t>2013</t>
        </is>
      </c>
      <c r="I1190" s="7" t="inlineStr">
        <is>
          <t>dataverse_files.zip</t>
        </is>
      </c>
    </row>
    <row r="1191">
      <c r="A1191" s="7" t="inlineStr">
        <is>
          <t>IDN</t>
        </is>
      </c>
      <c r="B1191" s="7" t="inlineStr">
        <is>
          <t>Indonesia</t>
        </is>
      </c>
      <c r="C1191" s="7" t="inlineStr">
        <is>
          <t>East Asia &amp; Pacific</t>
        </is>
      </c>
      <c r="D1191" s="7" t="inlineStr">
        <is>
          <t>Upper middle income</t>
        </is>
      </c>
      <c r="E1191" s="7" t="b">
        <v>1</v>
      </c>
      <c r="F1191" s="7" t="inlineStr">
        <is>
          <t>price_coal_power_usd_gj</t>
        </is>
      </c>
      <c r="G1191" s="7" t="n">
        <v>2.752</v>
      </c>
      <c r="H1191" s="7" t="inlineStr">
        <is>
          <t>2024</t>
        </is>
      </c>
      <c r="I1191" s="7" t="inlineStr">
        <is>
          <t>imffossilfuelsubsidiesdata.xlsb</t>
        </is>
      </c>
    </row>
    <row r="1192">
      <c r="A1192" s="7" t="inlineStr">
        <is>
          <t>IDN</t>
        </is>
      </c>
      <c r="B1192" s="7" t="inlineStr">
        <is>
          <t>Indonesia</t>
        </is>
      </c>
      <c r="C1192" s="7" t="inlineStr">
        <is>
          <t>East Asia &amp; Pacific</t>
        </is>
      </c>
      <c r="D1192" s="7" t="inlineStr">
        <is>
          <t>Upper middle income</t>
        </is>
      </c>
      <c r="E1192" s="7" t="b">
        <v>1</v>
      </c>
      <c r="F1192" s="7" t="inlineStr">
        <is>
          <t>price_electricity_residential_usd_kwh</t>
        </is>
      </c>
      <c r="G1192" s="7" t="n">
        <v>0.073</v>
      </c>
      <c r="H1192" s="7" t="inlineStr">
        <is>
          <t>2024</t>
        </is>
      </c>
      <c r="I1192" s="7" t="inlineStr">
        <is>
          <t>imffossilfuelsubsidiesdata.xlsb</t>
        </is>
      </c>
    </row>
    <row r="1193">
      <c r="A1193" s="7" t="inlineStr">
        <is>
          <t>IDN</t>
        </is>
      </c>
      <c r="B1193" s="7" t="inlineStr">
        <is>
          <t>Indonesia</t>
        </is>
      </c>
      <c r="C1193" s="7" t="inlineStr">
        <is>
          <t>East Asia &amp; Pacific</t>
        </is>
      </c>
      <c r="D1193" s="7" t="inlineStr">
        <is>
          <t>Upper middle income</t>
        </is>
      </c>
      <c r="E1193" s="7" t="b">
        <v>1</v>
      </c>
      <c r="F1193" s="7" t="inlineStr">
        <is>
          <t>price_gas_industry_usd_gj</t>
        </is>
      </c>
      <c r="G1193" s="7" t="n">
        <v>6.579</v>
      </c>
      <c r="H1193" s="7" t="inlineStr">
        <is>
          <t>2024</t>
        </is>
      </c>
      <c r="I1193" s="7" t="inlineStr">
        <is>
          <t>imffossilfuelsubsidiesdata.xlsb</t>
        </is>
      </c>
    </row>
    <row r="1194">
      <c r="A1194" s="7" t="inlineStr">
        <is>
          <t>IDN</t>
        </is>
      </c>
      <c r="B1194" s="7" t="inlineStr">
        <is>
          <t>Indonesia</t>
        </is>
      </c>
      <c r="C1194" s="7" t="inlineStr">
        <is>
          <t>East Asia &amp; Pacific</t>
        </is>
      </c>
      <c r="D1194" s="7" t="inlineStr">
        <is>
          <t>Upper middle income</t>
        </is>
      </c>
      <c r="E1194" s="7" t="b">
        <v>1</v>
      </c>
      <c r="F1194" s="7" t="inlineStr">
        <is>
          <t>price_gas_power_usd_gj</t>
        </is>
      </c>
      <c r="G1194" s="7" t="n">
        <v>4.968</v>
      </c>
      <c r="H1194" s="7" t="inlineStr">
        <is>
          <t>2024</t>
        </is>
      </c>
      <c r="I1194" s="7" t="inlineStr">
        <is>
          <t>imffossilfuelsubsidiesdata.xlsb</t>
        </is>
      </c>
    </row>
    <row r="1195">
      <c r="A1195" s="7" t="inlineStr">
        <is>
          <t>IDN</t>
        </is>
      </c>
      <c r="B1195" s="7" t="inlineStr">
        <is>
          <t>Indonesia</t>
        </is>
      </c>
      <c r="C1195" s="7" t="inlineStr">
        <is>
          <t>East Asia &amp; Pacific</t>
        </is>
      </c>
      <c r="D1195" s="7" t="inlineStr">
        <is>
          <t>Upper middle income</t>
        </is>
      </c>
      <c r="E1195" s="7" t="b">
        <v>1</v>
      </c>
      <c r="F1195" s="7" t="inlineStr">
        <is>
          <t>rise_renewable_energy_score</t>
        </is>
      </c>
      <c r="G1195" s="7" t="n">
        <v>46.667</v>
      </c>
      <c r="H1195" s="7" t="inlineStr">
        <is>
          <t>2023</t>
        </is>
      </c>
      <c r="I1195" s="7" t="inlineStr">
        <is>
          <t>WB_RISE_WIDEF.csv</t>
        </is>
      </c>
    </row>
    <row r="1196">
      <c r="A1196" s="7" t="inlineStr">
        <is>
          <t>IND</t>
        </is>
      </c>
      <c r="B1196" s="7" t="inlineStr">
        <is>
          <t>India</t>
        </is>
      </c>
      <c r="C1196" s="7" t="inlineStr">
        <is>
          <t>South Asia</t>
        </is>
      </c>
      <c r="D1196" s="7" t="inlineStr">
        <is>
          <t>Lower middle income</t>
        </is>
      </c>
      <c r="E1196" s="7" t="b">
        <v>0</v>
      </c>
      <c r="F1196" s="7" t="inlineStr">
        <is>
          <t>coal_rents_pct_gdp</t>
        </is>
      </c>
      <c r="G1196" s="7" t="n">
        <v>1.28</v>
      </c>
      <c r="H1196" s="7" t="inlineStr">
        <is>
          <t>2021</t>
        </is>
      </c>
      <c r="I1196" s="7" t="inlineStr">
        <is>
          <t>API_NY_GDP_COAL_RT_ZS_DS2_en_csv_v2_35370.zip</t>
        </is>
      </c>
    </row>
    <row r="1197">
      <c r="A1197" s="7" t="inlineStr">
        <is>
          <t>IND</t>
        </is>
      </c>
      <c r="B1197" s="7" t="inlineStr">
        <is>
          <t>India</t>
        </is>
      </c>
      <c r="C1197" s="7" t="inlineStr">
        <is>
          <t>South Asia</t>
        </is>
      </c>
      <c r="D1197" s="7" t="inlineStr">
        <is>
          <t>Lower middle income</t>
        </is>
      </c>
      <c r="E1197" s="7" t="b">
        <v>0</v>
      </c>
      <c r="F1197" s="7" t="inlineStr">
        <is>
          <t>em_coal_mt</t>
        </is>
      </c>
      <c r="G1197" s="7" t="n">
        <v>1380.377</v>
      </c>
      <c r="H1197" s="7" t="n">
        <v>2024</v>
      </c>
      <c r="I1197" s="7" t="inlineStr">
        <is>
          <t>release_generation_yearly_global.csv (Ember)</t>
        </is>
      </c>
    </row>
    <row r="1198">
      <c r="A1198" s="7" t="inlineStr">
        <is>
          <t>IND</t>
        </is>
      </c>
      <c r="B1198" s="7" t="inlineStr">
        <is>
          <t>India</t>
        </is>
      </c>
      <c r="C1198" s="7" t="inlineStr">
        <is>
          <t>South Asia</t>
        </is>
      </c>
      <c r="D1198" s="7" t="inlineStr">
        <is>
          <t>Lower middle income</t>
        </is>
      </c>
      <c r="E1198" s="7" t="b">
        <v>0</v>
      </c>
      <c r="F1198" s="7" t="inlineStr">
        <is>
          <t>em_gas_mt</t>
        </is>
      </c>
      <c r="G1198" s="7" t="n">
        <v>39.117</v>
      </c>
      <c r="H1198" s="7" t="n">
        <v>2024</v>
      </c>
      <c r="I1198" s="7" t="inlineStr">
        <is>
          <t>release_generation_yearly_global.csv (Ember)</t>
        </is>
      </c>
    </row>
    <row r="1199">
      <c r="A1199" s="7" t="inlineStr">
        <is>
          <t>IND</t>
        </is>
      </c>
      <c r="B1199" s="7" t="inlineStr">
        <is>
          <t>India</t>
        </is>
      </c>
      <c r="C1199" s="7" t="inlineStr">
        <is>
          <t>South Asia</t>
        </is>
      </c>
      <c r="D1199" s="7" t="inlineStr">
        <is>
          <t>Lower middle income</t>
        </is>
      </c>
      <c r="E1199" s="7" t="b">
        <v>0</v>
      </c>
      <c r="F1199" s="7" t="inlineStr">
        <is>
          <t>em_oil_mt</t>
        </is>
      </c>
      <c r="G1199" s="7" t="n">
        <v>2.691</v>
      </c>
      <c r="H1199" s="7" t="n">
        <v>2024</v>
      </c>
      <c r="I1199" s="7" t="inlineStr">
        <is>
          <t>release_generation_yearly_global.csv (Ember)</t>
        </is>
      </c>
    </row>
    <row r="1200">
      <c r="A1200" s="7" t="inlineStr">
        <is>
          <t>IND</t>
        </is>
      </c>
      <c r="B1200" s="7" t="inlineStr">
        <is>
          <t>India</t>
        </is>
      </c>
      <c r="C1200" s="7" t="inlineStr">
        <is>
          <t>South Asia</t>
        </is>
      </c>
      <c r="D1200" s="7" t="inlineStr">
        <is>
          <t>Lower middle income</t>
        </is>
      </c>
      <c r="E1200" s="7" t="b">
        <v>0</v>
      </c>
      <c r="F1200" s="7" t="inlineStr">
        <is>
          <t>ff_subsidy_explicit_pct_gdp</t>
        </is>
      </c>
      <c r="G1200" s="7" t="n">
        <v>0.967</v>
      </c>
      <c r="H1200" s="7" t="inlineStr">
        <is>
          <t>2024</t>
        </is>
      </c>
      <c r="I1200" s="7" t="inlineStr">
        <is>
          <t>imffossilfuelsubsidiesdata.xlsb</t>
        </is>
      </c>
    </row>
    <row r="1201">
      <c r="A1201" s="7" t="inlineStr">
        <is>
          <t>IND</t>
        </is>
      </c>
      <c r="B1201" s="7" t="inlineStr">
        <is>
          <t>India</t>
        </is>
      </c>
      <c r="C1201" s="7" t="inlineStr">
        <is>
          <t>South Asia</t>
        </is>
      </c>
      <c r="D1201" s="7" t="inlineStr">
        <is>
          <t>Lower middle income</t>
        </is>
      </c>
      <c r="E1201" s="7" t="b">
        <v>0</v>
      </c>
      <c r="F1201" s="7" t="inlineStr">
        <is>
          <t>fuel_exports_pct_merch</t>
        </is>
      </c>
      <c r="G1201" s="7" t="n">
        <v>17.094</v>
      </c>
      <c r="H1201" s="7" t="inlineStr">
        <is>
          <t>2024</t>
        </is>
      </c>
      <c r="I1201" s="7" t="inlineStr">
        <is>
          <t>API_TX_VAL_FUEL_ZS_UN_DS2_en_csv_v2_33055.zip</t>
        </is>
      </c>
    </row>
    <row r="1202">
      <c r="A1202" s="7" t="inlineStr">
        <is>
          <t>IND</t>
        </is>
      </c>
      <c r="B1202" s="7" t="inlineStr">
        <is>
          <t>India</t>
        </is>
      </c>
      <c r="C1202" s="7" t="inlineStr">
        <is>
          <t>South Asia</t>
        </is>
      </c>
      <c r="D1202" s="7" t="inlineStr">
        <is>
          <t>Lower middle income</t>
        </is>
      </c>
      <c r="E1202" s="7" t="b">
        <v>0</v>
      </c>
      <c r="F1202" s="7" t="inlineStr">
        <is>
          <t>gen_coal_twh</t>
        </is>
      </c>
      <c r="G1202" s="7" t="n">
        <v>1517.9</v>
      </c>
      <c r="H1202" s="7" t="n">
        <v>2024</v>
      </c>
      <c r="I1202" s="7" t="inlineStr">
        <is>
          <t>release_generation_yearly_global.csv (Ember)</t>
        </is>
      </c>
    </row>
    <row r="1203">
      <c r="A1203" s="7" t="inlineStr">
        <is>
          <t>IND</t>
        </is>
      </c>
      <c r="B1203" s="7" t="inlineStr">
        <is>
          <t>India</t>
        </is>
      </c>
      <c r="C1203" s="7" t="inlineStr">
        <is>
          <t>South Asia</t>
        </is>
      </c>
      <c r="D1203" s="7" t="inlineStr">
        <is>
          <t>Lower middle income</t>
        </is>
      </c>
      <c r="E1203" s="7" t="b">
        <v>0</v>
      </c>
      <c r="F1203" s="7" t="inlineStr">
        <is>
          <t>gen_gas_twh</t>
        </is>
      </c>
      <c r="G1203" s="7" t="n">
        <v>56.44</v>
      </c>
      <c r="H1203" s="7" t="n">
        <v>2024</v>
      </c>
      <c r="I1203" s="7" t="inlineStr">
        <is>
          <t>release_generation_yearly_global.csv (Ember)</t>
        </is>
      </c>
    </row>
    <row r="1204">
      <c r="A1204" s="7" t="inlineStr">
        <is>
          <t>IND</t>
        </is>
      </c>
      <c r="B1204" s="7" t="inlineStr">
        <is>
          <t>India</t>
        </is>
      </c>
      <c r="C1204" s="7" t="inlineStr">
        <is>
          <t>South Asia</t>
        </is>
      </c>
      <c r="D1204" s="7" t="inlineStr">
        <is>
          <t>Lower middle income</t>
        </is>
      </c>
      <c r="E1204" s="7" t="b">
        <v>0</v>
      </c>
      <c r="F1204" s="7" t="inlineStr">
        <is>
          <t>gen_oil_twh</t>
        </is>
      </c>
      <c r="G1204" s="7" t="n">
        <v>4.09</v>
      </c>
      <c r="H1204" s="7" t="n">
        <v>2024</v>
      </c>
      <c r="I1204" s="7" t="inlineStr">
        <is>
          <t>release_generation_yearly_global.csv (Ember)</t>
        </is>
      </c>
    </row>
    <row r="1205">
      <c r="A1205" s="7" t="inlineStr">
        <is>
          <t>IND</t>
        </is>
      </c>
      <c r="B1205" s="7" t="inlineStr">
        <is>
          <t>India</t>
        </is>
      </c>
      <c r="C1205" s="7" t="inlineStr">
        <is>
          <t>South Asia</t>
        </is>
      </c>
      <c r="D1205" s="7" t="inlineStr">
        <is>
          <t>Lower middle income</t>
        </is>
      </c>
      <c r="E1205" s="7" t="b">
        <v>0</v>
      </c>
      <c r="F1205" s="7" t="inlineStr">
        <is>
          <t>gen_total_twh</t>
        </is>
      </c>
      <c r="G1205" s="7" t="n">
        <v>2036.52</v>
      </c>
      <c r="H1205" s="7" t="n">
        <v>2024</v>
      </c>
      <c r="I1205" s="7" t="inlineStr">
        <is>
          <t>release_generation_yearly_global.csv (Ember)</t>
        </is>
      </c>
    </row>
    <row r="1206">
      <c r="A1206" s="7" t="inlineStr">
        <is>
          <t>IND</t>
        </is>
      </c>
      <c r="B1206" s="7" t="inlineStr">
        <is>
          <t>India</t>
        </is>
      </c>
      <c r="C1206" s="7" t="inlineStr">
        <is>
          <t>South Asia</t>
        </is>
      </c>
      <c r="D1206" s="7" t="inlineStr">
        <is>
          <t>Lower middle income</t>
        </is>
      </c>
      <c r="E1206" s="7" t="b">
        <v>0</v>
      </c>
      <c r="F1206" s="7" t="inlineStr">
        <is>
          <t>power_market_structure</t>
        </is>
      </c>
      <c r="G1206" s="7" t="n">
        <v>3</v>
      </c>
      <c r="H1206" s="7" t="inlineStr">
        <is>
          <t>2013</t>
        </is>
      </c>
      <c r="I1206" s="7" t="inlineStr">
        <is>
          <t>dataverse_files.zip</t>
        </is>
      </c>
    </row>
    <row r="1207">
      <c r="A1207" s="7" t="inlineStr">
        <is>
          <t>IND</t>
        </is>
      </c>
      <c r="B1207" s="7" t="inlineStr">
        <is>
          <t>India</t>
        </is>
      </c>
      <c r="C1207" s="7" t="inlineStr">
        <is>
          <t>South Asia</t>
        </is>
      </c>
      <c r="D1207" s="7" t="inlineStr">
        <is>
          <t>Lower middle income</t>
        </is>
      </c>
      <c r="E1207" s="7" t="b">
        <v>0</v>
      </c>
      <c r="F1207" s="7" t="inlineStr">
        <is>
          <t>price_coal_power_usd_gj</t>
        </is>
      </c>
      <c r="G1207" s="7" t="n">
        <v>3.003</v>
      </c>
      <c r="H1207" s="7" t="inlineStr">
        <is>
          <t>2024</t>
        </is>
      </c>
      <c r="I1207" s="7" t="inlineStr">
        <is>
          <t>imffossilfuelsubsidiesdata.xlsb</t>
        </is>
      </c>
    </row>
    <row r="1208">
      <c r="A1208" s="7" t="inlineStr">
        <is>
          <t>IND</t>
        </is>
      </c>
      <c r="B1208" s="7" t="inlineStr">
        <is>
          <t>India</t>
        </is>
      </c>
      <c r="C1208" s="7" t="inlineStr">
        <is>
          <t>South Asia</t>
        </is>
      </c>
      <c r="D1208" s="7" t="inlineStr">
        <is>
          <t>Lower middle income</t>
        </is>
      </c>
      <c r="E1208" s="7" t="b">
        <v>0</v>
      </c>
      <c r="F1208" s="7" t="inlineStr">
        <is>
          <t>price_electricity_residential_usd_kwh</t>
        </is>
      </c>
      <c r="G1208" s="7" t="n">
        <v>0.08400000000000001</v>
      </c>
      <c r="H1208" s="7" t="inlineStr">
        <is>
          <t>2024</t>
        </is>
      </c>
      <c r="I1208" s="7" t="inlineStr">
        <is>
          <t>imffossilfuelsubsidiesdata.xlsb</t>
        </is>
      </c>
    </row>
    <row r="1209">
      <c r="A1209" s="7" t="inlineStr">
        <is>
          <t>IND</t>
        </is>
      </c>
      <c r="B1209" s="7" t="inlineStr">
        <is>
          <t>India</t>
        </is>
      </c>
      <c r="C1209" s="7" t="inlineStr">
        <is>
          <t>South Asia</t>
        </is>
      </c>
      <c r="D1209" s="7" t="inlineStr">
        <is>
          <t>Lower middle income</t>
        </is>
      </c>
      <c r="E1209" s="7" t="b">
        <v>0</v>
      </c>
      <c r="F1209" s="7" t="inlineStr">
        <is>
          <t>price_gas_industry_usd_gj</t>
        </is>
      </c>
      <c r="G1209" s="7" t="n">
        <v>7.62</v>
      </c>
      <c r="H1209" s="7" t="inlineStr">
        <is>
          <t>2024</t>
        </is>
      </c>
      <c r="I1209" s="7" t="inlineStr">
        <is>
          <t>imffossilfuelsubsidiesdata.xlsb</t>
        </is>
      </c>
    </row>
    <row r="1210">
      <c r="A1210" s="7" t="inlineStr">
        <is>
          <t>IND</t>
        </is>
      </c>
      <c r="B1210" s="7" t="inlineStr">
        <is>
          <t>India</t>
        </is>
      </c>
      <c r="C1210" s="7" t="inlineStr">
        <is>
          <t>South Asia</t>
        </is>
      </c>
      <c r="D1210" s="7" t="inlineStr">
        <is>
          <t>Lower middle income</t>
        </is>
      </c>
      <c r="E1210" s="7" t="b">
        <v>0</v>
      </c>
      <c r="F1210" s="7" t="inlineStr">
        <is>
          <t>price_gas_power_usd_gj</t>
        </is>
      </c>
      <c r="G1210" s="7" t="n">
        <v>7.62</v>
      </c>
      <c r="H1210" s="7" t="inlineStr">
        <is>
          <t>2024</t>
        </is>
      </c>
      <c r="I1210" s="7" t="inlineStr">
        <is>
          <t>imffossilfuelsubsidiesdata.xlsb</t>
        </is>
      </c>
    </row>
    <row r="1211">
      <c r="A1211" s="7" t="inlineStr">
        <is>
          <t>IND</t>
        </is>
      </c>
      <c r="B1211" s="7" t="inlineStr">
        <is>
          <t>India</t>
        </is>
      </c>
      <c r="C1211" s="7" t="inlineStr">
        <is>
          <t>South Asia</t>
        </is>
      </c>
      <c r="D1211" s="7" t="inlineStr">
        <is>
          <t>Lower middle income</t>
        </is>
      </c>
      <c r="E1211" s="7" t="b">
        <v>0</v>
      </c>
      <c r="F1211" s="7" t="inlineStr">
        <is>
          <t>rise_renewable_energy_score</t>
        </is>
      </c>
      <c r="G1211" s="7" t="n">
        <v>67.785</v>
      </c>
      <c r="H1211" s="7" t="inlineStr">
        <is>
          <t>2023</t>
        </is>
      </c>
      <c r="I1211" s="7" t="inlineStr">
        <is>
          <t>WB_RISE_WIDEF.csv</t>
        </is>
      </c>
    </row>
    <row r="1212">
      <c r="A1212" s="7" t="inlineStr">
        <is>
          <t>IRL</t>
        </is>
      </c>
      <c r="B1212" s="7" t="inlineStr">
        <is>
          <t>Ireland</t>
        </is>
      </c>
      <c r="C1212" s="7" t="inlineStr">
        <is>
          <t>Europe &amp; Central Asia</t>
        </is>
      </c>
      <c r="D1212" s="7" t="inlineStr">
        <is>
          <t>High income</t>
        </is>
      </c>
      <c r="E1212" s="7" t="b">
        <v>0</v>
      </c>
      <c r="F1212" s="7" t="inlineStr">
        <is>
          <t>coal_rents_pct_gdp</t>
        </is>
      </c>
      <c r="G1212" s="7" t="n">
        <v>0</v>
      </c>
      <c r="H1212" s="7" t="inlineStr">
        <is>
          <t>2021</t>
        </is>
      </c>
      <c r="I1212" s="7" t="inlineStr">
        <is>
          <t>API_NY_GDP_COAL_RT_ZS_DS2_en_csv_v2_35370.zip</t>
        </is>
      </c>
    </row>
    <row r="1213">
      <c r="A1213" s="7" t="inlineStr">
        <is>
          <t>IRL</t>
        </is>
      </c>
      <c r="B1213" s="7" t="inlineStr">
        <is>
          <t>Ireland</t>
        </is>
      </c>
      <c r="C1213" s="7" t="inlineStr">
        <is>
          <t>Europe &amp; Central Asia</t>
        </is>
      </c>
      <c r="D1213" s="7" t="inlineStr">
        <is>
          <t>High income</t>
        </is>
      </c>
      <c r="E1213" s="7" t="b">
        <v>0</v>
      </c>
      <c r="F1213" s="7" t="inlineStr">
        <is>
          <t>em_coal_mt</t>
        </is>
      </c>
      <c r="G1213" s="7" t="n">
        <v>0.606</v>
      </c>
      <c r="H1213" s="7" t="n">
        <v>2024</v>
      </c>
      <c r="I1213" s="7" t="inlineStr">
        <is>
          <t>release_generation_yearly_global.csv (Ember)</t>
        </is>
      </c>
    </row>
    <row r="1214">
      <c r="A1214" s="7" t="inlineStr">
        <is>
          <t>IRL</t>
        </is>
      </c>
      <c r="B1214" s="7" t="inlineStr">
        <is>
          <t>Ireland</t>
        </is>
      </c>
      <c r="C1214" s="7" t="inlineStr">
        <is>
          <t>Europe &amp; Central Asia</t>
        </is>
      </c>
      <c r="D1214" s="7" t="inlineStr">
        <is>
          <t>High income</t>
        </is>
      </c>
      <c r="E1214" s="7" t="b">
        <v>0</v>
      </c>
      <c r="F1214" s="7" t="inlineStr">
        <is>
          <t>em_gas_mt</t>
        </is>
      </c>
      <c r="G1214" s="7" t="n">
        <v>6.793</v>
      </c>
      <c r="H1214" s="7" t="n">
        <v>2024</v>
      </c>
      <c r="I1214" s="7" t="inlineStr">
        <is>
          <t>release_generation_yearly_global.csv (Ember)</t>
        </is>
      </c>
    </row>
    <row r="1215">
      <c r="A1215" s="7" t="inlineStr">
        <is>
          <t>IRL</t>
        </is>
      </c>
      <c r="B1215" s="7" t="inlineStr">
        <is>
          <t>Ireland</t>
        </is>
      </c>
      <c r="C1215" s="7" t="inlineStr">
        <is>
          <t>Europe &amp; Central Asia</t>
        </is>
      </c>
      <c r="D1215" s="7" t="inlineStr">
        <is>
          <t>High income</t>
        </is>
      </c>
      <c r="E1215" s="7" t="b">
        <v>0</v>
      </c>
      <c r="F1215" s="7" t="inlineStr">
        <is>
          <t>em_oil_mt</t>
        </is>
      </c>
      <c r="G1215" s="7" t="n">
        <v>0.586</v>
      </c>
      <c r="H1215" s="7" t="n">
        <v>2024</v>
      </c>
      <c r="I1215" s="7" t="inlineStr">
        <is>
          <t>release_generation_yearly_global.csv (Ember)</t>
        </is>
      </c>
    </row>
    <row r="1216">
      <c r="A1216" s="7" t="inlineStr">
        <is>
          <t>IRL</t>
        </is>
      </c>
      <c r="B1216" s="7" t="inlineStr">
        <is>
          <t>Ireland</t>
        </is>
      </c>
      <c r="C1216" s="7" t="inlineStr">
        <is>
          <t>Europe &amp; Central Asia</t>
        </is>
      </c>
      <c r="D1216" s="7" t="inlineStr">
        <is>
          <t>High income</t>
        </is>
      </c>
      <c r="E1216" s="7" t="b">
        <v>0</v>
      </c>
      <c r="F1216" s="7" t="inlineStr">
        <is>
          <t>ff_subsidy_explicit_pct_gdp</t>
        </is>
      </c>
      <c r="G1216" s="7" t="n">
        <v>0.124</v>
      </c>
      <c r="H1216" s="7" t="inlineStr">
        <is>
          <t>2024</t>
        </is>
      </c>
      <c r="I1216" s="7" t="inlineStr">
        <is>
          <t>imffossilfuelsubsidiesdata.xlsb</t>
        </is>
      </c>
    </row>
    <row r="1217">
      <c r="A1217" s="7" t="inlineStr">
        <is>
          <t>IRL</t>
        </is>
      </c>
      <c r="B1217" s="7" t="inlineStr">
        <is>
          <t>Ireland</t>
        </is>
      </c>
      <c r="C1217" s="7" t="inlineStr">
        <is>
          <t>Europe &amp; Central Asia</t>
        </is>
      </c>
      <c r="D1217" s="7" t="inlineStr">
        <is>
          <t>High income</t>
        </is>
      </c>
      <c r="E1217" s="7" t="b">
        <v>0</v>
      </c>
      <c r="F1217" s="7" t="inlineStr">
        <is>
          <t>fuel_exports_pct_merch</t>
        </is>
      </c>
      <c r="G1217" s="7" t="n">
        <v>0.353</v>
      </c>
      <c r="H1217" s="7" t="inlineStr">
        <is>
          <t>2024</t>
        </is>
      </c>
      <c r="I1217" s="7" t="inlineStr">
        <is>
          <t>API_TX_VAL_FUEL_ZS_UN_DS2_en_csv_v2_33055.zip</t>
        </is>
      </c>
    </row>
    <row r="1218">
      <c r="A1218" s="7" t="inlineStr">
        <is>
          <t>IRL</t>
        </is>
      </c>
      <c r="B1218" s="7" t="inlineStr">
        <is>
          <t>Ireland</t>
        </is>
      </c>
      <c r="C1218" s="7" t="inlineStr">
        <is>
          <t>Europe &amp; Central Asia</t>
        </is>
      </c>
      <c r="D1218" s="7" t="inlineStr">
        <is>
          <t>High income</t>
        </is>
      </c>
      <c r="E1218" s="7" t="b">
        <v>0</v>
      </c>
      <c r="F1218" s="7" t="inlineStr">
        <is>
          <t>gen_coal_twh</t>
        </is>
      </c>
      <c r="G1218" s="7" t="n">
        <v>0.63</v>
      </c>
      <c r="H1218" s="7" t="n">
        <v>2024</v>
      </c>
      <c r="I1218" s="7" t="inlineStr">
        <is>
          <t>release_generation_yearly_global.csv (Ember)</t>
        </is>
      </c>
    </row>
    <row r="1219">
      <c r="A1219" s="7" t="inlineStr">
        <is>
          <t>IRL</t>
        </is>
      </c>
      <c r="B1219" s="7" t="inlineStr">
        <is>
          <t>Ireland</t>
        </is>
      </c>
      <c r="C1219" s="7" t="inlineStr">
        <is>
          <t>Europe &amp; Central Asia</t>
        </is>
      </c>
      <c r="D1219" s="7" t="inlineStr">
        <is>
          <t>High income</t>
        </is>
      </c>
      <c r="E1219" s="7" t="b">
        <v>0</v>
      </c>
      <c r="F1219" s="7" t="inlineStr">
        <is>
          <t>gen_gas_twh</t>
        </is>
      </c>
      <c r="G1219" s="7" t="n">
        <v>15.1</v>
      </c>
      <c r="H1219" s="7" t="n">
        <v>2024</v>
      </c>
      <c r="I1219" s="7" t="inlineStr">
        <is>
          <t>release_generation_yearly_global.csv (Ember)</t>
        </is>
      </c>
    </row>
    <row r="1220">
      <c r="A1220" s="7" t="inlineStr">
        <is>
          <t>IRL</t>
        </is>
      </c>
      <c r="B1220" s="7" t="inlineStr">
        <is>
          <t>Ireland</t>
        </is>
      </c>
      <c r="C1220" s="7" t="inlineStr">
        <is>
          <t>Europe &amp; Central Asia</t>
        </is>
      </c>
      <c r="D1220" s="7" t="inlineStr">
        <is>
          <t>High income</t>
        </is>
      </c>
      <c r="E1220" s="7" t="b">
        <v>0</v>
      </c>
      <c r="F1220" s="7" t="inlineStr">
        <is>
          <t>gen_oil_twh</t>
        </is>
      </c>
      <c r="G1220" s="7" t="n">
        <v>0.89</v>
      </c>
      <c r="H1220" s="7" t="n">
        <v>2024</v>
      </c>
      <c r="I1220" s="7" t="inlineStr">
        <is>
          <t>release_generation_yearly_global.csv (Ember)</t>
        </is>
      </c>
    </row>
    <row r="1221">
      <c r="A1221" s="7" t="inlineStr">
        <is>
          <t>IRL</t>
        </is>
      </c>
      <c r="B1221" s="7" t="inlineStr">
        <is>
          <t>Ireland</t>
        </is>
      </c>
      <c r="C1221" s="7" t="inlineStr">
        <is>
          <t>Europe &amp; Central Asia</t>
        </is>
      </c>
      <c r="D1221" s="7" t="inlineStr">
        <is>
          <t>High income</t>
        </is>
      </c>
      <c r="E1221" s="7" t="b">
        <v>0</v>
      </c>
      <c r="F1221" s="7" t="inlineStr">
        <is>
          <t>gen_total_twh</t>
        </is>
      </c>
      <c r="G1221" s="7" t="n">
        <v>31.08</v>
      </c>
      <c r="H1221" s="7" t="n">
        <v>2024</v>
      </c>
      <c r="I1221" s="7" t="inlineStr">
        <is>
          <t>release_generation_yearly_global.csv (Ember)</t>
        </is>
      </c>
    </row>
    <row r="1222">
      <c r="A1222" s="7" t="inlineStr">
        <is>
          <t>IRL</t>
        </is>
      </c>
      <c r="B1222" s="7" t="inlineStr">
        <is>
          <t>Ireland</t>
        </is>
      </c>
      <c r="C1222" s="7" t="inlineStr">
        <is>
          <t>Europe &amp; Central Asia</t>
        </is>
      </c>
      <c r="D1222" s="7" t="inlineStr">
        <is>
          <t>High income</t>
        </is>
      </c>
      <c r="E1222" s="7" t="b">
        <v>0</v>
      </c>
      <c r="F1222" s="7" t="inlineStr">
        <is>
          <t>price_coal_power_usd_gj</t>
        </is>
      </c>
      <c r="G1222" s="7" t="n">
        <v>17.146</v>
      </c>
      <c r="H1222" s="7" t="inlineStr">
        <is>
          <t>2024</t>
        </is>
      </c>
      <c r="I1222" s="7" t="inlineStr">
        <is>
          <t>imffossilfuelsubsidiesdata.xlsb</t>
        </is>
      </c>
    </row>
    <row r="1223">
      <c r="A1223" s="7" t="inlineStr">
        <is>
          <t>IRL</t>
        </is>
      </c>
      <c r="B1223" s="7" t="inlineStr">
        <is>
          <t>Ireland</t>
        </is>
      </c>
      <c r="C1223" s="7" t="inlineStr">
        <is>
          <t>Europe &amp; Central Asia</t>
        </is>
      </c>
      <c r="D1223" s="7" t="inlineStr">
        <is>
          <t>High income</t>
        </is>
      </c>
      <c r="E1223" s="7" t="b">
        <v>0</v>
      </c>
      <c r="F1223" s="7" t="inlineStr">
        <is>
          <t>price_electricity_residential_usd_kwh</t>
        </is>
      </c>
      <c r="G1223" s="7" t="n">
        <v>0.305</v>
      </c>
      <c r="H1223" s="7" t="inlineStr">
        <is>
          <t>2024</t>
        </is>
      </c>
      <c r="I1223" s="7" t="inlineStr">
        <is>
          <t>imffossilfuelsubsidiesdata.xlsb</t>
        </is>
      </c>
    </row>
    <row r="1224">
      <c r="A1224" s="7" t="inlineStr">
        <is>
          <t>IRL</t>
        </is>
      </c>
      <c r="B1224" s="7" t="inlineStr">
        <is>
          <t>Ireland</t>
        </is>
      </c>
      <c r="C1224" s="7" t="inlineStr">
        <is>
          <t>Europe &amp; Central Asia</t>
        </is>
      </c>
      <c r="D1224" s="7" t="inlineStr">
        <is>
          <t>High income</t>
        </is>
      </c>
      <c r="E1224" s="7" t="b">
        <v>0</v>
      </c>
      <c r="F1224" s="7" t="inlineStr">
        <is>
          <t>price_gas_industry_usd_gj</t>
        </is>
      </c>
      <c r="G1224" s="7" t="n">
        <v>23.998</v>
      </c>
      <c r="H1224" s="7" t="inlineStr">
        <is>
          <t>2024</t>
        </is>
      </c>
      <c r="I1224" s="7" t="inlineStr">
        <is>
          <t>imffossilfuelsubsidiesdata.xlsb</t>
        </is>
      </c>
    </row>
    <row r="1225">
      <c r="A1225" s="7" t="inlineStr">
        <is>
          <t>IRL</t>
        </is>
      </c>
      <c r="B1225" s="7" t="inlineStr">
        <is>
          <t>Ireland</t>
        </is>
      </c>
      <c r="C1225" s="7" t="inlineStr">
        <is>
          <t>Europe &amp; Central Asia</t>
        </is>
      </c>
      <c r="D1225" s="7" t="inlineStr">
        <is>
          <t>High income</t>
        </is>
      </c>
      <c r="E1225" s="7" t="b">
        <v>0</v>
      </c>
      <c r="F1225" s="7" t="inlineStr">
        <is>
          <t>price_gas_power_usd_gj</t>
        </is>
      </c>
      <c r="G1225" s="7" t="n">
        <v>23.998</v>
      </c>
      <c r="H1225" s="7" t="inlineStr">
        <is>
          <t>2024</t>
        </is>
      </c>
      <c r="I1225" s="7" t="inlineStr">
        <is>
          <t>imffossilfuelsubsidiesdata.xlsb</t>
        </is>
      </c>
    </row>
    <row r="1226">
      <c r="A1226" s="7" t="inlineStr">
        <is>
          <t>IRL</t>
        </is>
      </c>
      <c r="B1226" s="7" t="inlineStr">
        <is>
          <t>Ireland</t>
        </is>
      </c>
      <c r="C1226" s="7" t="inlineStr">
        <is>
          <t>Europe &amp; Central Asia</t>
        </is>
      </c>
      <c r="D1226" s="7" t="inlineStr">
        <is>
          <t>High income</t>
        </is>
      </c>
      <c r="E1226" s="7" t="b">
        <v>0</v>
      </c>
      <c r="F1226" s="7" t="inlineStr">
        <is>
          <t>rise_renewable_energy_score</t>
        </is>
      </c>
      <c r="G1226" s="7" t="n">
        <v>84.63</v>
      </c>
      <c r="H1226" s="7" t="inlineStr">
        <is>
          <t>2023</t>
        </is>
      </c>
      <c r="I1226" s="7" t="inlineStr">
        <is>
          <t>WB_RISE_WIDEF.csv</t>
        </is>
      </c>
    </row>
    <row r="1227">
      <c r="A1227" s="7" t="inlineStr">
        <is>
          <t>IRN</t>
        </is>
      </c>
      <c r="B1227" s="7" t="inlineStr">
        <is>
          <t>Iran, Islamic Rep.</t>
        </is>
      </c>
      <c r="C1227" s="7" t="inlineStr">
        <is>
          <t>Middle East &amp; North Africa</t>
        </is>
      </c>
      <c r="D1227" s="7" t="inlineStr">
        <is>
          <t>Upper middle income</t>
        </is>
      </c>
      <c r="E1227" s="7" t="b">
        <v>0</v>
      </c>
      <c r="F1227" s="7" t="inlineStr">
        <is>
          <t>coal_rents_pct_gdp</t>
        </is>
      </c>
      <c r="G1227" s="7" t="n">
        <v>0.008999999999999999</v>
      </c>
      <c r="H1227" s="7" t="inlineStr">
        <is>
          <t>2021</t>
        </is>
      </c>
      <c r="I1227" s="7" t="inlineStr">
        <is>
          <t>API_NY_GDP_COAL_RT_ZS_DS2_en_csv_v2_35370.zip</t>
        </is>
      </c>
    </row>
    <row r="1228">
      <c r="A1228" s="7" t="inlineStr">
        <is>
          <t>IRN</t>
        </is>
      </c>
      <c r="B1228" s="7" t="inlineStr">
        <is>
          <t>Iran, Islamic Rep.</t>
        </is>
      </c>
      <c r="C1228" s="7" t="inlineStr">
        <is>
          <t>Middle East &amp; North Africa</t>
        </is>
      </c>
      <c r="D1228" s="7" t="inlineStr">
        <is>
          <t>Upper middle income</t>
        </is>
      </c>
      <c r="E1228" s="7" t="b">
        <v>0</v>
      </c>
      <c r="F1228" s="7" t="inlineStr">
        <is>
          <t>em_coal_mt</t>
        </is>
      </c>
      <c r="G1228" s="7" t="n">
        <v>0.663</v>
      </c>
      <c r="H1228" s="7" t="n">
        <v>2024</v>
      </c>
      <c r="I1228" s="7" t="inlineStr">
        <is>
          <t>release_generation_yearly_global.csv (Ember)</t>
        </is>
      </c>
    </row>
    <row r="1229">
      <c r="A1229" s="7" t="inlineStr">
        <is>
          <t>IRN</t>
        </is>
      </c>
      <c r="B1229" s="7" t="inlineStr">
        <is>
          <t>Iran, Islamic Rep.</t>
        </is>
      </c>
      <c r="C1229" s="7" t="inlineStr">
        <is>
          <t>Middle East &amp; North Africa</t>
        </is>
      </c>
      <c r="D1229" s="7" t="inlineStr">
        <is>
          <t>Upper middle income</t>
        </is>
      </c>
      <c r="E1229" s="7" t="b">
        <v>0</v>
      </c>
      <c r="F1229" s="7" t="inlineStr">
        <is>
          <t>em_gas_mt</t>
        </is>
      </c>
      <c r="G1229" s="7" t="n">
        <v>238.017</v>
      </c>
      <c r="H1229" s="7" t="n">
        <v>2024</v>
      </c>
      <c r="I1229" s="7" t="inlineStr">
        <is>
          <t>release_generation_yearly_global.csv (Ember)</t>
        </is>
      </c>
    </row>
    <row r="1230">
      <c r="A1230" s="7" t="inlineStr">
        <is>
          <t>IRN</t>
        </is>
      </c>
      <c r="B1230" s="7" t="inlineStr">
        <is>
          <t>Iran, Islamic Rep.</t>
        </is>
      </c>
      <c r="C1230" s="7" t="inlineStr">
        <is>
          <t>Middle East &amp; North Africa</t>
        </is>
      </c>
      <c r="D1230" s="7" t="inlineStr">
        <is>
          <t>Upper middle income</t>
        </is>
      </c>
      <c r="E1230" s="7" t="b">
        <v>0</v>
      </c>
      <c r="F1230" s="7" t="inlineStr">
        <is>
          <t>em_oil_mt</t>
        </is>
      </c>
      <c r="G1230" s="7" t="n">
        <v>17.509</v>
      </c>
      <c r="H1230" s="7" t="n">
        <v>2024</v>
      </c>
      <c r="I1230" s="7" t="inlineStr">
        <is>
          <t>release_generation_yearly_global.csv (Ember)</t>
        </is>
      </c>
    </row>
    <row r="1231">
      <c r="A1231" s="7" t="inlineStr">
        <is>
          <t>IRN</t>
        </is>
      </c>
      <c r="B1231" s="7" t="inlineStr">
        <is>
          <t>Iran, Islamic Rep.</t>
        </is>
      </c>
      <c r="C1231" s="7" t="inlineStr">
        <is>
          <t>Middle East &amp; North Africa</t>
        </is>
      </c>
      <c r="D1231" s="7" t="inlineStr">
        <is>
          <t>Upper middle income</t>
        </is>
      </c>
      <c r="E1231" s="7" t="b">
        <v>0</v>
      </c>
      <c r="F1231" s="7" t="inlineStr">
        <is>
          <t>ff_subsidy_explicit_pct_gdp</t>
        </is>
      </c>
      <c r="G1231" s="7" t="n">
        <v>17.16</v>
      </c>
      <c r="H1231" s="7" t="inlineStr">
        <is>
          <t>2024</t>
        </is>
      </c>
      <c r="I1231" s="7" t="inlineStr">
        <is>
          <t>imffossilfuelsubsidiesdata.xlsb</t>
        </is>
      </c>
    </row>
    <row r="1232">
      <c r="A1232" s="7" t="inlineStr">
        <is>
          <t>IRN</t>
        </is>
      </c>
      <c r="B1232" s="7" t="inlineStr">
        <is>
          <t>Iran, Islamic Rep.</t>
        </is>
      </c>
      <c r="C1232" s="7" t="inlineStr">
        <is>
          <t>Middle East &amp; North Africa</t>
        </is>
      </c>
      <c r="D1232" s="7" t="inlineStr">
        <is>
          <t>Upper middle income</t>
        </is>
      </c>
      <c r="E1232" s="7" t="b">
        <v>0</v>
      </c>
      <c r="F1232" s="7" t="inlineStr">
        <is>
          <t>fuel_exports_pct_merch</t>
        </is>
      </c>
      <c r="G1232" s="7" t="n">
        <v>56.362</v>
      </c>
      <c r="H1232" s="7" t="inlineStr">
        <is>
          <t>2022</t>
        </is>
      </c>
      <c r="I1232" s="7" t="inlineStr">
        <is>
          <t>API_TX_VAL_FUEL_ZS_UN_DS2_en_csv_v2_33055.zip</t>
        </is>
      </c>
    </row>
    <row r="1233">
      <c r="A1233" s="7" t="inlineStr">
        <is>
          <t>IRN</t>
        </is>
      </c>
      <c r="B1233" s="7" t="inlineStr">
        <is>
          <t>Iran, Islamic Rep.</t>
        </is>
      </c>
      <c r="C1233" s="7" t="inlineStr">
        <is>
          <t>Middle East &amp; North Africa</t>
        </is>
      </c>
      <c r="D1233" s="7" t="inlineStr">
        <is>
          <t>Upper middle income</t>
        </is>
      </c>
      <c r="E1233" s="7" t="b">
        <v>0</v>
      </c>
      <c r="F1233" s="7" t="inlineStr">
        <is>
          <t>gen_coal_twh</t>
        </is>
      </c>
      <c r="G1233" s="7" t="n">
        <v>0.73</v>
      </c>
      <c r="H1233" s="7" t="n">
        <v>2024</v>
      </c>
      <c r="I1233" s="7" t="inlineStr">
        <is>
          <t>release_generation_yearly_global.csv (Ember)</t>
        </is>
      </c>
    </row>
    <row r="1234">
      <c r="A1234" s="7" t="inlineStr">
        <is>
          <t>IRN</t>
        </is>
      </c>
      <c r="B1234" s="7" t="inlineStr">
        <is>
          <t>Iran, Islamic Rep.</t>
        </is>
      </c>
      <c r="C1234" s="7" t="inlineStr">
        <is>
          <t>Middle East &amp; North Africa</t>
        </is>
      </c>
      <c r="D1234" s="7" t="inlineStr">
        <is>
          <t>Upper middle income</t>
        </is>
      </c>
      <c r="E1234" s="7" t="b">
        <v>0</v>
      </c>
      <c r="F1234" s="7" t="inlineStr">
        <is>
          <t>gen_gas_twh</t>
        </is>
      </c>
      <c r="G1234" s="7" t="n">
        <v>340.05</v>
      </c>
      <c r="H1234" s="7" t="n">
        <v>2024</v>
      </c>
      <c r="I1234" s="7" t="inlineStr">
        <is>
          <t>release_generation_yearly_global.csv (Ember)</t>
        </is>
      </c>
    </row>
    <row r="1235">
      <c r="A1235" s="7" t="inlineStr">
        <is>
          <t>IRN</t>
        </is>
      </c>
      <c r="B1235" s="7" t="inlineStr">
        <is>
          <t>Iran, Islamic Rep.</t>
        </is>
      </c>
      <c r="C1235" s="7" t="inlineStr">
        <is>
          <t>Middle East &amp; North Africa</t>
        </is>
      </c>
      <c r="D1235" s="7" t="inlineStr">
        <is>
          <t>Upper middle income</t>
        </is>
      </c>
      <c r="E1235" s="7" t="b">
        <v>0</v>
      </c>
      <c r="F1235" s="7" t="inlineStr">
        <is>
          <t>gen_oil_twh</t>
        </is>
      </c>
      <c r="G1235" s="7" t="n">
        <v>26.61</v>
      </c>
      <c r="H1235" s="7" t="n">
        <v>2024</v>
      </c>
      <c r="I1235" s="7" t="inlineStr">
        <is>
          <t>release_generation_yearly_global.csv (Ember)</t>
        </is>
      </c>
    </row>
    <row r="1236">
      <c r="A1236" s="7" t="inlineStr">
        <is>
          <t>IRN</t>
        </is>
      </c>
      <c r="B1236" s="7" t="inlineStr">
        <is>
          <t>Iran, Islamic Rep.</t>
        </is>
      </c>
      <c r="C1236" s="7" t="inlineStr">
        <is>
          <t>Middle East &amp; North Africa</t>
        </is>
      </c>
      <c r="D1236" s="7" t="inlineStr">
        <is>
          <t>Upper middle income</t>
        </is>
      </c>
      <c r="E1236" s="7" t="b">
        <v>0</v>
      </c>
      <c r="F1236" s="7" t="inlineStr">
        <is>
          <t>gen_total_twh</t>
        </is>
      </c>
      <c r="G1236" s="7" t="n">
        <v>395.79</v>
      </c>
      <c r="H1236" s="7" t="n">
        <v>2024</v>
      </c>
      <c r="I1236" s="7" t="inlineStr">
        <is>
          <t>release_generation_yearly_global.csv (Ember)</t>
        </is>
      </c>
    </row>
    <row r="1237">
      <c r="A1237" s="7" t="inlineStr">
        <is>
          <t>IRN</t>
        </is>
      </c>
      <c r="B1237" s="7" t="inlineStr">
        <is>
          <t>Iran, Islamic Rep.</t>
        </is>
      </c>
      <c r="C1237" s="7" t="inlineStr">
        <is>
          <t>Middle East &amp; North Africa</t>
        </is>
      </c>
      <c r="D1237" s="7" t="inlineStr">
        <is>
          <t>Upper middle income</t>
        </is>
      </c>
      <c r="E1237" s="7" t="b">
        <v>0</v>
      </c>
      <c r="F1237" s="7" t="inlineStr">
        <is>
          <t>power_market_structure</t>
        </is>
      </c>
      <c r="G1237" s="7" t="n">
        <v>3</v>
      </c>
      <c r="H1237" s="7" t="inlineStr">
        <is>
          <t>2013</t>
        </is>
      </c>
      <c r="I1237" s="7" t="inlineStr">
        <is>
          <t>dataverse_files.zip</t>
        </is>
      </c>
    </row>
    <row r="1238">
      <c r="A1238" s="7" t="inlineStr">
        <is>
          <t>IRN</t>
        </is>
      </c>
      <c r="B1238" s="7" t="inlineStr">
        <is>
          <t>Iran, Islamic Rep.</t>
        </is>
      </c>
      <c r="C1238" s="7" t="inlineStr">
        <is>
          <t>Middle East &amp; North Africa</t>
        </is>
      </c>
      <c r="D1238" s="7" t="inlineStr">
        <is>
          <t>Upper middle income</t>
        </is>
      </c>
      <c r="E1238" s="7" t="b">
        <v>0</v>
      </c>
      <c r="F1238" s="7" t="inlineStr">
        <is>
          <t>price_coal_power_usd_gj</t>
        </is>
      </c>
      <c r="G1238" s="7" t="n">
        <v>2.848</v>
      </c>
      <c r="H1238" s="7" t="inlineStr">
        <is>
          <t>2024</t>
        </is>
      </c>
      <c r="I1238" s="7" t="inlineStr">
        <is>
          <t>imffossilfuelsubsidiesdata.xlsb</t>
        </is>
      </c>
    </row>
    <row r="1239">
      <c r="A1239" s="7" t="inlineStr">
        <is>
          <t>IRN</t>
        </is>
      </c>
      <c r="B1239" s="7" t="inlineStr">
        <is>
          <t>Iran, Islamic Rep.</t>
        </is>
      </c>
      <c r="C1239" s="7" t="inlineStr">
        <is>
          <t>Middle East &amp; North Africa</t>
        </is>
      </c>
      <c r="D1239" s="7" t="inlineStr">
        <is>
          <t>Upper middle income</t>
        </is>
      </c>
      <c r="E1239" s="7" t="b">
        <v>0</v>
      </c>
      <c r="F1239" s="7" t="inlineStr">
        <is>
          <t>price_electricity_residential_usd_kwh</t>
        </is>
      </c>
      <c r="G1239" s="7" t="n">
        <v>0.039</v>
      </c>
      <c r="H1239" s="7" t="inlineStr">
        <is>
          <t>2024</t>
        </is>
      </c>
      <c r="I1239" s="7" t="inlineStr">
        <is>
          <t>imffossilfuelsubsidiesdata.xlsb</t>
        </is>
      </c>
    </row>
    <row r="1240">
      <c r="A1240" s="7" t="inlineStr">
        <is>
          <t>IRN</t>
        </is>
      </c>
      <c r="B1240" s="7" t="inlineStr">
        <is>
          <t>Iran, Islamic Rep.</t>
        </is>
      </c>
      <c r="C1240" s="7" t="inlineStr">
        <is>
          <t>Middle East &amp; North Africa</t>
        </is>
      </c>
      <c r="D1240" s="7" t="inlineStr">
        <is>
          <t>Upper middle income</t>
        </is>
      </c>
      <c r="E1240" s="7" t="b">
        <v>0</v>
      </c>
      <c r="F1240" s="7" t="inlineStr">
        <is>
          <t>price_gas_industry_usd_gj</t>
        </is>
      </c>
      <c r="G1240" s="7" t="n">
        <v>1.854</v>
      </c>
      <c r="H1240" s="7" t="inlineStr">
        <is>
          <t>2024</t>
        </is>
      </c>
      <c r="I1240" s="7" t="inlineStr">
        <is>
          <t>imffossilfuelsubsidiesdata.xlsb</t>
        </is>
      </c>
    </row>
    <row r="1241">
      <c r="A1241" s="7" t="inlineStr">
        <is>
          <t>IRN</t>
        </is>
      </c>
      <c r="B1241" s="7" t="inlineStr">
        <is>
          <t>Iran, Islamic Rep.</t>
        </is>
      </c>
      <c r="C1241" s="7" t="inlineStr">
        <is>
          <t>Middle East &amp; North Africa</t>
        </is>
      </c>
      <c r="D1241" s="7" t="inlineStr">
        <is>
          <t>Upper middle income</t>
        </is>
      </c>
      <c r="E1241" s="7" t="b">
        <v>0</v>
      </c>
      <c r="F1241" s="7" t="inlineStr">
        <is>
          <t>price_gas_power_usd_gj</t>
        </is>
      </c>
      <c r="G1241" s="7" t="n">
        <v>2.481</v>
      </c>
      <c r="H1241" s="7" t="inlineStr">
        <is>
          <t>2024</t>
        </is>
      </c>
      <c r="I1241" s="7" t="inlineStr">
        <is>
          <t>imffossilfuelsubsidiesdata.xlsb</t>
        </is>
      </c>
    </row>
    <row r="1242">
      <c r="A1242" s="7" t="inlineStr">
        <is>
          <t>IRN</t>
        </is>
      </c>
      <c r="B1242" s="7" t="inlineStr">
        <is>
          <t>Iran, Islamic Rep.</t>
        </is>
      </c>
      <c r="C1242" s="7" t="inlineStr">
        <is>
          <t>Middle East &amp; North Africa</t>
        </is>
      </c>
      <c r="D1242" s="7" t="inlineStr">
        <is>
          <t>Upper middle income</t>
        </is>
      </c>
      <c r="E1242" s="7" t="b">
        <v>0</v>
      </c>
      <c r="F1242" s="7" t="inlineStr">
        <is>
          <t>rise_renewable_energy_score</t>
        </is>
      </c>
      <c r="G1242" s="7" t="n">
        <v>38.333</v>
      </c>
      <c r="H1242" s="7" t="inlineStr">
        <is>
          <t>2023</t>
        </is>
      </c>
      <c r="I1242" s="7" t="inlineStr">
        <is>
          <t>WB_RISE_WIDEF.csv</t>
        </is>
      </c>
    </row>
    <row r="1243">
      <c r="A1243" s="7" t="inlineStr">
        <is>
          <t>IRQ</t>
        </is>
      </c>
      <c r="B1243" s="7" t="inlineStr">
        <is>
          <t>Iraq</t>
        </is>
      </c>
      <c r="C1243" s="7" t="inlineStr">
        <is>
          <t>Middle East &amp; North Africa</t>
        </is>
      </c>
      <c r="D1243" s="7" t="inlineStr">
        <is>
          <t>Upper middle income</t>
        </is>
      </c>
      <c r="E1243" s="7" t="b">
        <v>1</v>
      </c>
      <c r="F1243" s="7" t="inlineStr">
        <is>
          <t>coal_rents_pct_gdp</t>
        </is>
      </c>
      <c r="G1243" s="7" t="n">
        <v>0</v>
      </c>
      <c r="H1243" s="7" t="inlineStr">
        <is>
          <t>2021</t>
        </is>
      </c>
      <c r="I1243" s="7" t="inlineStr">
        <is>
          <t>API_NY_GDP_COAL_RT_ZS_DS2_en_csv_v2_35370.zip</t>
        </is>
      </c>
    </row>
    <row r="1244">
      <c r="A1244" s="7" t="inlineStr">
        <is>
          <t>IRQ</t>
        </is>
      </c>
      <c r="B1244" s="7" t="inlineStr">
        <is>
          <t>Iraq</t>
        </is>
      </c>
      <c r="C1244" s="7" t="inlineStr">
        <is>
          <t>Middle East &amp; North Africa</t>
        </is>
      </c>
      <c r="D1244" s="7" t="inlineStr">
        <is>
          <t>Upper middle income</t>
        </is>
      </c>
      <c r="E1244" s="7" t="b">
        <v>1</v>
      </c>
      <c r="F1244" s="7" t="inlineStr">
        <is>
          <t>em_coal_mt</t>
        </is>
      </c>
      <c r="G1244" s="7" t="n">
        <v>0</v>
      </c>
      <c r="H1244" s="7" t="n">
        <v>2024</v>
      </c>
      <c r="I1244" s="7" t="inlineStr">
        <is>
          <t>release_generation_yearly_global.csv (Ember)</t>
        </is>
      </c>
    </row>
    <row r="1245">
      <c r="A1245" s="7" t="inlineStr">
        <is>
          <t>IRQ</t>
        </is>
      </c>
      <c r="B1245" s="7" t="inlineStr">
        <is>
          <t>Iraq</t>
        </is>
      </c>
      <c r="C1245" s="7" t="inlineStr">
        <is>
          <t>Middle East &amp; North Africa</t>
        </is>
      </c>
      <c r="D1245" s="7" t="inlineStr">
        <is>
          <t>Upper middle income</t>
        </is>
      </c>
      <c r="E1245" s="7" t="b">
        <v>1</v>
      </c>
      <c r="F1245" s="7" t="inlineStr">
        <is>
          <t>em_gas_mt</t>
        </is>
      </c>
      <c r="G1245" s="7" t="n">
        <v>57.467</v>
      </c>
      <c r="H1245" s="7" t="n">
        <v>2024</v>
      </c>
      <c r="I1245" s="7" t="inlineStr">
        <is>
          <t>release_generation_yearly_global.csv (Ember)</t>
        </is>
      </c>
    </row>
    <row r="1246">
      <c r="A1246" s="7" t="inlineStr">
        <is>
          <t>IRQ</t>
        </is>
      </c>
      <c r="B1246" s="7" t="inlineStr">
        <is>
          <t>Iraq</t>
        </is>
      </c>
      <c r="C1246" s="7" t="inlineStr">
        <is>
          <t>Middle East &amp; North Africa</t>
        </is>
      </c>
      <c r="D1246" s="7" t="inlineStr">
        <is>
          <t>Upper middle income</t>
        </is>
      </c>
      <c r="E1246" s="7" t="b">
        <v>1</v>
      </c>
      <c r="F1246" s="7" t="inlineStr">
        <is>
          <t>em_oil_mt</t>
        </is>
      </c>
      <c r="G1246" s="7" t="n">
        <v>44.744</v>
      </c>
      <c r="H1246" s="7" t="n">
        <v>2024</v>
      </c>
      <c r="I1246" s="7" t="inlineStr">
        <is>
          <t>release_generation_yearly_global.csv (Ember)</t>
        </is>
      </c>
    </row>
    <row r="1247">
      <c r="A1247" s="7" t="inlineStr">
        <is>
          <t>IRQ</t>
        </is>
      </c>
      <c r="B1247" s="7" t="inlineStr">
        <is>
          <t>Iraq</t>
        </is>
      </c>
      <c r="C1247" s="7" t="inlineStr">
        <is>
          <t>Middle East &amp; North Africa</t>
        </is>
      </c>
      <c r="D1247" s="7" t="inlineStr">
        <is>
          <t>Upper middle income</t>
        </is>
      </c>
      <c r="E1247" s="7" t="b">
        <v>1</v>
      </c>
      <c r="F1247" s="7" t="inlineStr">
        <is>
          <t>ff_subsidy_explicit_pct_gdp</t>
        </is>
      </c>
      <c r="G1247" s="7" t="n">
        <v>4.774</v>
      </c>
      <c r="H1247" s="7" t="inlineStr">
        <is>
          <t>2024</t>
        </is>
      </c>
      <c r="I1247" s="7" t="inlineStr">
        <is>
          <t>imffossilfuelsubsidiesdata.xlsb</t>
        </is>
      </c>
    </row>
    <row r="1248">
      <c r="A1248" s="7" t="inlineStr">
        <is>
          <t>IRQ</t>
        </is>
      </c>
      <c r="B1248" s="7" t="inlineStr">
        <is>
          <t>Iraq</t>
        </is>
      </c>
      <c r="C1248" s="7" t="inlineStr">
        <is>
          <t>Middle East &amp; North Africa</t>
        </is>
      </c>
      <c r="D1248" s="7" t="inlineStr">
        <is>
          <t>Upper middle income</t>
        </is>
      </c>
      <c r="E1248" s="7" t="b">
        <v>1</v>
      </c>
      <c r="F1248" s="7" t="inlineStr">
        <is>
          <t>fuel_exports_pct_merch</t>
        </is>
      </c>
      <c r="G1248" s="7" t="n">
        <v>99.986</v>
      </c>
      <c r="H1248" s="7" t="inlineStr">
        <is>
          <t>2016</t>
        </is>
      </c>
      <c r="I1248" s="7" t="inlineStr">
        <is>
          <t>API_TX_VAL_FUEL_ZS_UN_DS2_en_csv_v2_33055.zip</t>
        </is>
      </c>
    </row>
    <row r="1249">
      <c r="A1249" s="7" t="inlineStr">
        <is>
          <t>IRQ</t>
        </is>
      </c>
      <c r="B1249" s="7" t="inlineStr">
        <is>
          <t>Iraq</t>
        </is>
      </c>
      <c r="C1249" s="7" t="inlineStr">
        <is>
          <t>Middle East &amp; North Africa</t>
        </is>
      </c>
      <c r="D1249" s="7" t="inlineStr">
        <is>
          <t>Upper middle income</t>
        </is>
      </c>
      <c r="E1249" s="7" t="b">
        <v>1</v>
      </c>
      <c r="F1249" s="7" t="inlineStr">
        <is>
          <t>gen_coal_twh</t>
        </is>
      </c>
      <c r="G1249" s="7" t="n">
        <v>0</v>
      </c>
      <c r="H1249" s="7" t="n">
        <v>2024</v>
      </c>
      <c r="I1249" s="7" t="inlineStr">
        <is>
          <t>release_generation_yearly_global.csv (Ember)</t>
        </is>
      </c>
    </row>
    <row r="1250">
      <c r="A1250" s="7" t="inlineStr">
        <is>
          <t>IRQ</t>
        </is>
      </c>
      <c r="B1250" s="7" t="inlineStr">
        <is>
          <t>Iraq</t>
        </is>
      </c>
      <c r="C1250" s="7" t="inlineStr">
        <is>
          <t>Middle East &amp; North Africa</t>
        </is>
      </c>
      <c r="D1250" s="7" t="inlineStr">
        <is>
          <t>Upper middle income</t>
        </is>
      </c>
      <c r="E1250" s="7" t="b">
        <v>1</v>
      </c>
      <c r="F1250" s="7" t="inlineStr">
        <is>
          <t>gen_gas_twh</t>
        </is>
      </c>
      <c r="G1250" s="7" t="n">
        <v>79.3</v>
      </c>
      <c r="H1250" s="7" t="n">
        <v>2024</v>
      </c>
      <c r="I1250" s="7" t="inlineStr">
        <is>
          <t>release_generation_yearly_global.csv (Ember)</t>
        </is>
      </c>
    </row>
    <row r="1251">
      <c r="A1251" s="7" t="inlineStr">
        <is>
          <t>IRQ</t>
        </is>
      </c>
      <c r="B1251" s="7" t="inlineStr">
        <is>
          <t>Iraq</t>
        </is>
      </c>
      <c r="C1251" s="7" t="inlineStr">
        <is>
          <t>Middle East &amp; North Africa</t>
        </is>
      </c>
      <c r="D1251" s="7" t="inlineStr">
        <is>
          <t>Upper middle income</t>
        </is>
      </c>
      <c r="E1251" s="7" t="b">
        <v>1</v>
      </c>
      <c r="F1251" s="7" t="inlineStr">
        <is>
          <t>gen_oil_twh</t>
        </is>
      </c>
      <c r="G1251" s="7" t="n">
        <v>68</v>
      </c>
      <c r="H1251" s="7" t="n">
        <v>2024</v>
      </c>
      <c r="I1251" s="7" t="inlineStr">
        <is>
          <t>release_generation_yearly_global.csv (Ember)</t>
        </is>
      </c>
    </row>
    <row r="1252">
      <c r="A1252" s="7" t="inlineStr">
        <is>
          <t>IRQ</t>
        </is>
      </c>
      <c r="B1252" s="7" t="inlineStr">
        <is>
          <t>Iraq</t>
        </is>
      </c>
      <c r="C1252" s="7" t="inlineStr">
        <is>
          <t>Middle East &amp; North Africa</t>
        </is>
      </c>
      <c r="D1252" s="7" t="inlineStr">
        <is>
          <t>Upper middle income</t>
        </is>
      </c>
      <c r="E1252" s="7" t="b">
        <v>1</v>
      </c>
      <c r="F1252" s="7" t="inlineStr">
        <is>
          <t>gen_total_twh</t>
        </is>
      </c>
      <c r="G1252" s="7" t="n">
        <v>149.73</v>
      </c>
      <c r="H1252" s="7" t="n">
        <v>2024</v>
      </c>
      <c r="I1252" s="7" t="inlineStr">
        <is>
          <t>release_generation_yearly_global.csv (Ember)</t>
        </is>
      </c>
    </row>
    <row r="1253">
      <c r="A1253" s="7" t="inlineStr">
        <is>
          <t>IRQ</t>
        </is>
      </c>
      <c r="B1253" s="7" t="inlineStr">
        <is>
          <t>Iraq</t>
        </is>
      </c>
      <c r="C1253" s="7" t="inlineStr">
        <is>
          <t>Middle East &amp; North Africa</t>
        </is>
      </c>
      <c r="D1253" s="7" t="inlineStr">
        <is>
          <t>Upper middle income</t>
        </is>
      </c>
      <c r="E1253" s="7" t="b">
        <v>1</v>
      </c>
      <c r="F1253" s="7" t="inlineStr">
        <is>
          <t>power_market_structure</t>
        </is>
      </c>
      <c r="G1253" s="7" t="n">
        <v>1</v>
      </c>
      <c r="H1253" s="7" t="inlineStr">
        <is>
          <t>2013</t>
        </is>
      </c>
      <c r="I1253" s="7" t="inlineStr">
        <is>
          <t>dataverse_files.zip</t>
        </is>
      </c>
    </row>
    <row r="1254">
      <c r="A1254" s="7" t="inlineStr">
        <is>
          <t>IRQ</t>
        </is>
      </c>
      <c r="B1254" s="7" t="inlineStr">
        <is>
          <t>Iraq</t>
        </is>
      </c>
      <c r="C1254" s="7" t="inlineStr">
        <is>
          <t>Middle East &amp; North Africa</t>
        </is>
      </c>
      <c r="D1254" s="7" t="inlineStr">
        <is>
          <t>Upper middle income</t>
        </is>
      </c>
      <c r="E1254" s="7" t="b">
        <v>1</v>
      </c>
      <c r="F1254" s="7" t="inlineStr">
        <is>
          <t>price_coal_power_usd_gj</t>
        </is>
      </c>
      <c r="G1254" s="7" t="n">
        <v>5.783</v>
      </c>
      <c r="H1254" s="7" t="inlineStr">
        <is>
          <t>2024</t>
        </is>
      </c>
      <c r="I1254" s="7" t="inlineStr">
        <is>
          <t>imffossilfuelsubsidiesdata.xlsb</t>
        </is>
      </c>
    </row>
    <row r="1255">
      <c r="A1255" s="7" t="inlineStr">
        <is>
          <t>IRQ</t>
        </is>
      </c>
      <c r="B1255" s="7" t="inlineStr">
        <is>
          <t>Iraq</t>
        </is>
      </c>
      <c r="C1255" s="7" t="inlineStr">
        <is>
          <t>Middle East &amp; North Africa</t>
        </is>
      </c>
      <c r="D1255" s="7" t="inlineStr">
        <is>
          <t>Upper middle income</t>
        </is>
      </c>
      <c r="E1255" s="7" t="b">
        <v>1</v>
      </c>
      <c r="F1255" s="7" t="inlineStr">
        <is>
          <t>price_electricity_residential_usd_kwh</t>
        </is>
      </c>
      <c r="G1255" s="7" t="n">
        <v>0.011</v>
      </c>
      <c r="H1255" s="7" t="inlineStr">
        <is>
          <t>2024</t>
        </is>
      </c>
      <c r="I1255" s="7" t="inlineStr">
        <is>
          <t>imffossilfuelsubsidiesdata.xlsb</t>
        </is>
      </c>
    </row>
    <row r="1256">
      <c r="A1256" s="7" t="inlineStr">
        <is>
          <t>IRQ</t>
        </is>
      </c>
      <c r="B1256" s="7" t="inlineStr">
        <is>
          <t>Iraq</t>
        </is>
      </c>
      <c r="C1256" s="7" t="inlineStr">
        <is>
          <t>Middle East &amp; North Africa</t>
        </is>
      </c>
      <c r="D1256" s="7" t="inlineStr">
        <is>
          <t>Upper middle income</t>
        </is>
      </c>
      <c r="E1256" s="7" t="b">
        <v>1</v>
      </c>
      <c r="F1256" s="7" t="inlineStr">
        <is>
          <t>price_gas_industry_usd_gj</t>
        </is>
      </c>
      <c r="G1256" s="7" t="n">
        <v>4.684</v>
      </c>
      <c r="H1256" s="7" t="inlineStr">
        <is>
          <t>2024</t>
        </is>
      </c>
      <c r="I1256" s="7" t="inlineStr">
        <is>
          <t>imffossilfuelsubsidiesdata.xlsb</t>
        </is>
      </c>
    </row>
    <row r="1257">
      <c r="A1257" s="7" t="inlineStr">
        <is>
          <t>IRQ</t>
        </is>
      </c>
      <c r="B1257" s="7" t="inlineStr">
        <is>
          <t>Iraq</t>
        </is>
      </c>
      <c r="C1257" s="7" t="inlineStr">
        <is>
          <t>Middle East &amp; North Africa</t>
        </is>
      </c>
      <c r="D1257" s="7" t="inlineStr">
        <is>
          <t>Upper middle income</t>
        </is>
      </c>
      <c r="E1257" s="7" t="b">
        <v>1</v>
      </c>
      <c r="F1257" s="7" t="inlineStr">
        <is>
          <t>price_gas_power_usd_gj</t>
        </is>
      </c>
      <c r="G1257" s="7" t="n">
        <v>5.311</v>
      </c>
      <c r="H1257" s="7" t="inlineStr">
        <is>
          <t>2024</t>
        </is>
      </c>
      <c r="I1257" s="7" t="inlineStr">
        <is>
          <t>imffossilfuelsubsidiesdata.xlsb</t>
        </is>
      </c>
    </row>
    <row r="1258">
      <c r="A1258" s="7" t="inlineStr">
        <is>
          <t>ISL</t>
        </is>
      </c>
      <c r="B1258" s="7" t="inlineStr">
        <is>
          <t>Iceland</t>
        </is>
      </c>
      <c r="C1258" s="7" t="inlineStr">
        <is>
          <t>Europe &amp; Central Asia</t>
        </is>
      </c>
      <c r="D1258" s="7" t="inlineStr">
        <is>
          <t>High income</t>
        </is>
      </c>
      <c r="E1258" s="7" t="b">
        <v>0</v>
      </c>
      <c r="F1258" s="7" t="inlineStr">
        <is>
          <t>coal_rents_pct_gdp</t>
        </is>
      </c>
      <c r="G1258" s="7" t="n">
        <v>0</v>
      </c>
      <c r="H1258" s="7" t="inlineStr">
        <is>
          <t>2021</t>
        </is>
      </c>
      <c r="I1258" s="7" t="inlineStr">
        <is>
          <t>API_NY_GDP_COAL_RT_ZS_DS2_en_csv_v2_35370.zip</t>
        </is>
      </c>
    </row>
    <row r="1259">
      <c r="A1259" s="7" t="inlineStr">
        <is>
          <t>ISL</t>
        </is>
      </c>
      <c r="B1259" s="7" t="inlineStr">
        <is>
          <t>Iceland</t>
        </is>
      </c>
      <c r="C1259" s="7" t="inlineStr">
        <is>
          <t>Europe &amp; Central Asia</t>
        </is>
      </c>
      <c r="D1259" s="7" t="inlineStr">
        <is>
          <t>High income</t>
        </is>
      </c>
      <c r="E1259" s="7" t="b">
        <v>0</v>
      </c>
      <c r="F1259" s="7" t="inlineStr">
        <is>
          <t>em_coal_mt</t>
        </is>
      </c>
      <c r="G1259" s="7" t="n">
        <v>0</v>
      </c>
      <c r="H1259" s="7" t="n">
        <v>2024</v>
      </c>
      <c r="I1259" s="7" t="inlineStr">
        <is>
          <t>release_generation_yearly_global.csv (Ember)</t>
        </is>
      </c>
    </row>
    <row r="1260">
      <c r="A1260" s="7" t="inlineStr">
        <is>
          <t>ISL</t>
        </is>
      </c>
      <c r="B1260" s="7" t="inlineStr">
        <is>
          <t>Iceland</t>
        </is>
      </c>
      <c r="C1260" s="7" t="inlineStr">
        <is>
          <t>Europe &amp; Central Asia</t>
        </is>
      </c>
      <c r="D1260" s="7" t="inlineStr">
        <is>
          <t>High income</t>
        </is>
      </c>
      <c r="E1260" s="7" t="b">
        <v>0</v>
      </c>
      <c r="F1260" s="7" t="inlineStr">
        <is>
          <t>em_gas_mt</t>
        </is>
      </c>
      <c r="G1260" s="7" t="n">
        <v>0</v>
      </c>
      <c r="H1260" s="7" t="n">
        <v>2024</v>
      </c>
      <c r="I1260" s="7" t="inlineStr">
        <is>
          <t>release_generation_yearly_global.csv (Ember)</t>
        </is>
      </c>
    </row>
    <row r="1261">
      <c r="A1261" s="7" t="inlineStr">
        <is>
          <t>ISL</t>
        </is>
      </c>
      <c r="B1261" s="7" t="inlineStr">
        <is>
          <t>Iceland</t>
        </is>
      </c>
      <c r="C1261" s="7" t="inlineStr">
        <is>
          <t>Europe &amp; Central Asia</t>
        </is>
      </c>
      <c r="D1261" s="7" t="inlineStr">
        <is>
          <t>High income</t>
        </is>
      </c>
      <c r="E1261" s="7" t="b">
        <v>0</v>
      </c>
      <c r="F1261" s="7" t="inlineStr">
        <is>
          <t>em_oil_mt</t>
        </is>
      </c>
      <c r="G1261" s="7" t="n">
        <v>0</v>
      </c>
      <c r="H1261" s="7" t="n">
        <v>2024</v>
      </c>
      <c r="I1261" s="7" t="inlineStr">
        <is>
          <t>release_generation_yearly_global.csv (Ember)</t>
        </is>
      </c>
    </row>
    <row r="1262">
      <c r="A1262" s="7" t="inlineStr">
        <is>
          <t>ISL</t>
        </is>
      </c>
      <c r="B1262" s="7" t="inlineStr">
        <is>
          <t>Iceland</t>
        </is>
      </c>
      <c r="C1262" s="7" t="inlineStr">
        <is>
          <t>Europe &amp; Central Asia</t>
        </is>
      </c>
      <c r="D1262" s="7" t="inlineStr">
        <is>
          <t>High income</t>
        </is>
      </c>
      <c r="E1262" s="7" t="b">
        <v>0</v>
      </c>
      <c r="F1262" s="7" t="inlineStr">
        <is>
          <t>ff_subsidy_explicit_pct_gdp</t>
        </is>
      </c>
      <c r="G1262" s="7" t="n">
        <v>0</v>
      </c>
      <c r="H1262" s="7" t="inlineStr">
        <is>
          <t>2024</t>
        </is>
      </c>
      <c r="I1262" s="7" t="inlineStr">
        <is>
          <t>imffossilfuelsubsidiesdata.xlsb</t>
        </is>
      </c>
    </row>
    <row r="1263">
      <c r="A1263" s="7" t="inlineStr">
        <is>
          <t>ISL</t>
        </is>
      </c>
      <c r="B1263" s="7" t="inlineStr">
        <is>
          <t>Iceland</t>
        </is>
      </c>
      <c r="C1263" s="7" t="inlineStr">
        <is>
          <t>Europe &amp; Central Asia</t>
        </is>
      </c>
      <c r="D1263" s="7" t="inlineStr">
        <is>
          <t>High income</t>
        </is>
      </c>
      <c r="E1263" s="7" t="b">
        <v>0</v>
      </c>
      <c r="F1263" s="7" t="inlineStr">
        <is>
          <t>fuel_exports_pct_merch</t>
        </is>
      </c>
      <c r="G1263" s="7" t="n">
        <v>1.46</v>
      </c>
      <c r="H1263" s="7" t="inlineStr">
        <is>
          <t>2025</t>
        </is>
      </c>
      <c r="I1263" s="7" t="inlineStr">
        <is>
          <t>API_TX_VAL_FUEL_ZS_UN_DS2_en_csv_v2_33055.zip</t>
        </is>
      </c>
    </row>
    <row r="1264">
      <c r="A1264" s="7" t="inlineStr">
        <is>
          <t>ISL</t>
        </is>
      </c>
      <c r="B1264" s="7" t="inlineStr">
        <is>
          <t>Iceland</t>
        </is>
      </c>
      <c r="C1264" s="7" t="inlineStr">
        <is>
          <t>Europe &amp; Central Asia</t>
        </is>
      </c>
      <c r="D1264" s="7" t="inlineStr">
        <is>
          <t>High income</t>
        </is>
      </c>
      <c r="E1264" s="7" t="b">
        <v>0</v>
      </c>
      <c r="F1264" s="7" t="inlineStr">
        <is>
          <t>gen_coal_twh</t>
        </is>
      </c>
      <c r="G1264" s="7" t="n">
        <v>0</v>
      </c>
      <c r="H1264" s="7" t="n">
        <v>2024</v>
      </c>
      <c r="I1264" s="7" t="inlineStr">
        <is>
          <t>release_generation_yearly_global.csv (Ember)</t>
        </is>
      </c>
    </row>
    <row r="1265">
      <c r="A1265" s="7" t="inlineStr">
        <is>
          <t>ISL</t>
        </is>
      </c>
      <c r="B1265" s="7" t="inlineStr">
        <is>
          <t>Iceland</t>
        </is>
      </c>
      <c r="C1265" s="7" t="inlineStr">
        <is>
          <t>Europe &amp; Central Asia</t>
        </is>
      </c>
      <c r="D1265" s="7" t="inlineStr">
        <is>
          <t>High income</t>
        </is>
      </c>
      <c r="E1265" s="7" t="b">
        <v>0</v>
      </c>
      <c r="F1265" s="7" t="inlineStr">
        <is>
          <t>gen_gas_twh</t>
        </is>
      </c>
      <c r="G1265" s="7" t="n">
        <v>0</v>
      </c>
      <c r="H1265" s="7" t="n">
        <v>2024</v>
      </c>
      <c r="I1265" s="7" t="inlineStr">
        <is>
          <t>release_generation_yearly_global.csv (Ember)</t>
        </is>
      </c>
    </row>
    <row r="1266">
      <c r="A1266" s="7" t="inlineStr">
        <is>
          <t>ISL</t>
        </is>
      </c>
      <c r="B1266" s="7" t="inlineStr">
        <is>
          <t>Iceland</t>
        </is>
      </c>
      <c r="C1266" s="7" t="inlineStr">
        <is>
          <t>Europe &amp; Central Asia</t>
        </is>
      </c>
      <c r="D1266" s="7" t="inlineStr">
        <is>
          <t>High income</t>
        </is>
      </c>
      <c r="E1266" s="7" t="b">
        <v>0</v>
      </c>
      <c r="F1266" s="7" t="inlineStr">
        <is>
          <t>gen_oil_twh</t>
        </is>
      </c>
      <c r="G1266" s="7" t="n">
        <v>0</v>
      </c>
      <c r="H1266" s="7" t="n">
        <v>2024</v>
      </c>
      <c r="I1266" s="7" t="inlineStr">
        <is>
          <t>release_generation_yearly_global.csv (Ember)</t>
        </is>
      </c>
    </row>
    <row r="1267">
      <c r="A1267" s="7" t="inlineStr">
        <is>
          <t>ISL</t>
        </is>
      </c>
      <c r="B1267" s="7" t="inlineStr">
        <is>
          <t>Iceland</t>
        </is>
      </c>
      <c r="C1267" s="7" t="inlineStr">
        <is>
          <t>Europe &amp; Central Asia</t>
        </is>
      </c>
      <c r="D1267" s="7" t="inlineStr">
        <is>
          <t>High income</t>
        </is>
      </c>
      <c r="E1267" s="7" t="b">
        <v>0</v>
      </c>
      <c r="F1267" s="7" t="inlineStr">
        <is>
          <t>gen_total_twh</t>
        </is>
      </c>
      <c r="G1267" s="7" t="n">
        <v>19.05</v>
      </c>
      <c r="H1267" s="7" t="n">
        <v>2024</v>
      </c>
      <c r="I1267" s="7" t="inlineStr">
        <is>
          <t>release_generation_yearly_global.csv (Ember)</t>
        </is>
      </c>
    </row>
    <row r="1268">
      <c r="A1268" s="7" t="inlineStr">
        <is>
          <t>ISL</t>
        </is>
      </c>
      <c r="B1268" s="7" t="inlineStr">
        <is>
          <t>Iceland</t>
        </is>
      </c>
      <c r="C1268" s="7" t="inlineStr">
        <is>
          <t>Europe &amp; Central Asia</t>
        </is>
      </c>
      <c r="D1268" s="7" t="inlineStr">
        <is>
          <t>High income</t>
        </is>
      </c>
      <c r="E1268" s="7" t="b">
        <v>0</v>
      </c>
      <c r="F1268" s="7" t="inlineStr">
        <is>
          <t>price_coal_power_usd_gj</t>
        </is>
      </c>
      <c r="G1268" s="7" t="n">
        <v>11.736</v>
      </c>
      <c r="H1268" s="7" t="inlineStr">
        <is>
          <t>2024</t>
        </is>
      </c>
      <c r="I1268" s="7" t="inlineStr">
        <is>
          <t>imffossilfuelsubsidiesdata.xlsb</t>
        </is>
      </c>
    </row>
    <row r="1269">
      <c r="A1269" s="7" t="inlineStr">
        <is>
          <t>ISL</t>
        </is>
      </c>
      <c r="B1269" s="7" t="inlineStr">
        <is>
          <t>Iceland</t>
        </is>
      </c>
      <c r="C1269" s="7" t="inlineStr">
        <is>
          <t>Europe &amp; Central Asia</t>
        </is>
      </c>
      <c r="D1269" s="7" t="inlineStr">
        <is>
          <t>High income</t>
        </is>
      </c>
      <c r="E1269" s="7" t="b">
        <v>0</v>
      </c>
      <c r="F1269" s="7" t="inlineStr">
        <is>
          <t>price_electricity_residential_usd_kwh</t>
        </is>
      </c>
      <c r="G1269" s="7" t="n">
        <v>0.19</v>
      </c>
      <c r="H1269" s="7" t="inlineStr">
        <is>
          <t>2024</t>
        </is>
      </c>
      <c r="I1269" s="7" t="inlineStr">
        <is>
          <t>imffossilfuelsubsidiesdata.xlsb</t>
        </is>
      </c>
    </row>
    <row r="1270">
      <c r="A1270" s="7" t="inlineStr">
        <is>
          <t>ISL</t>
        </is>
      </c>
      <c r="B1270" s="7" t="inlineStr">
        <is>
          <t>Iceland</t>
        </is>
      </c>
      <c r="C1270" s="7" t="inlineStr">
        <is>
          <t>Europe &amp; Central Asia</t>
        </is>
      </c>
      <c r="D1270" s="7" t="inlineStr">
        <is>
          <t>High income</t>
        </is>
      </c>
      <c r="E1270" s="7" t="b">
        <v>0</v>
      </c>
      <c r="F1270" s="7" t="inlineStr">
        <is>
          <t>price_gas_industry_usd_gj</t>
        </is>
      </c>
      <c r="G1270" s="7" t="n">
        <v>17.273</v>
      </c>
      <c r="H1270" s="7" t="inlineStr">
        <is>
          <t>2024</t>
        </is>
      </c>
      <c r="I1270" s="7" t="inlineStr">
        <is>
          <t>imffossilfuelsubsidiesdata.xlsb</t>
        </is>
      </c>
    </row>
    <row r="1271">
      <c r="A1271" s="7" t="inlineStr">
        <is>
          <t>ISL</t>
        </is>
      </c>
      <c r="B1271" s="7" t="inlineStr">
        <is>
          <t>Iceland</t>
        </is>
      </c>
      <c r="C1271" s="7" t="inlineStr">
        <is>
          <t>Europe &amp; Central Asia</t>
        </is>
      </c>
      <c r="D1271" s="7" t="inlineStr">
        <is>
          <t>High income</t>
        </is>
      </c>
      <c r="E1271" s="7" t="b">
        <v>0</v>
      </c>
      <c r="F1271" s="7" t="inlineStr">
        <is>
          <t>price_gas_power_usd_gj</t>
        </is>
      </c>
      <c r="G1271" s="7" t="n">
        <v>15.947</v>
      </c>
      <c r="H1271" s="7" t="inlineStr">
        <is>
          <t>2024</t>
        </is>
      </c>
      <c r="I1271" s="7" t="inlineStr">
        <is>
          <t>imffossilfuelsubsidiesdata.xlsb</t>
        </is>
      </c>
    </row>
    <row r="1272">
      <c r="A1272" s="7" t="inlineStr">
        <is>
          <t>ISR</t>
        </is>
      </c>
      <c r="B1272" s="7" t="inlineStr">
        <is>
          <t>Israel</t>
        </is>
      </c>
      <c r="C1272" s="7" t="inlineStr">
        <is>
          <t>Middle East &amp; North Africa</t>
        </is>
      </c>
      <c r="D1272" s="7" t="inlineStr">
        <is>
          <t>High income</t>
        </is>
      </c>
      <c r="E1272" s="7" t="b">
        <v>0</v>
      </c>
      <c r="F1272" s="7" t="inlineStr">
        <is>
          <t>coal_rents_pct_gdp</t>
        </is>
      </c>
      <c r="G1272" s="7" t="n">
        <v>0</v>
      </c>
      <c r="H1272" s="7" t="inlineStr">
        <is>
          <t>2021</t>
        </is>
      </c>
      <c r="I1272" s="7" t="inlineStr">
        <is>
          <t>API_NY_GDP_COAL_RT_ZS_DS2_en_csv_v2_35370.zip</t>
        </is>
      </c>
    </row>
    <row r="1273">
      <c r="A1273" s="7" t="inlineStr">
        <is>
          <t>ISR</t>
        </is>
      </c>
      <c r="B1273" s="7" t="inlineStr">
        <is>
          <t>Israel</t>
        </is>
      </c>
      <c r="C1273" s="7" t="inlineStr">
        <is>
          <t>Middle East &amp; North Africa</t>
        </is>
      </c>
      <c r="D1273" s="7" t="inlineStr">
        <is>
          <t>High income</t>
        </is>
      </c>
      <c r="E1273" s="7" t="b">
        <v>0</v>
      </c>
      <c r="F1273" s="7" t="inlineStr">
        <is>
          <t>em_coal_mt</t>
        </is>
      </c>
      <c r="G1273" s="7" t="n">
        <v>9.864000000000001</v>
      </c>
      <c r="H1273" s="7" t="n">
        <v>2024</v>
      </c>
      <c r="I1273" s="7" t="inlineStr">
        <is>
          <t>release_generation_yearly_global.csv (Ember)</t>
        </is>
      </c>
    </row>
    <row r="1274">
      <c r="A1274" s="7" t="inlineStr">
        <is>
          <t>ISR</t>
        </is>
      </c>
      <c r="B1274" s="7" t="inlineStr">
        <is>
          <t>Israel</t>
        </is>
      </c>
      <c r="C1274" s="7" t="inlineStr">
        <is>
          <t>Middle East &amp; North Africa</t>
        </is>
      </c>
      <c r="D1274" s="7" t="inlineStr">
        <is>
          <t>High income</t>
        </is>
      </c>
      <c r="E1274" s="7" t="b">
        <v>0</v>
      </c>
      <c r="F1274" s="7" t="inlineStr">
        <is>
          <t>em_gas_mt</t>
        </is>
      </c>
      <c r="G1274" s="7" t="n">
        <v>32.817</v>
      </c>
      <c r="H1274" s="7" t="n">
        <v>2024</v>
      </c>
      <c r="I1274" s="7" t="inlineStr">
        <is>
          <t>release_generation_yearly_global.csv (Ember)</t>
        </is>
      </c>
    </row>
    <row r="1275">
      <c r="A1275" s="7" t="inlineStr">
        <is>
          <t>ISR</t>
        </is>
      </c>
      <c r="B1275" s="7" t="inlineStr">
        <is>
          <t>Israel</t>
        </is>
      </c>
      <c r="C1275" s="7" t="inlineStr">
        <is>
          <t>Middle East &amp; North Africa</t>
        </is>
      </c>
      <c r="D1275" s="7" t="inlineStr">
        <is>
          <t>High income</t>
        </is>
      </c>
      <c r="E1275" s="7" t="b">
        <v>0</v>
      </c>
      <c r="F1275" s="7" t="inlineStr">
        <is>
          <t>em_oil_mt</t>
        </is>
      </c>
      <c r="G1275" s="7" t="n">
        <v>0.263</v>
      </c>
      <c r="H1275" s="7" t="n">
        <v>2024</v>
      </c>
      <c r="I1275" s="7" t="inlineStr">
        <is>
          <t>release_generation_yearly_global.csv (Ember)</t>
        </is>
      </c>
    </row>
    <row r="1276">
      <c r="A1276" s="7" t="inlineStr">
        <is>
          <t>ISR</t>
        </is>
      </c>
      <c r="B1276" s="7" t="inlineStr">
        <is>
          <t>Israel</t>
        </is>
      </c>
      <c r="C1276" s="7" t="inlineStr">
        <is>
          <t>Middle East &amp; North Africa</t>
        </is>
      </c>
      <c r="D1276" s="7" t="inlineStr">
        <is>
          <t>High income</t>
        </is>
      </c>
      <c r="E1276" s="7" t="b">
        <v>0</v>
      </c>
      <c r="F1276" s="7" t="inlineStr">
        <is>
          <t>ff_subsidy_explicit_pct_gdp</t>
        </is>
      </c>
      <c r="G1276" s="7" t="n">
        <v>0.057</v>
      </c>
      <c r="H1276" s="7" t="inlineStr">
        <is>
          <t>2024</t>
        </is>
      </c>
      <c r="I1276" s="7" t="inlineStr">
        <is>
          <t>imffossilfuelsubsidiesdata.xlsb</t>
        </is>
      </c>
    </row>
    <row r="1277">
      <c r="A1277" s="7" t="inlineStr">
        <is>
          <t>ISR</t>
        </is>
      </c>
      <c r="B1277" s="7" t="inlineStr">
        <is>
          <t>Israel</t>
        </is>
      </c>
      <c r="C1277" s="7" t="inlineStr">
        <is>
          <t>Middle East &amp; North Africa</t>
        </is>
      </c>
      <c r="D1277" s="7" t="inlineStr">
        <is>
          <t>High income</t>
        </is>
      </c>
      <c r="E1277" s="7" t="b">
        <v>0</v>
      </c>
      <c r="F1277" s="7" t="inlineStr">
        <is>
          <t>fuel_exports_pct_merch</t>
        </is>
      </c>
      <c r="G1277" s="7" t="n">
        <v>5.32</v>
      </c>
      <c r="H1277" s="7" t="inlineStr">
        <is>
          <t>2022</t>
        </is>
      </c>
      <c r="I1277" s="7" t="inlineStr">
        <is>
          <t>API_TX_VAL_FUEL_ZS_UN_DS2_en_csv_v2_33055.zip</t>
        </is>
      </c>
    </row>
    <row r="1278">
      <c r="A1278" s="7" t="inlineStr">
        <is>
          <t>ISR</t>
        </is>
      </c>
      <c r="B1278" s="7" t="inlineStr">
        <is>
          <t>Israel</t>
        </is>
      </c>
      <c r="C1278" s="7" t="inlineStr">
        <is>
          <t>Middle East &amp; North Africa</t>
        </is>
      </c>
      <c r="D1278" s="7" t="inlineStr">
        <is>
          <t>High income</t>
        </is>
      </c>
      <c r="E1278" s="7" t="b">
        <v>0</v>
      </c>
      <c r="F1278" s="7" t="inlineStr">
        <is>
          <t>gen_coal_twh</t>
        </is>
      </c>
      <c r="G1278" s="7" t="n">
        <v>11.5</v>
      </c>
      <c r="H1278" s="7" t="n">
        <v>2024</v>
      </c>
      <c r="I1278" s="7" t="inlineStr">
        <is>
          <t>release_generation_yearly_global.csv (Ember)</t>
        </is>
      </c>
    </row>
    <row r="1279">
      <c r="A1279" s="7" t="inlineStr">
        <is>
          <t>ISR</t>
        </is>
      </c>
      <c r="B1279" s="7" t="inlineStr">
        <is>
          <t>Israel</t>
        </is>
      </c>
      <c r="C1279" s="7" t="inlineStr">
        <is>
          <t>Middle East &amp; North Africa</t>
        </is>
      </c>
      <c r="D1279" s="7" t="inlineStr">
        <is>
          <t>High income</t>
        </is>
      </c>
      <c r="E1279" s="7" t="b">
        <v>0</v>
      </c>
      <c r="F1279" s="7" t="inlineStr">
        <is>
          <t>gen_gas_twh</t>
        </is>
      </c>
      <c r="G1279" s="7" t="n">
        <v>57.4</v>
      </c>
      <c r="H1279" s="7" t="n">
        <v>2024</v>
      </c>
      <c r="I1279" s="7" t="inlineStr">
        <is>
          <t>release_generation_yearly_global.csv (Ember)</t>
        </is>
      </c>
    </row>
    <row r="1280">
      <c r="A1280" s="7" t="inlineStr">
        <is>
          <t>ISR</t>
        </is>
      </c>
      <c r="B1280" s="7" t="inlineStr">
        <is>
          <t>Israel</t>
        </is>
      </c>
      <c r="C1280" s="7" t="inlineStr">
        <is>
          <t>Middle East &amp; North Africa</t>
        </is>
      </c>
      <c r="D1280" s="7" t="inlineStr">
        <is>
          <t>High income</t>
        </is>
      </c>
      <c r="E1280" s="7" t="b">
        <v>0</v>
      </c>
      <c r="F1280" s="7" t="inlineStr">
        <is>
          <t>gen_oil_twh</t>
        </is>
      </c>
      <c r="G1280" s="7" t="n">
        <v>0.4</v>
      </c>
      <c r="H1280" s="7" t="n">
        <v>2024</v>
      </c>
      <c r="I1280" s="7" t="inlineStr">
        <is>
          <t>release_generation_yearly_global.csv (Ember)</t>
        </is>
      </c>
    </row>
    <row r="1281">
      <c r="A1281" s="7" t="inlineStr">
        <is>
          <t>ISR</t>
        </is>
      </c>
      <c r="B1281" s="7" t="inlineStr">
        <is>
          <t>Israel</t>
        </is>
      </c>
      <c r="C1281" s="7" t="inlineStr">
        <is>
          <t>Middle East &amp; North Africa</t>
        </is>
      </c>
      <c r="D1281" s="7" t="inlineStr">
        <is>
          <t>High income</t>
        </is>
      </c>
      <c r="E1281" s="7" t="b">
        <v>0</v>
      </c>
      <c r="F1281" s="7" t="inlineStr">
        <is>
          <t>gen_total_twh</t>
        </is>
      </c>
      <c r="G1281" s="7" t="n">
        <v>80.40000000000001</v>
      </c>
      <c r="H1281" s="7" t="n">
        <v>2024</v>
      </c>
      <c r="I1281" s="7" t="inlineStr">
        <is>
          <t>release_generation_yearly_global.csv (Ember)</t>
        </is>
      </c>
    </row>
    <row r="1282">
      <c r="A1282" s="7" t="inlineStr">
        <is>
          <t>ISR</t>
        </is>
      </c>
      <c r="B1282" s="7" t="inlineStr">
        <is>
          <t>Israel</t>
        </is>
      </c>
      <c r="C1282" s="7" t="inlineStr">
        <is>
          <t>Middle East &amp; North Africa</t>
        </is>
      </c>
      <c r="D1282" s="7" t="inlineStr">
        <is>
          <t>High income</t>
        </is>
      </c>
      <c r="E1282" s="7" t="b">
        <v>0</v>
      </c>
      <c r="F1282" s="7" t="inlineStr">
        <is>
          <t>price_coal_power_usd_gj</t>
        </is>
      </c>
      <c r="G1282" s="7" t="n">
        <v>5.289</v>
      </c>
      <c r="H1282" s="7" t="inlineStr">
        <is>
          <t>2024</t>
        </is>
      </c>
      <c r="I1282" s="7" t="inlineStr">
        <is>
          <t>imffossilfuelsubsidiesdata.xlsb</t>
        </is>
      </c>
    </row>
    <row r="1283">
      <c r="A1283" s="7" t="inlineStr">
        <is>
          <t>ISR</t>
        </is>
      </c>
      <c r="B1283" s="7" t="inlineStr">
        <is>
          <t>Israel</t>
        </is>
      </c>
      <c r="C1283" s="7" t="inlineStr">
        <is>
          <t>Middle East &amp; North Africa</t>
        </is>
      </c>
      <c r="D1283" s="7" t="inlineStr">
        <is>
          <t>High income</t>
        </is>
      </c>
      <c r="E1283" s="7" t="b">
        <v>0</v>
      </c>
      <c r="F1283" s="7" t="inlineStr">
        <is>
          <t>price_electricity_residential_usd_kwh</t>
        </is>
      </c>
      <c r="G1283" s="7" t="n">
        <v>0.174</v>
      </c>
      <c r="H1283" s="7" t="inlineStr">
        <is>
          <t>2024</t>
        </is>
      </c>
      <c r="I1283" s="7" t="inlineStr">
        <is>
          <t>imffossilfuelsubsidiesdata.xlsb</t>
        </is>
      </c>
    </row>
    <row r="1284">
      <c r="A1284" s="7" t="inlineStr">
        <is>
          <t>ISR</t>
        </is>
      </c>
      <c r="B1284" s="7" t="inlineStr">
        <is>
          <t>Israel</t>
        </is>
      </c>
      <c r="C1284" s="7" t="inlineStr">
        <is>
          <t>Middle East &amp; North Africa</t>
        </is>
      </c>
      <c r="D1284" s="7" t="inlineStr">
        <is>
          <t>High income</t>
        </is>
      </c>
      <c r="E1284" s="7" t="b">
        <v>0</v>
      </c>
      <c r="F1284" s="7" t="inlineStr">
        <is>
          <t>price_gas_industry_usd_gj</t>
        </is>
      </c>
      <c r="G1284" s="7" t="n">
        <v>3.626</v>
      </c>
      <c r="H1284" s="7" t="inlineStr">
        <is>
          <t>2024</t>
        </is>
      </c>
      <c r="I1284" s="7" t="inlineStr">
        <is>
          <t>imffossilfuelsubsidiesdata.xlsb</t>
        </is>
      </c>
    </row>
    <row r="1285">
      <c r="A1285" s="7" t="inlineStr">
        <is>
          <t>ISR</t>
        </is>
      </c>
      <c r="B1285" s="7" t="inlineStr">
        <is>
          <t>Israel</t>
        </is>
      </c>
      <c r="C1285" s="7" t="inlineStr">
        <is>
          <t>Middle East &amp; North Africa</t>
        </is>
      </c>
      <c r="D1285" s="7" t="inlineStr">
        <is>
          <t>High income</t>
        </is>
      </c>
      <c r="E1285" s="7" t="b">
        <v>0</v>
      </c>
      <c r="F1285" s="7" t="inlineStr">
        <is>
          <t>price_gas_power_usd_gj</t>
        </is>
      </c>
      <c r="G1285" s="7" t="n">
        <v>2.578</v>
      </c>
      <c r="H1285" s="7" t="inlineStr">
        <is>
          <t>2024</t>
        </is>
      </c>
      <c r="I1285" s="7" t="inlineStr">
        <is>
          <t>imffossilfuelsubsidiesdata.xlsb</t>
        </is>
      </c>
    </row>
    <row r="1286">
      <c r="A1286" s="7" t="inlineStr">
        <is>
          <t>ISR</t>
        </is>
      </c>
      <c r="B1286" s="7" t="inlineStr">
        <is>
          <t>Israel</t>
        </is>
      </c>
      <c r="C1286" s="7" t="inlineStr">
        <is>
          <t>Middle East &amp; North Africa</t>
        </is>
      </c>
      <c r="D1286" s="7" t="inlineStr">
        <is>
          <t>High income</t>
        </is>
      </c>
      <c r="E1286" s="7" t="b">
        <v>0</v>
      </c>
      <c r="F1286" s="7" t="inlineStr">
        <is>
          <t>rise_renewable_energy_score</t>
        </is>
      </c>
      <c r="G1286" s="7" t="n">
        <v>35.921</v>
      </c>
      <c r="H1286" s="7" t="inlineStr">
        <is>
          <t>2023</t>
        </is>
      </c>
      <c r="I1286" s="7" t="inlineStr">
        <is>
          <t>WB_RISE_WIDEF.csv</t>
        </is>
      </c>
    </row>
    <row r="1287">
      <c r="A1287" s="7" t="inlineStr">
        <is>
          <t>ITA</t>
        </is>
      </c>
      <c r="B1287" s="7" t="inlineStr">
        <is>
          <t>Italy</t>
        </is>
      </c>
      <c r="C1287" s="7" t="inlineStr">
        <is>
          <t>Europe &amp; Central Asia</t>
        </is>
      </c>
      <c r="D1287" s="7" t="inlineStr">
        <is>
          <t>High income</t>
        </is>
      </c>
      <c r="E1287" s="7" t="b">
        <v>0</v>
      </c>
      <c r="F1287" s="7" t="inlineStr">
        <is>
          <t>coal_rents_pct_gdp</t>
        </is>
      </c>
      <c r="G1287" s="7" t="n">
        <v>0</v>
      </c>
      <c r="H1287" s="7" t="inlineStr">
        <is>
          <t>2021</t>
        </is>
      </c>
      <c r="I1287" s="7" t="inlineStr">
        <is>
          <t>API_NY_GDP_COAL_RT_ZS_DS2_en_csv_v2_35370.zip</t>
        </is>
      </c>
    </row>
    <row r="1288">
      <c r="A1288" s="7" t="inlineStr">
        <is>
          <t>ITA</t>
        </is>
      </c>
      <c r="B1288" s="7" t="inlineStr">
        <is>
          <t>Italy</t>
        </is>
      </c>
      <c r="C1288" s="7" t="inlineStr">
        <is>
          <t>Europe &amp; Central Asia</t>
        </is>
      </c>
      <c r="D1288" s="7" t="inlineStr">
        <is>
          <t>High income</t>
        </is>
      </c>
      <c r="E1288" s="7" t="b">
        <v>0</v>
      </c>
      <c r="F1288" s="7" t="inlineStr">
        <is>
          <t>em_coal_mt</t>
        </is>
      </c>
      <c r="G1288" s="7" t="n">
        <v>3.608</v>
      </c>
      <c r="H1288" s="7" t="n">
        <v>2024</v>
      </c>
      <c r="I1288" s="7" t="inlineStr">
        <is>
          <t>release_generation_yearly_global.csv (Ember)</t>
        </is>
      </c>
    </row>
    <row r="1289">
      <c r="A1289" s="7" t="inlineStr">
        <is>
          <t>ITA</t>
        </is>
      </c>
      <c r="B1289" s="7" t="inlineStr">
        <is>
          <t>Italy</t>
        </is>
      </c>
      <c r="C1289" s="7" t="inlineStr">
        <is>
          <t>Europe &amp; Central Asia</t>
        </is>
      </c>
      <c r="D1289" s="7" t="inlineStr">
        <is>
          <t>High income</t>
        </is>
      </c>
      <c r="E1289" s="7" t="b">
        <v>0</v>
      </c>
      <c r="F1289" s="7" t="inlineStr">
        <is>
          <t>em_gas_mt</t>
        </is>
      </c>
      <c r="G1289" s="7" t="n">
        <v>57.417</v>
      </c>
      <c r="H1289" s="7" t="n">
        <v>2024</v>
      </c>
      <c r="I1289" s="7" t="inlineStr">
        <is>
          <t>release_generation_yearly_global.csv (Ember)</t>
        </is>
      </c>
    </row>
    <row r="1290">
      <c r="A1290" s="7" t="inlineStr">
        <is>
          <t>ITA</t>
        </is>
      </c>
      <c r="B1290" s="7" t="inlineStr">
        <is>
          <t>Italy</t>
        </is>
      </c>
      <c r="C1290" s="7" t="inlineStr">
        <is>
          <t>Europe &amp; Central Asia</t>
        </is>
      </c>
      <c r="D1290" s="7" t="inlineStr">
        <is>
          <t>High income</t>
        </is>
      </c>
      <c r="E1290" s="7" t="b">
        <v>0</v>
      </c>
      <c r="F1290" s="7" t="inlineStr">
        <is>
          <t>em_oil_mt</t>
        </is>
      </c>
      <c r="G1290" s="7" t="n">
        <v>7.093</v>
      </c>
      <c r="H1290" s="7" t="n">
        <v>2024</v>
      </c>
      <c r="I1290" s="7" t="inlineStr">
        <is>
          <t>release_generation_yearly_global.csv (Ember)</t>
        </is>
      </c>
    </row>
    <row r="1291">
      <c r="A1291" s="7" t="inlineStr">
        <is>
          <t>ITA</t>
        </is>
      </c>
      <c r="B1291" s="7" t="inlineStr">
        <is>
          <t>Italy</t>
        </is>
      </c>
      <c r="C1291" s="7" t="inlineStr">
        <is>
          <t>Europe &amp; Central Asia</t>
        </is>
      </c>
      <c r="D1291" s="7" t="inlineStr">
        <is>
          <t>High income</t>
        </is>
      </c>
      <c r="E1291" s="7" t="b">
        <v>0</v>
      </c>
      <c r="F1291" s="7" t="inlineStr">
        <is>
          <t>ff_subsidy_explicit_pct_gdp</t>
        </is>
      </c>
      <c r="G1291" s="7" t="n">
        <v>0.001</v>
      </c>
      <c r="H1291" s="7" t="inlineStr">
        <is>
          <t>2024</t>
        </is>
      </c>
      <c r="I1291" s="7" t="inlineStr">
        <is>
          <t>imffossilfuelsubsidiesdata.xlsb</t>
        </is>
      </c>
    </row>
    <row r="1292">
      <c r="A1292" s="7" t="inlineStr">
        <is>
          <t>ITA</t>
        </is>
      </c>
      <c r="B1292" s="7" t="inlineStr">
        <is>
          <t>Italy</t>
        </is>
      </c>
      <c r="C1292" s="7" t="inlineStr">
        <is>
          <t>Europe &amp; Central Asia</t>
        </is>
      </c>
      <c r="D1292" s="7" t="inlineStr">
        <is>
          <t>High income</t>
        </is>
      </c>
      <c r="E1292" s="7" t="b">
        <v>0</v>
      </c>
      <c r="F1292" s="7" t="inlineStr">
        <is>
          <t>fuel_exports_pct_merch</t>
        </is>
      </c>
      <c r="G1292" s="7" t="n">
        <v>3.053</v>
      </c>
      <c r="H1292" s="7" t="inlineStr">
        <is>
          <t>2024</t>
        </is>
      </c>
      <c r="I1292" s="7" t="inlineStr">
        <is>
          <t>API_TX_VAL_FUEL_ZS_UN_DS2_en_csv_v2_33055.zip</t>
        </is>
      </c>
    </row>
    <row r="1293">
      <c r="A1293" s="7" t="inlineStr">
        <is>
          <t>ITA</t>
        </is>
      </c>
      <c r="B1293" s="7" t="inlineStr">
        <is>
          <t>Italy</t>
        </is>
      </c>
      <c r="C1293" s="7" t="inlineStr">
        <is>
          <t>Europe &amp; Central Asia</t>
        </is>
      </c>
      <c r="D1293" s="7" t="inlineStr">
        <is>
          <t>High income</t>
        </is>
      </c>
      <c r="E1293" s="7" t="b">
        <v>0</v>
      </c>
      <c r="F1293" s="7" t="inlineStr">
        <is>
          <t>gen_coal_twh</t>
        </is>
      </c>
      <c r="G1293" s="7" t="n">
        <v>3.95</v>
      </c>
      <c r="H1293" s="7" t="n">
        <v>2024</v>
      </c>
      <c r="I1293" s="7" t="inlineStr">
        <is>
          <t>release_generation_yearly_global.csv (Ember)</t>
        </is>
      </c>
    </row>
    <row r="1294">
      <c r="A1294" s="7" t="inlineStr">
        <is>
          <t>ITA</t>
        </is>
      </c>
      <c r="B1294" s="7" t="inlineStr">
        <is>
          <t>Italy</t>
        </is>
      </c>
      <c r="C1294" s="7" t="inlineStr">
        <is>
          <t>Europe &amp; Central Asia</t>
        </is>
      </c>
      <c r="D1294" s="7" t="inlineStr">
        <is>
          <t>High income</t>
        </is>
      </c>
      <c r="E1294" s="7" t="b">
        <v>0</v>
      </c>
      <c r="F1294" s="7" t="inlineStr">
        <is>
          <t>gen_gas_twh</t>
        </is>
      </c>
      <c r="G1294" s="7" t="n">
        <v>118.59</v>
      </c>
      <c r="H1294" s="7" t="n">
        <v>2024</v>
      </c>
      <c r="I1294" s="7" t="inlineStr">
        <is>
          <t>release_generation_yearly_global.csv (Ember)</t>
        </is>
      </c>
    </row>
    <row r="1295">
      <c r="A1295" s="7" t="inlineStr">
        <is>
          <t>ITA</t>
        </is>
      </c>
      <c r="B1295" s="7" t="inlineStr">
        <is>
          <t>Italy</t>
        </is>
      </c>
      <c r="C1295" s="7" t="inlineStr">
        <is>
          <t>Europe &amp; Central Asia</t>
        </is>
      </c>
      <c r="D1295" s="7" t="inlineStr">
        <is>
          <t>High income</t>
        </is>
      </c>
      <c r="E1295" s="7" t="b">
        <v>0</v>
      </c>
      <c r="F1295" s="7" t="inlineStr">
        <is>
          <t>gen_oil_twh</t>
        </is>
      </c>
      <c r="G1295" s="7" t="n">
        <v>10.78</v>
      </c>
      <c r="H1295" s="7" t="n">
        <v>2024</v>
      </c>
      <c r="I1295" s="7" t="inlineStr">
        <is>
          <t>release_generation_yearly_global.csv (Ember)</t>
        </is>
      </c>
    </row>
    <row r="1296">
      <c r="A1296" s="7" t="inlineStr">
        <is>
          <t>ITA</t>
        </is>
      </c>
      <c r="B1296" s="7" t="inlineStr">
        <is>
          <t>Italy</t>
        </is>
      </c>
      <c r="C1296" s="7" t="inlineStr">
        <is>
          <t>Europe &amp; Central Asia</t>
        </is>
      </c>
      <c r="D1296" s="7" t="inlineStr">
        <is>
          <t>High income</t>
        </is>
      </c>
      <c r="E1296" s="7" t="b">
        <v>0</v>
      </c>
      <c r="F1296" s="7" t="inlineStr">
        <is>
          <t>gen_total_twh</t>
        </is>
      </c>
      <c r="G1296" s="7" t="n">
        <v>267.56</v>
      </c>
      <c r="H1296" s="7" t="n">
        <v>2024</v>
      </c>
      <c r="I1296" s="7" t="inlineStr">
        <is>
          <t>release_generation_yearly_global.csv (Ember)</t>
        </is>
      </c>
    </row>
    <row r="1297">
      <c r="A1297" s="7" t="inlineStr">
        <is>
          <t>ITA</t>
        </is>
      </c>
      <c r="B1297" s="7" t="inlineStr">
        <is>
          <t>Italy</t>
        </is>
      </c>
      <c r="C1297" s="7" t="inlineStr">
        <is>
          <t>Europe &amp; Central Asia</t>
        </is>
      </c>
      <c r="D1297" s="7" t="inlineStr">
        <is>
          <t>High income</t>
        </is>
      </c>
      <c r="E1297" s="7" t="b">
        <v>0</v>
      </c>
      <c r="F1297" s="7" t="inlineStr">
        <is>
          <t>price_coal_power_usd_gj</t>
        </is>
      </c>
      <c r="G1297" s="7" t="n">
        <v>12.042</v>
      </c>
      <c r="H1297" s="7" t="inlineStr">
        <is>
          <t>2024</t>
        </is>
      </c>
      <c r="I1297" s="7" t="inlineStr">
        <is>
          <t>imffossilfuelsubsidiesdata.xlsb</t>
        </is>
      </c>
    </row>
    <row r="1298">
      <c r="A1298" s="7" t="inlineStr">
        <is>
          <t>ITA</t>
        </is>
      </c>
      <c r="B1298" s="7" t="inlineStr">
        <is>
          <t>Italy</t>
        </is>
      </c>
      <c r="C1298" s="7" t="inlineStr">
        <is>
          <t>Europe &amp; Central Asia</t>
        </is>
      </c>
      <c r="D1298" s="7" t="inlineStr">
        <is>
          <t>High income</t>
        </is>
      </c>
      <c r="E1298" s="7" t="b">
        <v>0</v>
      </c>
      <c r="F1298" s="7" t="inlineStr">
        <is>
          <t>price_electricity_residential_usd_kwh</t>
        </is>
      </c>
      <c r="G1298" s="7" t="n">
        <v>0.346</v>
      </c>
      <c r="H1298" s="7" t="inlineStr">
        <is>
          <t>2024</t>
        </is>
      </c>
      <c r="I1298" s="7" t="inlineStr">
        <is>
          <t>imffossilfuelsubsidiesdata.xlsb</t>
        </is>
      </c>
    </row>
    <row r="1299">
      <c r="A1299" s="7" t="inlineStr">
        <is>
          <t>ITA</t>
        </is>
      </c>
      <c r="B1299" s="7" t="inlineStr">
        <is>
          <t>Italy</t>
        </is>
      </c>
      <c r="C1299" s="7" t="inlineStr">
        <is>
          <t>Europe &amp; Central Asia</t>
        </is>
      </c>
      <c r="D1299" s="7" t="inlineStr">
        <is>
          <t>High income</t>
        </is>
      </c>
      <c r="E1299" s="7" t="b">
        <v>0</v>
      </c>
      <c r="F1299" s="7" t="inlineStr">
        <is>
          <t>price_gas_industry_usd_gj</t>
        </is>
      </c>
      <c r="G1299" s="7" t="n">
        <v>20.5</v>
      </c>
      <c r="H1299" s="7" t="inlineStr">
        <is>
          <t>2024</t>
        </is>
      </c>
      <c r="I1299" s="7" t="inlineStr">
        <is>
          <t>imffossilfuelsubsidiesdata.xlsb</t>
        </is>
      </c>
    </row>
    <row r="1300">
      <c r="A1300" s="7" t="inlineStr">
        <is>
          <t>ITA</t>
        </is>
      </c>
      <c r="B1300" s="7" t="inlineStr">
        <is>
          <t>Italy</t>
        </is>
      </c>
      <c r="C1300" s="7" t="inlineStr">
        <is>
          <t>Europe &amp; Central Asia</t>
        </is>
      </c>
      <c r="D1300" s="7" t="inlineStr">
        <is>
          <t>High income</t>
        </is>
      </c>
      <c r="E1300" s="7" t="b">
        <v>0</v>
      </c>
      <c r="F1300" s="7" t="inlineStr">
        <is>
          <t>price_gas_power_usd_gj</t>
        </is>
      </c>
      <c r="G1300" s="7" t="n">
        <v>20.5</v>
      </c>
      <c r="H1300" s="7" t="inlineStr">
        <is>
          <t>2024</t>
        </is>
      </c>
      <c r="I1300" s="7" t="inlineStr">
        <is>
          <t>imffossilfuelsubsidiesdata.xlsb</t>
        </is>
      </c>
    </row>
    <row r="1301">
      <c r="A1301" s="7" t="inlineStr">
        <is>
          <t>ITA</t>
        </is>
      </c>
      <c r="B1301" s="7" t="inlineStr">
        <is>
          <t>Italy</t>
        </is>
      </c>
      <c r="C1301" s="7" t="inlineStr">
        <is>
          <t>Europe &amp; Central Asia</t>
        </is>
      </c>
      <c r="D1301" s="7" t="inlineStr">
        <is>
          <t>High income</t>
        </is>
      </c>
      <c r="E1301" s="7" t="b">
        <v>0</v>
      </c>
      <c r="F1301" s="7" t="inlineStr">
        <is>
          <t>rise_renewable_energy_score</t>
        </is>
      </c>
      <c r="G1301" s="7" t="n">
        <v>84.111</v>
      </c>
      <c r="H1301" s="7" t="inlineStr">
        <is>
          <t>2023</t>
        </is>
      </c>
      <c r="I1301" s="7" t="inlineStr">
        <is>
          <t>WB_RISE_WIDEF.csv</t>
        </is>
      </c>
    </row>
    <row r="1302">
      <c r="A1302" s="7" t="inlineStr">
        <is>
          <t>JAM</t>
        </is>
      </c>
      <c r="B1302" s="7" t="inlineStr">
        <is>
          <t>Jamaica</t>
        </is>
      </c>
      <c r="C1302" s="7" t="inlineStr">
        <is>
          <t>Latin America &amp; Caribbean</t>
        </is>
      </c>
      <c r="D1302" s="7" t="inlineStr">
        <is>
          <t>Upper middle income</t>
        </is>
      </c>
      <c r="E1302" s="7" t="b">
        <v>0</v>
      </c>
      <c r="F1302" s="7" t="inlineStr">
        <is>
          <t>coal_rents_pct_gdp</t>
        </is>
      </c>
      <c r="G1302" s="7" t="n">
        <v>0</v>
      </c>
      <c r="H1302" s="7" t="inlineStr">
        <is>
          <t>2021</t>
        </is>
      </c>
      <c r="I1302" s="7" t="inlineStr">
        <is>
          <t>API_NY_GDP_COAL_RT_ZS_DS2_en_csv_v2_35370.zip</t>
        </is>
      </c>
    </row>
    <row r="1303">
      <c r="A1303" s="7" t="inlineStr">
        <is>
          <t>JAM</t>
        </is>
      </c>
      <c r="B1303" s="7" t="inlineStr">
        <is>
          <t>Jamaica</t>
        </is>
      </c>
      <c r="C1303" s="7" t="inlineStr">
        <is>
          <t>Latin America &amp; Caribbean</t>
        </is>
      </c>
      <c r="D1303" s="7" t="inlineStr">
        <is>
          <t>Upper middle income</t>
        </is>
      </c>
      <c r="E1303" s="7" t="b">
        <v>0</v>
      </c>
      <c r="F1303" s="7" t="inlineStr">
        <is>
          <t>em_coal_mt</t>
        </is>
      </c>
      <c r="G1303" s="7" t="n">
        <v>0</v>
      </c>
      <c r="H1303" s="7" t="n">
        <v>2024</v>
      </c>
      <c r="I1303" s="7" t="inlineStr">
        <is>
          <t>release_generation_yearly_global.csv (Ember)</t>
        </is>
      </c>
    </row>
    <row r="1304">
      <c r="A1304" s="7" t="inlineStr">
        <is>
          <t>JAM</t>
        </is>
      </c>
      <c r="B1304" s="7" t="inlineStr">
        <is>
          <t>Jamaica</t>
        </is>
      </c>
      <c r="C1304" s="7" t="inlineStr">
        <is>
          <t>Latin America &amp; Caribbean</t>
        </is>
      </c>
      <c r="D1304" s="7" t="inlineStr">
        <is>
          <t>Upper middle income</t>
        </is>
      </c>
      <c r="E1304" s="7" t="b">
        <v>0</v>
      </c>
      <c r="F1304" s="7" t="inlineStr">
        <is>
          <t>em_gas_mt</t>
        </is>
      </c>
      <c r="G1304" s="7" t="n">
        <v>1.755</v>
      </c>
      <c r="H1304" s="7" t="n">
        <v>2024</v>
      </c>
      <c r="I1304" s="7" t="inlineStr">
        <is>
          <t>release_generation_yearly_global.csv (Ember)</t>
        </is>
      </c>
    </row>
    <row r="1305">
      <c r="A1305" s="7" t="inlineStr">
        <is>
          <t>JAM</t>
        </is>
      </c>
      <c r="B1305" s="7" t="inlineStr">
        <is>
          <t>Jamaica</t>
        </is>
      </c>
      <c r="C1305" s="7" t="inlineStr">
        <is>
          <t>Latin America &amp; Caribbean</t>
        </is>
      </c>
      <c r="D1305" s="7" t="inlineStr">
        <is>
          <t>Upper middle income</t>
        </is>
      </c>
      <c r="E1305" s="7" t="b">
        <v>0</v>
      </c>
      <c r="F1305" s="7" t="inlineStr">
        <is>
          <t>em_oil_mt</t>
        </is>
      </c>
      <c r="G1305" s="7" t="n">
        <v>0.987</v>
      </c>
      <c r="H1305" s="7" t="n">
        <v>2024</v>
      </c>
      <c r="I1305" s="7" t="inlineStr">
        <is>
          <t>release_generation_yearly_global.csv (Ember)</t>
        </is>
      </c>
    </row>
    <row r="1306">
      <c r="A1306" s="7" t="inlineStr">
        <is>
          <t>JAM</t>
        </is>
      </c>
      <c r="B1306" s="7" t="inlineStr">
        <is>
          <t>Jamaica</t>
        </is>
      </c>
      <c r="C1306" s="7" t="inlineStr">
        <is>
          <t>Latin America &amp; Caribbean</t>
        </is>
      </c>
      <c r="D1306" s="7" t="inlineStr">
        <is>
          <t>Upper middle income</t>
        </is>
      </c>
      <c r="E1306" s="7" t="b">
        <v>0</v>
      </c>
      <c r="F1306" s="7" t="inlineStr">
        <is>
          <t>ff_subsidy_explicit_pct_gdp</t>
        </is>
      </c>
      <c r="G1306" s="7" t="n">
        <v>1.001</v>
      </c>
      <c r="H1306" s="7" t="inlineStr">
        <is>
          <t>2024</t>
        </is>
      </c>
      <c r="I1306" s="7" t="inlineStr">
        <is>
          <t>imffossilfuelsubsidiesdata.xlsb</t>
        </is>
      </c>
    </row>
    <row r="1307">
      <c r="A1307" s="7" t="inlineStr">
        <is>
          <t>JAM</t>
        </is>
      </c>
      <c r="B1307" s="7" t="inlineStr">
        <is>
          <t>Jamaica</t>
        </is>
      </c>
      <c r="C1307" s="7" t="inlineStr">
        <is>
          <t>Latin America &amp; Caribbean</t>
        </is>
      </c>
      <c r="D1307" s="7" t="inlineStr">
        <is>
          <t>Upper middle income</t>
        </is>
      </c>
      <c r="E1307" s="7" t="b">
        <v>0</v>
      </c>
      <c r="F1307" s="7" t="inlineStr">
        <is>
          <t>fuel_exports_pct_merch</t>
        </is>
      </c>
      <c r="G1307" s="7" t="n">
        <v>28.798</v>
      </c>
      <c r="H1307" s="7" t="inlineStr">
        <is>
          <t>2023</t>
        </is>
      </c>
      <c r="I1307" s="7" t="inlineStr">
        <is>
          <t>API_TX_VAL_FUEL_ZS_UN_DS2_en_csv_v2_33055.zip</t>
        </is>
      </c>
    </row>
    <row r="1308">
      <c r="A1308" s="7" t="inlineStr">
        <is>
          <t>JAM</t>
        </is>
      </c>
      <c r="B1308" s="7" t="inlineStr">
        <is>
          <t>Jamaica</t>
        </is>
      </c>
      <c r="C1308" s="7" t="inlineStr">
        <is>
          <t>Latin America &amp; Caribbean</t>
        </is>
      </c>
      <c r="D1308" s="7" t="inlineStr">
        <is>
          <t>Upper middle income</t>
        </is>
      </c>
      <c r="E1308" s="7" t="b">
        <v>0</v>
      </c>
      <c r="F1308" s="7" t="inlineStr">
        <is>
          <t>gen_coal_twh</t>
        </is>
      </c>
      <c r="G1308" s="7" t="n">
        <v>0</v>
      </c>
      <c r="H1308" s="7" t="n">
        <v>2024</v>
      </c>
      <c r="I1308" s="7" t="inlineStr">
        <is>
          <t>release_generation_yearly_global.csv (Ember)</t>
        </is>
      </c>
    </row>
    <row r="1309">
      <c r="A1309" s="7" t="inlineStr">
        <is>
          <t>JAM</t>
        </is>
      </c>
      <c r="B1309" s="7" t="inlineStr">
        <is>
          <t>Jamaica</t>
        </is>
      </c>
      <c r="C1309" s="7" t="inlineStr">
        <is>
          <t>Latin America &amp; Caribbean</t>
        </is>
      </c>
      <c r="D1309" s="7" t="inlineStr">
        <is>
          <t>Upper middle income</t>
        </is>
      </c>
      <c r="E1309" s="7" t="b">
        <v>0</v>
      </c>
      <c r="F1309" s="7" t="inlineStr">
        <is>
          <t>gen_gas_twh</t>
        </is>
      </c>
      <c r="G1309" s="7" t="n">
        <v>2.8</v>
      </c>
      <c r="H1309" s="7" t="n">
        <v>2024</v>
      </c>
      <c r="I1309" s="7" t="inlineStr">
        <is>
          <t>release_generation_yearly_global.csv (Ember)</t>
        </is>
      </c>
    </row>
    <row r="1310">
      <c r="A1310" s="7" t="inlineStr">
        <is>
          <t>JAM</t>
        </is>
      </c>
      <c r="B1310" s="7" t="inlineStr">
        <is>
          <t>Jamaica</t>
        </is>
      </c>
      <c r="C1310" s="7" t="inlineStr">
        <is>
          <t>Latin America &amp; Caribbean</t>
        </is>
      </c>
      <c r="D1310" s="7" t="inlineStr">
        <is>
          <t>Upper middle income</t>
        </is>
      </c>
      <c r="E1310" s="7" t="b">
        <v>0</v>
      </c>
      <c r="F1310" s="7" t="inlineStr">
        <is>
          <t>gen_oil_twh</t>
        </is>
      </c>
      <c r="G1310" s="7" t="n">
        <v>1.5</v>
      </c>
      <c r="H1310" s="7" t="n">
        <v>2024</v>
      </c>
      <c r="I1310" s="7" t="inlineStr">
        <is>
          <t>release_generation_yearly_global.csv (Ember)</t>
        </is>
      </c>
    </row>
    <row r="1311">
      <c r="A1311" s="7" t="inlineStr">
        <is>
          <t>JAM</t>
        </is>
      </c>
      <c r="B1311" s="7" t="inlineStr">
        <is>
          <t>Jamaica</t>
        </is>
      </c>
      <c r="C1311" s="7" t="inlineStr">
        <is>
          <t>Latin America &amp; Caribbean</t>
        </is>
      </c>
      <c r="D1311" s="7" t="inlineStr">
        <is>
          <t>Upper middle income</t>
        </is>
      </c>
      <c r="E1311" s="7" t="b">
        <v>0</v>
      </c>
      <c r="F1311" s="7" t="inlineStr">
        <is>
          <t>gen_total_twh</t>
        </is>
      </c>
      <c r="G1311" s="7" t="n">
        <v>4.92</v>
      </c>
      <c r="H1311" s="7" t="n">
        <v>2024</v>
      </c>
      <c r="I1311" s="7" t="inlineStr">
        <is>
          <t>release_generation_yearly_global.csv (Ember)</t>
        </is>
      </c>
    </row>
    <row r="1312">
      <c r="A1312" s="7" t="inlineStr">
        <is>
          <t>JAM</t>
        </is>
      </c>
      <c r="B1312" s="7" t="inlineStr">
        <is>
          <t>Jamaica</t>
        </is>
      </c>
      <c r="C1312" s="7" t="inlineStr">
        <is>
          <t>Latin America &amp; Caribbean</t>
        </is>
      </c>
      <c r="D1312" s="7" t="inlineStr">
        <is>
          <t>Upper middle income</t>
        </is>
      </c>
      <c r="E1312" s="7" t="b">
        <v>0</v>
      </c>
      <c r="F1312" s="7" t="inlineStr">
        <is>
          <t>power_market_structure</t>
        </is>
      </c>
      <c r="G1312" s="7" t="n">
        <v>2</v>
      </c>
      <c r="H1312" s="7" t="inlineStr">
        <is>
          <t>2013</t>
        </is>
      </c>
      <c r="I1312" s="7" t="inlineStr">
        <is>
          <t>dataverse_files.zip</t>
        </is>
      </c>
    </row>
    <row r="1313">
      <c r="A1313" s="7" t="inlineStr">
        <is>
          <t>JAM</t>
        </is>
      </c>
      <c r="B1313" s="7" t="inlineStr">
        <is>
          <t>Jamaica</t>
        </is>
      </c>
      <c r="C1313" s="7" t="inlineStr">
        <is>
          <t>Latin America &amp; Caribbean</t>
        </is>
      </c>
      <c r="D1313" s="7" t="inlineStr">
        <is>
          <t>Upper middle income</t>
        </is>
      </c>
      <c r="E1313" s="7" t="b">
        <v>0</v>
      </c>
      <c r="F1313" s="7" t="inlineStr">
        <is>
          <t>price_coal_power_usd_gj</t>
        </is>
      </c>
      <c r="G1313" s="7" t="n">
        <v>5.575</v>
      </c>
      <c r="H1313" s="7" t="inlineStr">
        <is>
          <t>2024</t>
        </is>
      </c>
      <c r="I1313" s="7" t="inlineStr">
        <is>
          <t>imffossilfuelsubsidiesdata.xlsb</t>
        </is>
      </c>
    </row>
    <row r="1314">
      <c r="A1314" s="7" t="inlineStr">
        <is>
          <t>JAM</t>
        </is>
      </c>
      <c r="B1314" s="7" t="inlineStr">
        <is>
          <t>Jamaica</t>
        </is>
      </c>
      <c r="C1314" s="7" t="inlineStr">
        <is>
          <t>Latin America &amp; Caribbean</t>
        </is>
      </c>
      <c r="D1314" s="7" t="inlineStr">
        <is>
          <t>Upper middle income</t>
        </is>
      </c>
      <c r="E1314" s="7" t="b">
        <v>0</v>
      </c>
      <c r="F1314" s="7" t="inlineStr">
        <is>
          <t>price_electricity_residential_usd_kwh</t>
        </is>
      </c>
      <c r="G1314" s="7" t="n">
        <v>0.741</v>
      </c>
      <c r="H1314" s="7" t="inlineStr">
        <is>
          <t>2024</t>
        </is>
      </c>
      <c r="I1314" s="7" t="inlineStr">
        <is>
          <t>imffossilfuelsubsidiesdata.xlsb</t>
        </is>
      </c>
    </row>
    <row r="1315">
      <c r="A1315" s="7" t="inlineStr">
        <is>
          <t>JAM</t>
        </is>
      </c>
      <c r="B1315" s="7" t="inlineStr">
        <is>
          <t>Jamaica</t>
        </is>
      </c>
      <c r="C1315" s="7" t="inlineStr">
        <is>
          <t>Latin America &amp; Caribbean</t>
        </is>
      </c>
      <c r="D1315" s="7" t="inlineStr">
        <is>
          <t>Upper middle income</t>
        </is>
      </c>
      <c r="E1315" s="7" t="b">
        <v>0</v>
      </c>
      <c r="F1315" s="7" t="inlineStr">
        <is>
          <t>price_gas_industry_usd_gj</t>
        </is>
      </c>
      <c r="G1315" s="7" t="n">
        <v>12.802</v>
      </c>
      <c r="H1315" s="7" t="inlineStr">
        <is>
          <t>2024</t>
        </is>
      </c>
      <c r="I1315" s="7" t="inlineStr">
        <is>
          <t>imffossilfuelsubsidiesdata.xlsb</t>
        </is>
      </c>
    </row>
    <row r="1316">
      <c r="A1316" s="7" t="inlineStr">
        <is>
          <t>JAM</t>
        </is>
      </c>
      <c r="B1316" s="7" t="inlineStr">
        <is>
          <t>Jamaica</t>
        </is>
      </c>
      <c r="C1316" s="7" t="inlineStr">
        <is>
          <t>Latin America &amp; Caribbean</t>
        </is>
      </c>
      <c r="D1316" s="7" t="inlineStr">
        <is>
          <t>Upper middle income</t>
        </is>
      </c>
      <c r="E1316" s="7" t="b">
        <v>0</v>
      </c>
      <c r="F1316" s="7" t="inlineStr">
        <is>
          <t>price_gas_power_usd_gj</t>
        </is>
      </c>
      <c r="G1316" s="7" t="n">
        <v>11.479</v>
      </c>
      <c r="H1316" s="7" t="inlineStr">
        <is>
          <t>2024</t>
        </is>
      </c>
      <c r="I1316" s="7" t="inlineStr">
        <is>
          <t>imffossilfuelsubsidiesdata.xlsb</t>
        </is>
      </c>
    </row>
    <row r="1317">
      <c r="A1317" s="7" t="inlineStr">
        <is>
          <t>JAM</t>
        </is>
      </c>
      <c r="B1317" s="7" t="inlineStr">
        <is>
          <t>Jamaica</t>
        </is>
      </c>
      <c r="C1317" s="7" t="inlineStr">
        <is>
          <t>Latin America &amp; Caribbean</t>
        </is>
      </c>
      <c r="D1317" s="7" t="inlineStr">
        <is>
          <t>Upper middle income</t>
        </is>
      </c>
      <c r="E1317" s="7" t="b">
        <v>0</v>
      </c>
      <c r="F1317" s="7" t="inlineStr">
        <is>
          <t>rise_renewable_energy_score</t>
        </is>
      </c>
      <c r="G1317" s="7" t="n">
        <v>32.944</v>
      </c>
      <c r="H1317" s="7" t="inlineStr">
        <is>
          <t>2023</t>
        </is>
      </c>
      <c r="I1317" s="7" t="inlineStr">
        <is>
          <t>WB_RISE_WIDEF.csv</t>
        </is>
      </c>
    </row>
    <row r="1318">
      <c r="A1318" s="7" t="inlineStr">
        <is>
          <t>JOR</t>
        </is>
      </c>
      <c r="B1318" s="7" t="inlineStr">
        <is>
          <t>Jordan</t>
        </is>
      </c>
      <c r="C1318" s="7" t="inlineStr">
        <is>
          <t>Middle East &amp; North Africa</t>
        </is>
      </c>
      <c r="D1318" s="7" t="inlineStr">
        <is>
          <t>Upper middle income</t>
        </is>
      </c>
      <c r="E1318" s="7" t="b">
        <v>1</v>
      </c>
      <c r="F1318" s="7" t="inlineStr">
        <is>
          <t>coal_rents_pct_gdp</t>
        </is>
      </c>
      <c r="G1318" s="7" t="n">
        <v>0</v>
      </c>
      <c r="H1318" s="7" t="inlineStr">
        <is>
          <t>2021</t>
        </is>
      </c>
      <c r="I1318" s="7" t="inlineStr">
        <is>
          <t>API_NY_GDP_COAL_RT_ZS_DS2_en_csv_v2_35370.zip</t>
        </is>
      </c>
    </row>
    <row r="1319">
      <c r="A1319" s="7" t="inlineStr">
        <is>
          <t>JOR</t>
        </is>
      </c>
      <c r="B1319" s="7" t="inlineStr">
        <is>
          <t>Jordan</t>
        </is>
      </c>
      <c r="C1319" s="7" t="inlineStr">
        <is>
          <t>Middle East &amp; North Africa</t>
        </is>
      </c>
      <c r="D1319" s="7" t="inlineStr">
        <is>
          <t>Upper middle income</t>
        </is>
      </c>
      <c r="E1319" s="7" t="b">
        <v>1</v>
      </c>
      <c r="F1319" s="7" t="inlineStr">
        <is>
          <t>em_coal_mt</t>
        </is>
      </c>
      <c r="G1319" s="7" t="n">
        <v>0</v>
      </c>
      <c r="H1319" s="7" t="n">
        <v>2024</v>
      </c>
      <c r="I1319" s="7" t="inlineStr">
        <is>
          <t>release_generation_yearly_global.csv (Ember)</t>
        </is>
      </c>
    </row>
    <row r="1320">
      <c r="A1320" s="7" t="inlineStr">
        <is>
          <t>JOR</t>
        </is>
      </c>
      <c r="B1320" s="7" t="inlineStr">
        <is>
          <t>Jordan</t>
        </is>
      </c>
      <c r="C1320" s="7" t="inlineStr">
        <is>
          <t>Middle East &amp; North Africa</t>
        </is>
      </c>
      <c r="D1320" s="7" t="inlineStr">
        <is>
          <t>Upper middle income</t>
        </is>
      </c>
      <c r="E1320" s="7" t="b">
        <v>1</v>
      </c>
      <c r="F1320" s="7" t="inlineStr">
        <is>
          <t>em_gas_mt</t>
        </is>
      </c>
      <c r="G1320" s="7" t="n">
        <v>10.163</v>
      </c>
      <c r="H1320" s="7" t="n">
        <v>2024</v>
      </c>
      <c r="I1320" s="7" t="inlineStr">
        <is>
          <t>release_generation_yearly_global.csv (Ember)</t>
        </is>
      </c>
    </row>
    <row r="1321">
      <c r="A1321" s="7" t="inlineStr">
        <is>
          <t>JOR</t>
        </is>
      </c>
      <c r="B1321" s="7" t="inlineStr">
        <is>
          <t>Jordan</t>
        </is>
      </c>
      <c r="C1321" s="7" t="inlineStr">
        <is>
          <t>Middle East &amp; North Africa</t>
        </is>
      </c>
      <c r="D1321" s="7" t="inlineStr">
        <is>
          <t>Upper middle income</t>
        </is>
      </c>
      <c r="E1321" s="7" t="b">
        <v>1</v>
      </c>
      <c r="F1321" s="7" t="inlineStr">
        <is>
          <t>em_oil_mt</t>
        </is>
      </c>
      <c r="G1321" s="7" t="n">
        <v>2.171</v>
      </c>
      <c r="H1321" s="7" t="n">
        <v>2024</v>
      </c>
      <c r="I1321" s="7" t="inlineStr">
        <is>
          <t>release_generation_yearly_global.csv (Ember)</t>
        </is>
      </c>
    </row>
    <row r="1322">
      <c r="A1322" s="7" t="inlineStr">
        <is>
          <t>JOR</t>
        </is>
      </c>
      <c r="B1322" s="7" t="inlineStr">
        <is>
          <t>Jordan</t>
        </is>
      </c>
      <c r="C1322" s="7" t="inlineStr">
        <is>
          <t>Middle East &amp; North Africa</t>
        </is>
      </c>
      <c r="D1322" s="7" t="inlineStr">
        <is>
          <t>Upper middle income</t>
        </is>
      </c>
      <c r="E1322" s="7" t="b">
        <v>1</v>
      </c>
      <c r="F1322" s="7" t="inlineStr">
        <is>
          <t>ff_subsidy_explicit_pct_gdp</t>
        </is>
      </c>
      <c r="G1322" s="7" t="n">
        <v>0.873</v>
      </c>
      <c r="H1322" s="7" t="inlineStr">
        <is>
          <t>2024</t>
        </is>
      </c>
      <c r="I1322" s="7" t="inlineStr">
        <is>
          <t>imffossilfuelsubsidiesdata.xlsb</t>
        </is>
      </c>
    </row>
    <row r="1323">
      <c r="A1323" s="7" t="inlineStr">
        <is>
          <t>JOR</t>
        </is>
      </c>
      <c r="B1323" s="7" t="inlineStr">
        <is>
          <t>Jordan</t>
        </is>
      </c>
      <c r="C1323" s="7" t="inlineStr">
        <is>
          <t>Middle East &amp; North Africa</t>
        </is>
      </c>
      <c r="D1323" s="7" t="inlineStr">
        <is>
          <t>Upper middle income</t>
        </is>
      </c>
      <c r="E1323" s="7" t="b">
        <v>1</v>
      </c>
      <c r="F1323" s="7" t="inlineStr">
        <is>
          <t>fuel_exports_pct_merch</t>
        </is>
      </c>
      <c r="G1323" s="7" t="n">
        <v>0.265</v>
      </c>
      <c r="H1323" s="7" t="inlineStr">
        <is>
          <t>2024</t>
        </is>
      </c>
      <c r="I1323" s="7" t="inlineStr">
        <is>
          <t>API_TX_VAL_FUEL_ZS_UN_DS2_en_csv_v2_33055.zip</t>
        </is>
      </c>
    </row>
    <row r="1324">
      <c r="A1324" s="7" t="inlineStr">
        <is>
          <t>JOR</t>
        </is>
      </c>
      <c r="B1324" s="7" t="inlineStr">
        <is>
          <t>Jordan</t>
        </is>
      </c>
      <c r="C1324" s="7" t="inlineStr">
        <is>
          <t>Middle East &amp; North Africa</t>
        </is>
      </c>
      <c r="D1324" s="7" t="inlineStr">
        <is>
          <t>Upper middle income</t>
        </is>
      </c>
      <c r="E1324" s="7" t="b">
        <v>1</v>
      </c>
      <c r="F1324" s="7" t="inlineStr">
        <is>
          <t>gen_coal_twh</t>
        </is>
      </c>
      <c r="G1324" s="7" t="n">
        <v>0</v>
      </c>
      <c r="H1324" s="7" t="n">
        <v>2024</v>
      </c>
      <c r="I1324" s="7" t="inlineStr">
        <is>
          <t>release_generation_yearly_global.csv (Ember)</t>
        </is>
      </c>
    </row>
    <row r="1325">
      <c r="A1325" s="7" t="inlineStr">
        <is>
          <t>JOR</t>
        </is>
      </c>
      <c r="B1325" s="7" t="inlineStr">
        <is>
          <t>Jordan</t>
        </is>
      </c>
      <c r="C1325" s="7" t="inlineStr">
        <is>
          <t>Middle East &amp; North Africa</t>
        </is>
      </c>
      <c r="D1325" s="7" t="inlineStr">
        <is>
          <t>Upper middle income</t>
        </is>
      </c>
      <c r="E1325" s="7" t="b">
        <v>1</v>
      </c>
      <c r="F1325" s="7" t="inlineStr">
        <is>
          <t>gen_gas_twh</t>
        </is>
      </c>
      <c r="G1325" s="7" t="n">
        <v>14.67</v>
      </c>
      <c r="H1325" s="7" t="n">
        <v>2024</v>
      </c>
      <c r="I1325" s="7" t="inlineStr">
        <is>
          <t>release_generation_yearly_global.csv (Ember)</t>
        </is>
      </c>
    </row>
    <row r="1326">
      <c r="A1326" s="7" t="inlineStr">
        <is>
          <t>JOR</t>
        </is>
      </c>
      <c r="B1326" s="7" t="inlineStr">
        <is>
          <t>Jordan</t>
        </is>
      </c>
      <c r="C1326" s="7" t="inlineStr">
        <is>
          <t>Middle East &amp; North Africa</t>
        </is>
      </c>
      <c r="D1326" s="7" t="inlineStr">
        <is>
          <t>Upper middle income</t>
        </is>
      </c>
      <c r="E1326" s="7" t="b">
        <v>1</v>
      </c>
      <c r="F1326" s="7" t="inlineStr">
        <is>
          <t>gen_oil_twh</t>
        </is>
      </c>
      <c r="G1326" s="7" t="n">
        <v>3.3</v>
      </c>
      <c r="H1326" s="7" t="n">
        <v>2024</v>
      </c>
      <c r="I1326" s="7" t="inlineStr">
        <is>
          <t>release_generation_yearly_global.csv (Ember)</t>
        </is>
      </c>
    </row>
    <row r="1327">
      <c r="A1327" s="7" t="inlineStr">
        <is>
          <t>JOR</t>
        </is>
      </c>
      <c r="B1327" s="7" t="inlineStr">
        <is>
          <t>Jordan</t>
        </is>
      </c>
      <c r="C1327" s="7" t="inlineStr">
        <is>
          <t>Middle East &amp; North Africa</t>
        </is>
      </c>
      <c r="D1327" s="7" t="inlineStr">
        <is>
          <t>Upper middle income</t>
        </is>
      </c>
      <c r="E1327" s="7" t="b">
        <v>1</v>
      </c>
      <c r="F1327" s="7" t="inlineStr">
        <is>
          <t>gen_total_twh</t>
        </is>
      </c>
      <c r="G1327" s="7" t="n">
        <v>23.67</v>
      </c>
      <c r="H1327" s="7" t="n">
        <v>2024</v>
      </c>
      <c r="I1327" s="7" t="inlineStr">
        <is>
          <t>release_generation_yearly_global.csv (Ember)</t>
        </is>
      </c>
    </row>
    <row r="1328">
      <c r="A1328" s="7" t="inlineStr">
        <is>
          <t>JOR</t>
        </is>
      </c>
      <c r="B1328" s="7" t="inlineStr">
        <is>
          <t>Jordan</t>
        </is>
      </c>
      <c r="C1328" s="7" t="inlineStr">
        <is>
          <t>Middle East &amp; North Africa</t>
        </is>
      </c>
      <c r="D1328" s="7" t="inlineStr">
        <is>
          <t>Upper middle income</t>
        </is>
      </c>
      <c r="E1328" s="7" t="b">
        <v>1</v>
      </c>
      <c r="F1328" s="7" t="inlineStr">
        <is>
          <t>power_market_structure</t>
        </is>
      </c>
      <c r="G1328" s="7" t="n">
        <v>3</v>
      </c>
      <c r="H1328" s="7" t="inlineStr">
        <is>
          <t>2013</t>
        </is>
      </c>
      <c r="I1328" s="7" t="inlineStr">
        <is>
          <t>dataverse_files.zip</t>
        </is>
      </c>
    </row>
    <row r="1329">
      <c r="A1329" s="7" t="inlineStr">
        <is>
          <t>JOR</t>
        </is>
      </c>
      <c r="B1329" s="7" t="inlineStr">
        <is>
          <t>Jordan</t>
        </is>
      </c>
      <c r="C1329" s="7" t="inlineStr">
        <is>
          <t>Middle East &amp; North Africa</t>
        </is>
      </c>
      <c r="D1329" s="7" t="inlineStr">
        <is>
          <t>Upper middle income</t>
        </is>
      </c>
      <c r="E1329" s="7" t="b">
        <v>1</v>
      </c>
      <c r="F1329" s="7" t="inlineStr">
        <is>
          <t>price_coal_power_usd_gj</t>
        </is>
      </c>
      <c r="G1329" s="7" t="n">
        <v>5.575</v>
      </c>
      <c r="H1329" s="7" t="inlineStr">
        <is>
          <t>2024</t>
        </is>
      </c>
      <c r="I1329" s="7" t="inlineStr">
        <is>
          <t>imffossilfuelsubsidiesdata.xlsb</t>
        </is>
      </c>
    </row>
    <row r="1330">
      <c r="A1330" s="7" t="inlineStr">
        <is>
          <t>JOR</t>
        </is>
      </c>
      <c r="B1330" s="7" t="inlineStr">
        <is>
          <t>Jordan</t>
        </is>
      </c>
      <c r="C1330" s="7" t="inlineStr">
        <is>
          <t>Middle East &amp; North Africa</t>
        </is>
      </c>
      <c r="D1330" s="7" t="inlineStr">
        <is>
          <t>Upper middle income</t>
        </is>
      </c>
      <c r="E1330" s="7" t="b">
        <v>1</v>
      </c>
      <c r="F1330" s="7" t="inlineStr">
        <is>
          <t>price_electricity_residential_usd_kwh</t>
        </is>
      </c>
      <c r="G1330" s="7" t="n">
        <v>0.223</v>
      </c>
      <c r="H1330" s="7" t="inlineStr">
        <is>
          <t>2024</t>
        </is>
      </c>
      <c r="I1330" s="7" t="inlineStr">
        <is>
          <t>imffossilfuelsubsidiesdata.xlsb</t>
        </is>
      </c>
    </row>
    <row r="1331">
      <c r="A1331" s="7" t="inlineStr">
        <is>
          <t>JOR</t>
        </is>
      </c>
      <c r="B1331" s="7" t="inlineStr">
        <is>
          <t>Jordan</t>
        </is>
      </c>
      <c r="C1331" s="7" t="inlineStr">
        <is>
          <t>Middle East &amp; North Africa</t>
        </is>
      </c>
      <c r="D1331" s="7" t="inlineStr">
        <is>
          <t>Upper middle income</t>
        </is>
      </c>
      <c r="E1331" s="7" t="b">
        <v>1</v>
      </c>
      <c r="F1331" s="7" t="inlineStr">
        <is>
          <t>price_gas_industry_usd_gj</t>
        </is>
      </c>
      <c r="G1331" s="7" t="n">
        <v>6.749</v>
      </c>
      <c r="H1331" s="7" t="inlineStr">
        <is>
          <t>2024</t>
        </is>
      </c>
      <c r="I1331" s="7" t="inlineStr">
        <is>
          <t>imffossilfuelsubsidiesdata.xlsb</t>
        </is>
      </c>
    </row>
    <row r="1332">
      <c r="A1332" s="7" t="inlineStr">
        <is>
          <t>JOR</t>
        </is>
      </c>
      <c r="B1332" s="7" t="inlineStr">
        <is>
          <t>Jordan</t>
        </is>
      </c>
      <c r="C1332" s="7" t="inlineStr">
        <is>
          <t>Middle East &amp; North Africa</t>
        </is>
      </c>
      <c r="D1332" s="7" t="inlineStr">
        <is>
          <t>Upper middle income</t>
        </is>
      </c>
      <c r="E1332" s="7" t="b">
        <v>1</v>
      </c>
      <c r="F1332" s="7" t="inlineStr">
        <is>
          <t>price_gas_power_usd_gj</t>
        </is>
      </c>
      <c r="G1332" s="7" t="n">
        <v>6.749</v>
      </c>
      <c r="H1332" s="7" t="inlineStr">
        <is>
          <t>2024</t>
        </is>
      </c>
      <c r="I1332" s="7" t="inlineStr">
        <is>
          <t>imffossilfuelsubsidiesdata.xlsb</t>
        </is>
      </c>
    </row>
    <row r="1333">
      <c r="A1333" s="7" t="inlineStr">
        <is>
          <t>JOR</t>
        </is>
      </c>
      <c r="B1333" s="7" t="inlineStr">
        <is>
          <t>Jordan</t>
        </is>
      </c>
      <c r="C1333" s="7" t="inlineStr">
        <is>
          <t>Middle East &amp; North Africa</t>
        </is>
      </c>
      <c r="D1333" s="7" t="inlineStr">
        <is>
          <t>Upper middle income</t>
        </is>
      </c>
      <c r="E1333" s="7" t="b">
        <v>1</v>
      </c>
      <c r="F1333" s="7" t="inlineStr">
        <is>
          <t>rise_renewable_energy_score</t>
        </is>
      </c>
      <c r="G1333" s="7" t="n">
        <v>37.817</v>
      </c>
      <c r="H1333" s="7" t="inlineStr">
        <is>
          <t>2023</t>
        </is>
      </c>
      <c r="I1333" s="7" t="inlineStr">
        <is>
          <t>WB_RISE_WIDEF.csv</t>
        </is>
      </c>
    </row>
    <row r="1334">
      <c r="A1334" s="7" t="inlineStr">
        <is>
          <t>JPN</t>
        </is>
      </c>
      <c r="B1334" s="7" t="inlineStr">
        <is>
          <t>Japan</t>
        </is>
      </c>
      <c r="C1334" s="7" t="inlineStr">
        <is>
          <t>East Asia &amp; Pacific</t>
        </is>
      </c>
      <c r="D1334" s="7" t="inlineStr">
        <is>
          <t>High income</t>
        </is>
      </c>
      <c r="E1334" s="7" t="b">
        <v>0</v>
      </c>
      <c r="F1334" s="7" t="inlineStr">
        <is>
          <t>coal_rents_pct_gdp</t>
        </is>
      </c>
      <c r="G1334" s="7" t="n">
        <v>0</v>
      </c>
      <c r="H1334" s="7" t="inlineStr">
        <is>
          <t>2021</t>
        </is>
      </c>
      <c r="I1334" s="7" t="inlineStr">
        <is>
          <t>API_NY_GDP_COAL_RT_ZS_DS2_en_csv_v2_35370.zip</t>
        </is>
      </c>
    </row>
    <row r="1335">
      <c r="A1335" s="7" t="inlineStr">
        <is>
          <t>JPN</t>
        </is>
      </c>
      <c r="B1335" s="7" t="inlineStr">
        <is>
          <t>Japan</t>
        </is>
      </c>
      <c r="C1335" s="7" t="inlineStr">
        <is>
          <t>East Asia &amp; Pacific</t>
        </is>
      </c>
      <c r="D1335" s="7" t="inlineStr">
        <is>
          <t>High income</t>
        </is>
      </c>
      <c r="E1335" s="7" t="b">
        <v>0</v>
      </c>
      <c r="F1335" s="7" t="inlineStr">
        <is>
          <t>em_coal_mt</t>
        </is>
      </c>
      <c r="G1335" s="7" t="n">
        <v>269.887</v>
      </c>
      <c r="H1335" s="7" t="n">
        <v>2024</v>
      </c>
      <c r="I1335" s="7" t="inlineStr">
        <is>
          <t>release_generation_yearly_global.csv (Ember)</t>
        </is>
      </c>
    </row>
    <row r="1336">
      <c r="A1336" s="7" t="inlineStr">
        <is>
          <t>JPN</t>
        </is>
      </c>
      <c r="B1336" s="7" t="inlineStr">
        <is>
          <t>Japan</t>
        </is>
      </c>
      <c r="C1336" s="7" t="inlineStr">
        <is>
          <t>East Asia &amp; Pacific</t>
        </is>
      </c>
      <c r="D1336" s="7" t="inlineStr">
        <is>
          <t>High income</t>
        </is>
      </c>
      <c r="E1336" s="7" t="b">
        <v>0</v>
      </c>
      <c r="F1336" s="7" t="inlineStr">
        <is>
          <t>em_gas_mt</t>
        </is>
      </c>
      <c r="G1336" s="7" t="n">
        <v>188.288</v>
      </c>
      <c r="H1336" s="7" t="n">
        <v>2024</v>
      </c>
      <c r="I1336" s="7" t="inlineStr">
        <is>
          <t>release_generation_yearly_global.csv (Ember)</t>
        </is>
      </c>
    </row>
    <row r="1337">
      <c r="A1337" s="7" t="inlineStr">
        <is>
          <t>JPN</t>
        </is>
      </c>
      <c r="B1337" s="7" t="inlineStr">
        <is>
          <t>Japan</t>
        </is>
      </c>
      <c r="C1337" s="7" t="inlineStr">
        <is>
          <t>East Asia &amp; Pacific</t>
        </is>
      </c>
      <c r="D1337" s="7" t="inlineStr">
        <is>
          <t>High income</t>
        </is>
      </c>
      <c r="E1337" s="7" t="b">
        <v>0</v>
      </c>
      <c r="F1337" s="7" t="inlineStr">
        <is>
          <t>em_oil_mt</t>
        </is>
      </c>
      <c r="G1337" s="7" t="n">
        <v>16.45</v>
      </c>
      <c r="H1337" s="7" t="n">
        <v>2024</v>
      </c>
      <c r="I1337" s="7" t="inlineStr">
        <is>
          <t>release_generation_yearly_global.csv (Ember)</t>
        </is>
      </c>
    </row>
    <row r="1338">
      <c r="A1338" s="7" t="inlineStr">
        <is>
          <t>JPN</t>
        </is>
      </c>
      <c r="B1338" s="7" t="inlineStr">
        <is>
          <t>Japan</t>
        </is>
      </c>
      <c r="C1338" s="7" t="inlineStr">
        <is>
          <t>East Asia &amp; Pacific</t>
        </is>
      </c>
      <c r="D1338" s="7" t="inlineStr">
        <is>
          <t>High income</t>
        </is>
      </c>
      <c r="E1338" s="7" t="b">
        <v>0</v>
      </c>
      <c r="F1338" s="7" t="inlineStr">
        <is>
          <t>ff_subsidy_explicit_pct_gdp</t>
        </is>
      </c>
      <c r="G1338" s="7" t="n">
        <v>0.098</v>
      </c>
      <c r="H1338" s="7" t="inlineStr">
        <is>
          <t>2024</t>
        </is>
      </c>
      <c r="I1338" s="7" t="inlineStr">
        <is>
          <t>imffossilfuelsubsidiesdata.xlsb</t>
        </is>
      </c>
    </row>
    <row r="1339">
      <c r="A1339" s="7" t="inlineStr">
        <is>
          <t>JPN</t>
        </is>
      </c>
      <c r="B1339" s="7" t="inlineStr">
        <is>
          <t>Japan</t>
        </is>
      </c>
      <c r="C1339" s="7" t="inlineStr">
        <is>
          <t>East Asia &amp; Pacific</t>
        </is>
      </c>
      <c r="D1339" s="7" t="inlineStr">
        <is>
          <t>High income</t>
        </is>
      </c>
      <c r="E1339" s="7" t="b">
        <v>0</v>
      </c>
      <c r="F1339" s="7" t="inlineStr">
        <is>
          <t>fuel_exports_pct_merch</t>
        </is>
      </c>
      <c r="G1339" s="7" t="n">
        <v>1.185</v>
      </c>
      <c r="H1339" s="7" t="inlineStr">
        <is>
          <t>2025</t>
        </is>
      </c>
      <c r="I1339" s="7" t="inlineStr">
        <is>
          <t>API_TX_VAL_FUEL_ZS_UN_DS2_en_csv_v2_33055.zip</t>
        </is>
      </c>
    </row>
    <row r="1340">
      <c r="A1340" s="7" t="inlineStr">
        <is>
          <t>JPN</t>
        </is>
      </c>
      <c r="B1340" s="7" t="inlineStr">
        <is>
          <t>Japan</t>
        </is>
      </c>
      <c r="C1340" s="7" t="inlineStr">
        <is>
          <t>East Asia &amp; Pacific</t>
        </is>
      </c>
      <c r="D1340" s="7" t="inlineStr">
        <is>
          <t>High income</t>
        </is>
      </c>
      <c r="E1340" s="7" t="b">
        <v>0</v>
      </c>
      <c r="F1340" s="7" t="inlineStr">
        <is>
          <t>gen_coal_twh</t>
        </is>
      </c>
      <c r="G1340" s="7" t="n">
        <v>327.13</v>
      </c>
      <c r="H1340" s="7" t="n">
        <v>2024</v>
      </c>
      <c r="I1340" s="7" t="inlineStr">
        <is>
          <t>release_generation_yearly_global.csv (Ember)</t>
        </is>
      </c>
    </row>
    <row r="1341">
      <c r="A1341" s="7" t="inlineStr">
        <is>
          <t>JPN</t>
        </is>
      </c>
      <c r="B1341" s="7" t="inlineStr">
        <is>
          <t>Japan</t>
        </is>
      </c>
      <c r="C1341" s="7" t="inlineStr">
        <is>
          <t>East Asia &amp; Pacific</t>
        </is>
      </c>
      <c r="D1341" s="7" t="inlineStr">
        <is>
          <t>High income</t>
        </is>
      </c>
      <c r="E1341" s="7" t="b">
        <v>0</v>
      </c>
      <c r="F1341" s="7" t="inlineStr">
        <is>
          <t>gen_gas_twh</t>
        </is>
      </c>
      <c r="G1341" s="7" t="n">
        <v>346.24</v>
      </c>
      <c r="H1341" s="7" t="n">
        <v>2024</v>
      </c>
      <c r="I1341" s="7" t="inlineStr">
        <is>
          <t>release_generation_yearly_global.csv (Ember)</t>
        </is>
      </c>
    </row>
    <row r="1342">
      <c r="A1342" s="7" t="inlineStr">
        <is>
          <t>JPN</t>
        </is>
      </c>
      <c r="B1342" s="7" t="inlineStr">
        <is>
          <t>Japan</t>
        </is>
      </c>
      <c r="C1342" s="7" t="inlineStr">
        <is>
          <t>East Asia &amp; Pacific</t>
        </is>
      </c>
      <c r="D1342" s="7" t="inlineStr">
        <is>
          <t>High income</t>
        </is>
      </c>
      <c r="E1342" s="7" t="b">
        <v>0</v>
      </c>
      <c r="F1342" s="7" t="inlineStr">
        <is>
          <t>gen_oil_twh</t>
        </is>
      </c>
      <c r="G1342" s="7" t="n">
        <v>25</v>
      </c>
      <c r="H1342" s="7" t="n">
        <v>2024</v>
      </c>
      <c r="I1342" s="7" t="inlineStr">
        <is>
          <t>release_generation_yearly_global.csv (Ember)</t>
        </is>
      </c>
    </row>
    <row r="1343">
      <c r="A1343" s="7" t="inlineStr">
        <is>
          <t>JPN</t>
        </is>
      </c>
      <c r="B1343" s="7" t="inlineStr">
        <is>
          <t>Japan</t>
        </is>
      </c>
      <c r="C1343" s="7" t="inlineStr">
        <is>
          <t>East Asia &amp; Pacific</t>
        </is>
      </c>
      <c r="D1343" s="7" t="inlineStr">
        <is>
          <t>High income</t>
        </is>
      </c>
      <c r="E1343" s="7" t="b">
        <v>0</v>
      </c>
      <c r="F1343" s="7" t="inlineStr">
        <is>
          <t>gen_total_twh</t>
        </is>
      </c>
      <c r="G1343" s="7" t="n">
        <v>1016.39</v>
      </c>
      <c r="H1343" s="7" t="n">
        <v>2024</v>
      </c>
      <c r="I1343" s="7" t="inlineStr">
        <is>
          <t>release_generation_yearly_global.csv (Ember)</t>
        </is>
      </c>
    </row>
    <row r="1344">
      <c r="A1344" s="7" t="inlineStr">
        <is>
          <t>JPN</t>
        </is>
      </c>
      <c r="B1344" s="7" t="inlineStr">
        <is>
          <t>Japan</t>
        </is>
      </c>
      <c r="C1344" s="7" t="inlineStr">
        <is>
          <t>East Asia &amp; Pacific</t>
        </is>
      </c>
      <c r="D1344" s="7" t="inlineStr">
        <is>
          <t>High income</t>
        </is>
      </c>
      <c r="E1344" s="7" t="b">
        <v>0</v>
      </c>
      <c r="F1344" s="7" t="inlineStr">
        <is>
          <t>price_coal_power_usd_gj</t>
        </is>
      </c>
      <c r="G1344" s="7" t="n">
        <v>7.741</v>
      </c>
      <c r="H1344" s="7" t="inlineStr">
        <is>
          <t>2024</t>
        </is>
      </c>
      <c r="I1344" s="7" t="inlineStr">
        <is>
          <t>imffossilfuelsubsidiesdata.xlsb</t>
        </is>
      </c>
    </row>
    <row r="1345">
      <c r="A1345" s="7" t="inlineStr">
        <is>
          <t>JPN</t>
        </is>
      </c>
      <c r="B1345" s="7" t="inlineStr">
        <is>
          <t>Japan</t>
        </is>
      </c>
      <c r="C1345" s="7" t="inlineStr">
        <is>
          <t>East Asia &amp; Pacific</t>
        </is>
      </c>
      <c r="D1345" s="7" t="inlineStr">
        <is>
          <t>High income</t>
        </is>
      </c>
      <c r="E1345" s="7" t="b">
        <v>0</v>
      </c>
      <c r="F1345" s="7" t="inlineStr">
        <is>
          <t>price_electricity_residential_usd_kwh</t>
        </is>
      </c>
      <c r="G1345" s="7" t="n">
        <v>0.189</v>
      </c>
      <c r="H1345" s="7" t="inlineStr">
        <is>
          <t>2024</t>
        </is>
      </c>
      <c r="I1345" s="7" t="inlineStr">
        <is>
          <t>imffossilfuelsubsidiesdata.xlsb</t>
        </is>
      </c>
    </row>
    <row r="1346">
      <c r="A1346" s="7" t="inlineStr">
        <is>
          <t>JPN</t>
        </is>
      </c>
      <c r="B1346" s="7" t="inlineStr">
        <is>
          <t>Japan</t>
        </is>
      </c>
      <c r="C1346" s="7" t="inlineStr">
        <is>
          <t>East Asia &amp; Pacific</t>
        </is>
      </c>
      <c r="D1346" s="7" t="inlineStr">
        <is>
          <t>High income</t>
        </is>
      </c>
      <c r="E1346" s="7" t="b">
        <v>0</v>
      </c>
      <c r="F1346" s="7" t="inlineStr">
        <is>
          <t>price_gas_industry_usd_gj</t>
        </is>
      </c>
      <c r="G1346" s="7" t="n">
        <v>20.806</v>
      </c>
      <c r="H1346" s="7" t="inlineStr">
        <is>
          <t>2024</t>
        </is>
      </c>
      <c r="I1346" s="7" t="inlineStr">
        <is>
          <t>imffossilfuelsubsidiesdata.xlsb</t>
        </is>
      </c>
    </row>
    <row r="1347">
      <c r="A1347" s="7" t="inlineStr">
        <is>
          <t>JPN</t>
        </is>
      </c>
      <c r="B1347" s="7" t="inlineStr">
        <is>
          <t>Japan</t>
        </is>
      </c>
      <c r="C1347" s="7" t="inlineStr">
        <is>
          <t>East Asia &amp; Pacific</t>
        </is>
      </c>
      <c r="D1347" s="7" t="inlineStr">
        <is>
          <t>High income</t>
        </is>
      </c>
      <c r="E1347" s="7" t="b">
        <v>0</v>
      </c>
      <c r="F1347" s="7" t="inlineStr">
        <is>
          <t>price_gas_power_usd_gj</t>
        </is>
      </c>
      <c r="G1347" s="7" t="n">
        <v>20.806</v>
      </c>
      <c r="H1347" s="7" t="inlineStr">
        <is>
          <t>2024</t>
        </is>
      </c>
      <c r="I1347" s="7" t="inlineStr">
        <is>
          <t>imffossilfuelsubsidiesdata.xlsb</t>
        </is>
      </c>
    </row>
    <row r="1348">
      <c r="A1348" s="7" t="inlineStr">
        <is>
          <t>JPN</t>
        </is>
      </c>
      <c r="B1348" s="7" t="inlineStr">
        <is>
          <t>Japan</t>
        </is>
      </c>
      <c r="C1348" s="7" t="inlineStr">
        <is>
          <t>East Asia &amp; Pacific</t>
        </is>
      </c>
      <c r="D1348" s="7" t="inlineStr">
        <is>
          <t>High income</t>
        </is>
      </c>
      <c r="E1348" s="7" t="b">
        <v>0</v>
      </c>
      <c r="F1348" s="7" t="inlineStr">
        <is>
          <t>rise_renewable_energy_score</t>
        </is>
      </c>
      <c r="G1348" s="7" t="n">
        <v>63.537</v>
      </c>
      <c r="H1348" s="7" t="inlineStr">
        <is>
          <t>2023</t>
        </is>
      </c>
      <c r="I1348" s="7" t="inlineStr">
        <is>
          <t>WB_RISE_WIDEF.csv</t>
        </is>
      </c>
    </row>
    <row r="1349">
      <c r="A1349" s="7" t="inlineStr">
        <is>
          <t>KAZ</t>
        </is>
      </c>
      <c r="B1349" s="7" t="inlineStr">
        <is>
          <t>Kazakhstan</t>
        </is>
      </c>
      <c r="C1349" s="7" t="inlineStr">
        <is>
          <t>Europe &amp; Central Asia</t>
        </is>
      </c>
      <c r="D1349" s="7" t="inlineStr">
        <is>
          <t>Upper middle income</t>
        </is>
      </c>
      <c r="E1349" s="7" t="b">
        <v>1</v>
      </c>
      <c r="F1349" s="7" t="inlineStr">
        <is>
          <t>coal_rents_pct_gdp</t>
        </is>
      </c>
      <c r="G1349" s="7" t="n">
        <v>0.849</v>
      </c>
      <c r="H1349" s="7" t="inlineStr">
        <is>
          <t>2021</t>
        </is>
      </c>
      <c r="I1349" s="7" t="inlineStr">
        <is>
          <t>API_NY_GDP_COAL_RT_ZS_DS2_en_csv_v2_35370.zip</t>
        </is>
      </c>
    </row>
    <row r="1350">
      <c r="A1350" s="7" t="inlineStr">
        <is>
          <t>KAZ</t>
        </is>
      </c>
      <c r="B1350" s="7" t="inlineStr">
        <is>
          <t>Kazakhstan</t>
        </is>
      </c>
      <c r="C1350" s="7" t="inlineStr">
        <is>
          <t>Europe &amp; Central Asia</t>
        </is>
      </c>
      <c r="D1350" s="7" t="inlineStr">
        <is>
          <t>Upper middle income</t>
        </is>
      </c>
      <c r="E1350" s="7" t="b">
        <v>1</v>
      </c>
      <c r="F1350" s="7" t="inlineStr">
        <is>
          <t>em_coal_mt</t>
        </is>
      </c>
      <c r="G1350" s="7" t="n">
        <v>59.018</v>
      </c>
      <c r="H1350" s="7" t="n">
        <v>2024</v>
      </c>
      <c r="I1350" s="7" t="inlineStr">
        <is>
          <t>release_generation_yearly_global.csv (Ember)</t>
        </is>
      </c>
    </row>
    <row r="1351">
      <c r="A1351" s="7" t="inlineStr">
        <is>
          <t>KAZ</t>
        </is>
      </c>
      <c r="B1351" s="7" t="inlineStr">
        <is>
          <t>Kazakhstan</t>
        </is>
      </c>
      <c r="C1351" s="7" t="inlineStr">
        <is>
          <t>Europe &amp; Central Asia</t>
        </is>
      </c>
      <c r="D1351" s="7" t="inlineStr">
        <is>
          <t>Upper middle income</t>
        </is>
      </c>
      <c r="E1351" s="7" t="b">
        <v>1</v>
      </c>
      <c r="F1351" s="7" t="inlineStr">
        <is>
          <t>em_gas_mt</t>
        </is>
      </c>
      <c r="G1351" s="7" t="n">
        <v>34.461</v>
      </c>
      <c r="H1351" s="7" t="n">
        <v>2024</v>
      </c>
      <c r="I1351" s="7" t="inlineStr">
        <is>
          <t>release_generation_yearly_global.csv (Ember)</t>
        </is>
      </c>
    </row>
    <row r="1352">
      <c r="A1352" s="7" t="inlineStr">
        <is>
          <t>KAZ</t>
        </is>
      </c>
      <c r="B1352" s="7" t="inlineStr">
        <is>
          <t>Kazakhstan</t>
        </is>
      </c>
      <c r="C1352" s="7" t="inlineStr">
        <is>
          <t>Europe &amp; Central Asia</t>
        </is>
      </c>
      <c r="D1352" s="7" t="inlineStr">
        <is>
          <t>Upper middle income</t>
        </is>
      </c>
      <c r="E1352" s="7" t="b">
        <v>1</v>
      </c>
      <c r="F1352" s="7" t="inlineStr">
        <is>
          <t>em_oil_mt</t>
        </is>
      </c>
      <c r="G1352" s="7" t="n">
        <v>1.145</v>
      </c>
      <c r="H1352" s="7" t="n">
        <v>2024</v>
      </c>
      <c r="I1352" s="7" t="inlineStr">
        <is>
          <t>release_generation_yearly_global.csv (Ember)</t>
        </is>
      </c>
    </row>
    <row r="1353">
      <c r="A1353" s="7" t="inlineStr">
        <is>
          <t>KAZ</t>
        </is>
      </c>
      <c r="B1353" s="7" t="inlineStr">
        <is>
          <t>Kazakhstan</t>
        </is>
      </c>
      <c r="C1353" s="7" t="inlineStr">
        <is>
          <t>Europe &amp; Central Asia</t>
        </is>
      </c>
      <c r="D1353" s="7" t="inlineStr">
        <is>
          <t>Upper middle income</t>
        </is>
      </c>
      <c r="E1353" s="7" t="b">
        <v>1</v>
      </c>
      <c r="F1353" s="7" t="inlineStr">
        <is>
          <t>ff_subsidy_explicit_pct_gdp</t>
        </is>
      </c>
      <c r="G1353" s="7" t="n">
        <v>5.679</v>
      </c>
      <c r="H1353" s="7" t="inlineStr">
        <is>
          <t>2024</t>
        </is>
      </c>
      <c r="I1353" s="7" t="inlineStr">
        <is>
          <t>imffossilfuelsubsidiesdata.xlsb</t>
        </is>
      </c>
    </row>
    <row r="1354">
      <c r="A1354" s="7" t="inlineStr">
        <is>
          <t>KAZ</t>
        </is>
      </c>
      <c r="B1354" s="7" t="inlineStr">
        <is>
          <t>Kazakhstan</t>
        </is>
      </c>
      <c r="C1354" s="7" t="inlineStr">
        <is>
          <t>Europe &amp; Central Asia</t>
        </is>
      </c>
      <c r="D1354" s="7" t="inlineStr">
        <is>
          <t>Upper middle income</t>
        </is>
      </c>
      <c r="E1354" s="7" t="b">
        <v>1</v>
      </c>
      <c r="F1354" s="7" t="inlineStr">
        <is>
          <t>fuel_exports_pct_merch</t>
        </is>
      </c>
      <c r="G1354" s="7" t="n">
        <v>56.72</v>
      </c>
      <c r="H1354" s="7" t="inlineStr">
        <is>
          <t>2024</t>
        </is>
      </c>
      <c r="I1354" s="7" t="inlineStr">
        <is>
          <t>API_TX_VAL_FUEL_ZS_UN_DS2_en_csv_v2_33055.zip</t>
        </is>
      </c>
    </row>
    <row r="1355">
      <c r="A1355" s="7" t="inlineStr">
        <is>
          <t>KAZ</t>
        </is>
      </c>
      <c r="B1355" s="7" t="inlineStr">
        <is>
          <t>Kazakhstan</t>
        </is>
      </c>
      <c r="C1355" s="7" t="inlineStr">
        <is>
          <t>Europe &amp; Central Asia</t>
        </is>
      </c>
      <c r="D1355" s="7" t="inlineStr">
        <is>
          <t>Upper middle income</t>
        </is>
      </c>
      <c r="E1355" s="7" t="b">
        <v>1</v>
      </c>
      <c r="F1355" s="7" t="inlineStr">
        <is>
          <t>gen_coal_twh</t>
        </is>
      </c>
      <c r="G1355" s="7" t="n">
        <v>64.03</v>
      </c>
      <c r="H1355" s="7" t="n">
        <v>2024</v>
      </c>
      <c r="I1355" s="7" t="inlineStr">
        <is>
          <t>release_generation_yearly_global.csv (Ember)</t>
        </is>
      </c>
    </row>
    <row r="1356">
      <c r="A1356" s="7" t="inlineStr">
        <is>
          <t>KAZ</t>
        </is>
      </c>
      <c r="B1356" s="7" t="inlineStr">
        <is>
          <t>Kazakhstan</t>
        </is>
      </c>
      <c r="C1356" s="7" t="inlineStr">
        <is>
          <t>Europe &amp; Central Asia</t>
        </is>
      </c>
      <c r="D1356" s="7" t="inlineStr">
        <is>
          <t>Upper middle income</t>
        </is>
      </c>
      <c r="E1356" s="7" t="b">
        <v>1</v>
      </c>
      <c r="F1356" s="7" t="inlineStr">
        <is>
          <t>gen_gas_twh</t>
        </is>
      </c>
      <c r="G1356" s="7" t="n">
        <v>34.71</v>
      </c>
      <c r="H1356" s="7" t="n">
        <v>2024</v>
      </c>
      <c r="I1356" s="7" t="inlineStr">
        <is>
          <t>release_generation_yearly_global.csv (Ember)</t>
        </is>
      </c>
    </row>
    <row r="1357">
      <c r="A1357" s="7" t="inlineStr">
        <is>
          <t>KAZ</t>
        </is>
      </c>
      <c r="B1357" s="7" t="inlineStr">
        <is>
          <t>Kazakhstan</t>
        </is>
      </c>
      <c r="C1357" s="7" t="inlineStr">
        <is>
          <t>Europe &amp; Central Asia</t>
        </is>
      </c>
      <c r="D1357" s="7" t="inlineStr">
        <is>
          <t>Upper middle income</t>
        </is>
      </c>
      <c r="E1357" s="7" t="b">
        <v>1</v>
      </c>
      <c r="F1357" s="7" t="inlineStr">
        <is>
          <t>gen_oil_twh</t>
        </is>
      </c>
      <c r="G1357" s="7" t="n">
        <v>1.74</v>
      </c>
      <c r="H1357" s="7" t="n">
        <v>2024</v>
      </c>
      <c r="I1357" s="7" t="inlineStr">
        <is>
          <t>release_generation_yearly_global.csv (Ember)</t>
        </is>
      </c>
    </row>
    <row r="1358">
      <c r="A1358" s="7" t="inlineStr">
        <is>
          <t>KAZ</t>
        </is>
      </c>
      <c r="B1358" s="7" t="inlineStr">
        <is>
          <t>Kazakhstan</t>
        </is>
      </c>
      <c r="C1358" s="7" t="inlineStr">
        <is>
          <t>Europe &amp; Central Asia</t>
        </is>
      </c>
      <c r="D1358" s="7" t="inlineStr">
        <is>
          <t>Upper middle income</t>
        </is>
      </c>
      <c r="E1358" s="7" t="b">
        <v>1</v>
      </c>
      <c r="F1358" s="7" t="inlineStr">
        <is>
          <t>gen_total_twh</t>
        </is>
      </c>
      <c r="G1358" s="7" t="n">
        <v>118.51</v>
      </c>
      <c r="H1358" s="7" t="n">
        <v>2024</v>
      </c>
      <c r="I1358" s="7" t="inlineStr">
        <is>
          <t>release_generation_yearly_global.csv (Ember)</t>
        </is>
      </c>
    </row>
    <row r="1359">
      <c r="A1359" s="7" t="inlineStr">
        <is>
          <t>KAZ</t>
        </is>
      </c>
      <c r="B1359" s="7" t="inlineStr">
        <is>
          <t>Kazakhstan</t>
        </is>
      </c>
      <c r="C1359" s="7" t="inlineStr">
        <is>
          <t>Europe &amp; Central Asia</t>
        </is>
      </c>
      <c r="D1359" s="7" t="inlineStr">
        <is>
          <t>Upper middle income</t>
        </is>
      </c>
      <c r="E1359" s="7" t="b">
        <v>1</v>
      </c>
      <c r="F1359" s="7" t="inlineStr">
        <is>
          <t>power_market_structure</t>
        </is>
      </c>
      <c r="G1359" s="7" t="n">
        <v>3</v>
      </c>
      <c r="H1359" s="7" t="inlineStr">
        <is>
          <t>2013</t>
        </is>
      </c>
      <c r="I1359" s="7" t="inlineStr">
        <is>
          <t>dataverse_files.zip</t>
        </is>
      </c>
    </row>
    <row r="1360">
      <c r="A1360" s="7" t="inlineStr">
        <is>
          <t>KAZ</t>
        </is>
      </c>
      <c r="B1360" s="7" t="inlineStr">
        <is>
          <t>Kazakhstan</t>
        </is>
      </c>
      <c r="C1360" s="7" t="inlineStr">
        <is>
          <t>Europe &amp; Central Asia</t>
        </is>
      </c>
      <c r="D1360" s="7" t="inlineStr">
        <is>
          <t>Upper middle income</t>
        </is>
      </c>
      <c r="E1360" s="7" t="b">
        <v>1</v>
      </c>
      <c r="F1360" s="7" t="inlineStr">
        <is>
          <t>price_coal_power_usd_gj</t>
        </is>
      </c>
      <c r="G1360" s="7" t="n">
        <v>4.753</v>
      </c>
      <c r="H1360" s="7" t="inlineStr">
        <is>
          <t>2024</t>
        </is>
      </c>
      <c r="I1360" s="7" t="inlineStr">
        <is>
          <t>imffossilfuelsubsidiesdata.xlsb</t>
        </is>
      </c>
    </row>
    <row r="1361">
      <c r="A1361" s="7" t="inlineStr">
        <is>
          <t>KAZ</t>
        </is>
      </c>
      <c r="B1361" s="7" t="inlineStr">
        <is>
          <t>Kazakhstan</t>
        </is>
      </c>
      <c r="C1361" s="7" t="inlineStr">
        <is>
          <t>Europe &amp; Central Asia</t>
        </is>
      </c>
      <c r="D1361" s="7" t="inlineStr">
        <is>
          <t>Upper middle income</t>
        </is>
      </c>
      <c r="E1361" s="7" t="b">
        <v>1</v>
      </c>
      <c r="F1361" s="7" t="inlineStr">
        <is>
          <t>price_electricity_residential_usd_kwh</t>
        </is>
      </c>
      <c r="G1361" s="7" t="n">
        <v>0.058</v>
      </c>
      <c r="H1361" s="7" t="inlineStr">
        <is>
          <t>2024</t>
        </is>
      </c>
      <c r="I1361" s="7" t="inlineStr">
        <is>
          <t>imffossilfuelsubsidiesdata.xlsb</t>
        </is>
      </c>
    </row>
    <row r="1362">
      <c r="A1362" s="7" t="inlineStr">
        <is>
          <t>KAZ</t>
        </is>
      </c>
      <c r="B1362" s="7" t="inlineStr">
        <is>
          <t>Kazakhstan</t>
        </is>
      </c>
      <c r="C1362" s="7" t="inlineStr">
        <is>
          <t>Europe &amp; Central Asia</t>
        </is>
      </c>
      <c r="D1362" s="7" t="inlineStr">
        <is>
          <t>Upper middle income</t>
        </is>
      </c>
      <c r="E1362" s="7" t="b">
        <v>1</v>
      </c>
      <c r="F1362" s="7" t="inlineStr">
        <is>
          <t>price_gas_power_usd_gj</t>
        </is>
      </c>
      <c r="G1362" s="7" t="n">
        <v>1.506</v>
      </c>
      <c r="H1362" s="7" t="inlineStr">
        <is>
          <t>2024</t>
        </is>
      </c>
      <c r="I1362" s="7" t="inlineStr">
        <is>
          <t>imffossilfuelsubsidiesdata.xlsb</t>
        </is>
      </c>
    </row>
    <row r="1363">
      <c r="A1363" s="7" t="inlineStr">
        <is>
          <t>KAZ</t>
        </is>
      </c>
      <c r="B1363" s="7" t="inlineStr">
        <is>
          <t>Kazakhstan</t>
        </is>
      </c>
      <c r="C1363" s="7" t="inlineStr">
        <is>
          <t>Europe &amp; Central Asia</t>
        </is>
      </c>
      <c r="D1363" s="7" t="inlineStr">
        <is>
          <t>Upper middle income</t>
        </is>
      </c>
      <c r="E1363" s="7" t="b">
        <v>1</v>
      </c>
      <c r="F1363" s="7" t="inlineStr">
        <is>
          <t>rise_renewable_energy_score</t>
        </is>
      </c>
      <c r="G1363" s="7" t="n">
        <v>24.923</v>
      </c>
      <c r="H1363" s="7" t="inlineStr">
        <is>
          <t>2023</t>
        </is>
      </c>
      <c r="I1363" s="7" t="inlineStr">
        <is>
          <t>WB_RISE_WIDEF.csv</t>
        </is>
      </c>
    </row>
    <row r="1364">
      <c r="A1364" s="7" t="inlineStr">
        <is>
          <t>KEN</t>
        </is>
      </c>
      <c r="B1364" s="7" t="inlineStr">
        <is>
          <t>Kenya</t>
        </is>
      </c>
      <c r="C1364" s="7" t="inlineStr">
        <is>
          <t>Sub-Saharan Africa</t>
        </is>
      </c>
      <c r="D1364" s="7" t="inlineStr">
        <is>
          <t>Lower middle income</t>
        </is>
      </c>
      <c r="E1364" s="7" t="b">
        <v>1</v>
      </c>
      <c r="F1364" s="7" t="inlineStr">
        <is>
          <t>coal_rents_pct_gdp</t>
        </is>
      </c>
      <c r="G1364" s="7" t="n">
        <v>0</v>
      </c>
      <c r="H1364" s="7" t="inlineStr">
        <is>
          <t>2021</t>
        </is>
      </c>
      <c r="I1364" s="7" t="inlineStr">
        <is>
          <t>API_NY_GDP_COAL_RT_ZS_DS2_en_csv_v2_35370.zip</t>
        </is>
      </c>
    </row>
    <row r="1365">
      <c r="A1365" s="7" t="inlineStr">
        <is>
          <t>KEN</t>
        </is>
      </c>
      <c r="B1365" s="7" t="inlineStr">
        <is>
          <t>Kenya</t>
        </is>
      </c>
      <c r="C1365" s="7" t="inlineStr">
        <is>
          <t>Sub-Saharan Africa</t>
        </is>
      </c>
      <c r="D1365" s="7" t="inlineStr">
        <is>
          <t>Lower middle income</t>
        </is>
      </c>
      <c r="E1365" s="7" t="b">
        <v>1</v>
      </c>
      <c r="F1365" s="7" t="inlineStr">
        <is>
          <t>em_coal_mt</t>
        </is>
      </c>
      <c r="G1365" s="7" t="n">
        <v>0</v>
      </c>
      <c r="H1365" s="7" t="n">
        <v>2024</v>
      </c>
      <c r="I1365" s="7" t="inlineStr">
        <is>
          <t>release_generation_yearly_global.csv (Ember)</t>
        </is>
      </c>
    </row>
    <row r="1366">
      <c r="A1366" s="7" t="inlineStr">
        <is>
          <t>KEN</t>
        </is>
      </c>
      <c r="B1366" s="7" t="inlineStr">
        <is>
          <t>Kenya</t>
        </is>
      </c>
      <c r="C1366" s="7" t="inlineStr">
        <is>
          <t>Sub-Saharan Africa</t>
        </is>
      </c>
      <c r="D1366" s="7" t="inlineStr">
        <is>
          <t>Lower middle income</t>
        </is>
      </c>
      <c r="E1366" s="7" t="b">
        <v>1</v>
      </c>
      <c r="F1366" s="7" t="inlineStr">
        <is>
          <t>em_gas_mt</t>
        </is>
      </c>
      <c r="G1366" s="7" t="n">
        <v>0</v>
      </c>
      <c r="H1366" s="7" t="n">
        <v>2024</v>
      </c>
      <c r="I1366" s="7" t="inlineStr">
        <is>
          <t>release_generation_yearly_global.csv (Ember)</t>
        </is>
      </c>
    </row>
    <row r="1367">
      <c r="A1367" s="7" t="inlineStr">
        <is>
          <t>KEN</t>
        </is>
      </c>
      <c r="B1367" s="7" t="inlineStr">
        <is>
          <t>Kenya</t>
        </is>
      </c>
      <c r="C1367" s="7" t="inlineStr">
        <is>
          <t>Sub-Saharan Africa</t>
        </is>
      </c>
      <c r="D1367" s="7" t="inlineStr">
        <is>
          <t>Lower middle income</t>
        </is>
      </c>
      <c r="E1367" s="7" t="b">
        <v>1</v>
      </c>
      <c r="F1367" s="7" t="inlineStr">
        <is>
          <t>em_oil_mt</t>
        </is>
      </c>
      <c r="G1367" s="7" t="n">
        <v>0.744</v>
      </c>
      <c r="H1367" s="7" t="n">
        <v>2024</v>
      </c>
      <c r="I1367" s="7" t="inlineStr">
        <is>
          <t>release_generation_yearly_global.csv (Ember)</t>
        </is>
      </c>
    </row>
    <row r="1368">
      <c r="A1368" s="7" t="inlineStr">
        <is>
          <t>KEN</t>
        </is>
      </c>
      <c r="B1368" s="7" t="inlineStr">
        <is>
          <t>Kenya</t>
        </is>
      </c>
      <c r="C1368" s="7" t="inlineStr">
        <is>
          <t>Sub-Saharan Africa</t>
        </is>
      </c>
      <c r="D1368" s="7" t="inlineStr">
        <is>
          <t>Lower middle income</t>
        </is>
      </c>
      <c r="E1368" s="7" t="b">
        <v>1</v>
      </c>
      <c r="F1368" s="7" t="inlineStr">
        <is>
          <t>ff_subsidy_explicit_pct_gdp</t>
        </is>
      </c>
      <c r="G1368" s="7" t="n">
        <v>0</v>
      </c>
      <c r="H1368" s="7" t="inlineStr">
        <is>
          <t>2024</t>
        </is>
      </c>
      <c r="I1368" s="7" t="inlineStr">
        <is>
          <t>imffossilfuelsubsidiesdata.xlsb</t>
        </is>
      </c>
    </row>
    <row r="1369">
      <c r="A1369" s="7" t="inlineStr">
        <is>
          <t>KEN</t>
        </is>
      </c>
      <c r="B1369" s="7" t="inlineStr">
        <is>
          <t>Kenya</t>
        </is>
      </c>
      <c r="C1369" s="7" t="inlineStr">
        <is>
          <t>Sub-Saharan Africa</t>
        </is>
      </c>
      <c r="D1369" s="7" t="inlineStr">
        <is>
          <t>Lower middle income</t>
        </is>
      </c>
      <c r="E1369" s="7" t="b">
        <v>1</v>
      </c>
      <c r="F1369" s="7" t="inlineStr">
        <is>
          <t>fuel_exports_pct_merch</t>
        </is>
      </c>
      <c r="G1369" s="7" t="n">
        <v>1.631</v>
      </c>
      <c r="H1369" s="7" t="inlineStr">
        <is>
          <t>2024</t>
        </is>
      </c>
      <c r="I1369" s="7" t="inlineStr">
        <is>
          <t>API_TX_VAL_FUEL_ZS_UN_DS2_en_csv_v2_33055.zip</t>
        </is>
      </c>
    </row>
    <row r="1370">
      <c r="A1370" s="7" t="inlineStr">
        <is>
          <t>KEN</t>
        </is>
      </c>
      <c r="B1370" s="7" t="inlineStr">
        <is>
          <t>Kenya</t>
        </is>
      </c>
      <c r="C1370" s="7" t="inlineStr">
        <is>
          <t>Sub-Saharan Africa</t>
        </is>
      </c>
      <c r="D1370" s="7" t="inlineStr">
        <is>
          <t>Lower middle income</t>
        </is>
      </c>
      <c r="E1370" s="7" t="b">
        <v>1</v>
      </c>
      <c r="F1370" s="7" t="inlineStr">
        <is>
          <t>gen_coal_twh</t>
        </is>
      </c>
      <c r="G1370" s="7" t="n">
        <v>0</v>
      </c>
      <c r="H1370" s="7" t="n">
        <v>2024</v>
      </c>
      <c r="I1370" s="7" t="inlineStr">
        <is>
          <t>release_generation_yearly_global.csv (Ember)</t>
        </is>
      </c>
    </row>
    <row r="1371">
      <c r="A1371" s="7" t="inlineStr">
        <is>
          <t>KEN</t>
        </is>
      </c>
      <c r="B1371" s="7" t="inlineStr">
        <is>
          <t>Kenya</t>
        </is>
      </c>
      <c r="C1371" s="7" t="inlineStr">
        <is>
          <t>Sub-Saharan Africa</t>
        </is>
      </c>
      <c r="D1371" s="7" t="inlineStr">
        <is>
          <t>Lower middle income</t>
        </is>
      </c>
      <c r="E1371" s="7" t="b">
        <v>1</v>
      </c>
      <c r="F1371" s="7" t="inlineStr">
        <is>
          <t>gen_gas_twh</t>
        </is>
      </c>
      <c r="G1371" s="7" t="n">
        <v>0</v>
      </c>
      <c r="H1371" s="7" t="n">
        <v>2024</v>
      </c>
      <c r="I1371" s="7" t="inlineStr">
        <is>
          <t>release_generation_yearly_global.csv (Ember)</t>
        </is>
      </c>
    </row>
    <row r="1372">
      <c r="A1372" s="7" t="inlineStr">
        <is>
          <t>KEN</t>
        </is>
      </c>
      <c r="B1372" s="7" t="inlineStr">
        <is>
          <t>Kenya</t>
        </is>
      </c>
      <c r="C1372" s="7" t="inlineStr">
        <is>
          <t>Sub-Saharan Africa</t>
        </is>
      </c>
      <c r="D1372" s="7" t="inlineStr">
        <is>
          <t>Lower middle income</t>
        </is>
      </c>
      <c r="E1372" s="7" t="b">
        <v>1</v>
      </c>
      <c r="F1372" s="7" t="inlineStr">
        <is>
          <t>gen_oil_twh</t>
        </is>
      </c>
      <c r="G1372" s="7" t="n">
        <v>1.13</v>
      </c>
      <c r="H1372" s="7" t="n">
        <v>2024</v>
      </c>
      <c r="I1372" s="7" t="inlineStr">
        <is>
          <t>release_generation_yearly_global.csv (Ember)</t>
        </is>
      </c>
    </row>
    <row r="1373">
      <c r="A1373" s="7" t="inlineStr">
        <is>
          <t>KEN</t>
        </is>
      </c>
      <c r="B1373" s="7" t="inlineStr">
        <is>
          <t>Kenya</t>
        </is>
      </c>
      <c r="C1373" s="7" t="inlineStr">
        <is>
          <t>Sub-Saharan Africa</t>
        </is>
      </c>
      <c r="D1373" s="7" t="inlineStr">
        <is>
          <t>Lower middle income</t>
        </is>
      </c>
      <c r="E1373" s="7" t="b">
        <v>1</v>
      </c>
      <c r="F1373" s="7" t="inlineStr">
        <is>
          <t>gen_total_twh</t>
        </is>
      </c>
      <c r="G1373" s="7" t="n">
        <v>13.26</v>
      </c>
      <c r="H1373" s="7" t="n">
        <v>2024</v>
      </c>
      <c r="I1373" s="7" t="inlineStr">
        <is>
          <t>release_generation_yearly_global.csv (Ember)</t>
        </is>
      </c>
    </row>
    <row r="1374">
      <c r="A1374" s="7" t="inlineStr">
        <is>
          <t>KEN</t>
        </is>
      </c>
      <c r="B1374" s="7" t="inlineStr">
        <is>
          <t>Kenya</t>
        </is>
      </c>
      <c r="C1374" s="7" t="inlineStr">
        <is>
          <t>Sub-Saharan Africa</t>
        </is>
      </c>
      <c r="D1374" s="7" t="inlineStr">
        <is>
          <t>Lower middle income</t>
        </is>
      </c>
      <c r="E1374" s="7" t="b">
        <v>1</v>
      </c>
      <c r="F1374" s="7" t="inlineStr">
        <is>
          <t>power_market_structure</t>
        </is>
      </c>
      <c r="G1374" s="7" t="n">
        <v>2</v>
      </c>
      <c r="H1374" s="7" t="inlineStr">
        <is>
          <t>2013</t>
        </is>
      </c>
      <c r="I1374" s="7" t="inlineStr">
        <is>
          <t>dataverse_files.zip</t>
        </is>
      </c>
    </row>
    <row r="1375">
      <c r="A1375" s="7" t="inlineStr">
        <is>
          <t>KEN</t>
        </is>
      </c>
      <c r="B1375" s="7" t="inlineStr">
        <is>
          <t>Kenya</t>
        </is>
      </c>
      <c r="C1375" s="7" t="inlineStr">
        <is>
          <t>Sub-Saharan Africa</t>
        </is>
      </c>
      <c r="D1375" s="7" t="inlineStr">
        <is>
          <t>Lower middle income</t>
        </is>
      </c>
      <c r="E1375" s="7" t="b">
        <v>1</v>
      </c>
      <c r="F1375" s="7" t="inlineStr">
        <is>
          <t>price_coal_power_usd_gj</t>
        </is>
      </c>
      <c r="G1375" s="7" t="n">
        <v>5.575</v>
      </c>
      <c r="H1375" s="7" t="inlineStr">
        <is>
          <t>2024</t>
        </is>
      </c>
      <c r="I1375" s="7" t="inlineStr">
        <is>
          <t>imffossilfuelsubsidiesdata.xlsb</t>
        </is>
      </c>
    </row>
    <row r="1376">
      <c r="A1376" s="7" t="inlineStr">
        <is>
          <t>KEN</t>
        </is>
      </c>
      <c r="B1376" s="7" t="inlineStr">
        <is>
          <t>Kenya</t>
        </is>
      </c>
      <c r="C1376" s="7" t="inlineStr">
        <is>
          <t>Sub-Saharan Africa</t>
        </is>
      </c>
      <c r="D1376" s="7" t="inlineStr">
        <is>
          <t>Lower middle income</t>
        </is>
      </c>
      <c r="E1376" s="7" t="b">
        <v>1</v>
      </c>
      <c r="F1376" s="7" t="inlineStr">
        <is>
          <t>price_electricity_residential_usd_kwh</t>
        </is>
      </c>
      <c r="G1376" s="7" t="n">
        <v>0.26</v>
      </c>
      <c r="H1376" s="7" t="inlineStr">
        <is>
          <t>2024</t>
        </is>
      </c>
      <c r="I1376" s="7" t="inlineStr">
        <is>
          <t>imffossilfuelsubsidiesdata.xlsb</t>
        </is>
      </c>
    </row>
    <row r="1377">
      <c r="A1377" s="7" t="inlineStr">
        <is>
          <t>KEN</t>
        </is>
      </c>
      <c r="B1377" s="7" t="inlineStr">
        <is>
          <t>Kenya</t>
        </is>
      </c>
      <c r="C1377" s="7" t="inlineStr">
        <is>
          <t>Sub-Saharan Africa</t>
        </is>
      </c>
      <c r="D1377" s="7" t="inlineStr">
        <is>
          <t>Lower middle income</t>
        </is>
      </c>
      <c r="E1377" s="7" t="b">
        <v>1</v>
      </c>
      <c r="F1377" s="7" t="inlineStr">
        <is>
          <t>price_gas_industry_usd_gj</t>
        </is>
      </c>
      <c r="G1377" s="7" t="n">
        <v>10.154</v>
      </c>
      <c r="H1377" s="7" t="inlineStr">
        <is>
          <t>2024</t>
        </is>
      </c>
      <c r="I1377" s="7" t="inlineStr">
        <is>
          <t>imffossilfuelsubsidiesdata.xlsb</t>
        </is>
      </c>
    </row>
    <row r="1378">
      <c r="A1378" s="7" t="inlineStr">
        <is>
          <t>KEN</t>
        </is>
      </c>
      <c r="B1378" s="7" t="inlineStr">
        <is>
          <t>Kenya</t>
        </is>
      </c>
      <c r="C1378" s="7" t="inlineStr">
        <is>
          <t>Sub-Saharan Africa</t>
        </is>
      </c>
      <c r="D1378" s="7" t="inlineStr">
        <is>
          <t>Lower middle income</t>
        </is>
      </c>
      <c r="E1378" s="7" t="b">
        <v>1</v>
      </c>
      <c r="F1378" s="7" t="inlineStr">
        <is>
          <t>price_gas_power_usd_gj</t>
        </is>
      </c>
      <c r="G1378" s="7" t="n">
        <v>8.831</v>
      </c>
      <c r="H1378" s="7" t="inlineStr">
        <is>
          <t>2024</t>
        </is>
      </c>
      <c r="I1378" s="7" t="inlineStr">
        <is>
          <t>imffossilfuelsubsidiesdata.xlsb</t>
        </is>
      </c>
    </row>
    <row r="1379">
      <c r="A1379" s="7" t="inlineStr">
        <is>
          <t>KEN</t>
        </is>
      </c>
      <c r="B1379" s="7" t="inlineStr">
        <is>
          <t>Kenya</t>
        </is>
      </c>
      <c r="C1379" s="7" t="inlineStr">
        <is>
          <t>Sub-Saharan Africa</t>
        </is>
      </c>
      <c r="D1379" s="7" t="inlineStr">
        <is>
          <t>Lower middle income</t>
        </is>
      </c>
      <c r="E1379" s="7" t="b">
        <v>1</v>
      </c>
      <c r="F1379" s="7" t="inlineStr">
        <is>
          <t>rise_renewable_energy_score</t>
        </is>
      </c>
      <c r="G1379" s="7" t="n">
        <v>42.926</v>
      </c>
      <c r="H1379" s="7" t="inlineStr">
        <is>
          <t>2023</t>
        </is>
      </c>
      <c r="I1379" s="7" t="inlineStr">
        <is>
          <t>WB_RISE_WIDEF.csv</t>
        </is>
      </c>
    </row>
    <row r="1380">
      <c r="A1380" s="7" t="inlineStr">
        <is>
          <t>KGZ</t>
        </is>
      </c>
      <c r="B1380" s="7" t="inlineStr">
        <is>
          <t>Kyrgyz Republic</t>
        </is>
      </c>
      <c r="C1380" s="7" t="inlineStr">
        <is>
          <t>Europe &amp; Central Asia</t>
        </is>
      </c>
      <c r="D1380" s="7" t="inlineStr">
        <is>
          <t>Lower middle income</t>
        </is>
      </c>
      <c r="E1380" s="7" t="b">
        <v>1</v>
      </c>
      <c r="F1380" s="7" t="inlineStr">
        <is>
          <t>coal_rents_pct_gdp</t>
        </is>
      </c>
      <c r="G1380" s="7" t="n">
        <v>0.258</v>
      </c>
      <c r="H1380" s="7" t="inlineStr">
        <is>
          <t>2021</t>
        </is>
      </c>
      <c r="I1380" s="7" t="inlineStr">
        <is>
          <t>API_NY_GDP_COAL_RT_ZS_DS2_en_csv_v2_35370.zip</t>
        </is>
      </c>
    </row>
    <row r="1381">
      <c r="A1381" s="7" t="inlineStr">
        <is>
          <t>KGZ</t>
        </is>
      </c>
      <c r="B1381" s="7" t="inlineStr">
        <is>
          <t>Kyrgyz Republic</t>
        </is>
      </c>
      <c r="C1381" s="7" t="inlineStr">
        <is>
          <t>Europe &amp; Central Asia</t>
        </is>
      </c>
      <c r="D1381" s="7" t="inlineStr">
        <is>
          <t>Lower middle income</t>
        </is>
      </c>
      <c r="E1381" s="7" t="b">
        <v>1</v>
      </c>
      <c r="F1381" s="7" t="inlineStr">
        <is>
          <t>em_coal_mt</t>
        </is>
      </c>
      <c r="G1381" s="7" t="n">
        <v>1.464</v>
      </c>
      <c r="H1381" s="7" t="n">
        <v>2024</v>
      </c>
      <c r="I1381" s="7" t="inlineStr">
        <is>
          <t>release_generation_yearly_global.csv (Ember)</t>
        </is>
      </c>
    </row>
    <row r="1382">
      <c r="A1382" s="7" t="inlineStr">
        <is>
          <t>KGZ</t>
        </is>
      </c>
      <c r="B1382" s="7" t="inlineStr">
        <is>
          <t>Kyrgyz Republic</t>
        </is>
      </c>
      <c r="C1382" s="7" t="inlineStr">
        <is>
          <t>Europe &amp; Central Asia</t>
        </is>
      </c>
      <c r="D1382" s="7" t="inlineStr">
        <is>
          <t>Lower middle income</t>
        </is>
      </c>
      <c r="E1382" s="7" t="b">
        <v>1</v>
      </c>
      <c r="F1382" s="7" t="inlineStr">
        <is>
          <t>em_gas_mt</t>
        </is>
      </c>
      <c r="G1382" s="7" t="n">
        <v>0.065</v>
      </c>
      <c r="H1382" s="7" t="n">
        <v>2024</v>
      </c>
      <c r="I1382" s="7" t="inlineStr">
        <is>
          <t>release_generation_yearly_global.csv (Ember)</t>
        </is>
      </c>
    </row>
    <row r="1383">
      <c r="A1383" s="7" t="inlineStr">
        <is>
          <t>KGZ</t>
        </is>
      </c>
      <c r="B1383" s="7" t="inlineStr">
        <is>
          <t>Kyrgyz Republic</t>
        </is>
      </c>
      <c r="C1383" s="7" t="inlineStr">
        <is>
          <t>Europe &amp; Central Asia</t>
        </is>
      </c>
      <c r="D1383" s="7" t="inlineStr">
        <is>
          <t>Lower middle income</t>
        </is>
      </c>
      <c r="E1383" s="7" t="b">
        <v>1</v>
      </c>
      <c r="F1383" s="7" t="inlineStr">
        <is>
          <t>em_oil_mt</t>
        </is>
      </c>
      <c r="G1383" s="7" t="n">
        <v>0.033</v>
      </c>
      <c r="H1383" s="7" t="n">
        <v>2024</v>
      </c>
      <c r="I1383" s="7" t="inlineStr">
        <is>
          <t>release_generation_yearly_global.csv (Ember)</t>
        </is>
      </c>
    </row>
    <row r="1384">
      <c r="A1384" s="7" t="inlineStr">
        <is>
          <t>KGZ</t>
        </is>
      </c>
      <c r="B1384" s="7" t="inlineStr">
        <is>
          <t>Kyrgyz Republic</t>
        </is>
      </c>
      <c r="C1384" s="7" t="inlineStr">
        <is>
          <t>Europe &amp; Central Asia</t>
        </is>
      </c>
      <c r="D1384" s="7" t="inlineStr">
        <is>
          <t>Lower middle income</t>
        </is>
      </c>
      <c r="E1384" s="7" t="b">
        <v>1</v>
      </c>
      <c r="F1384" s="7" t="inlineStr">
        <is>
          <t>ff_subsidy_explicit_pct_gdp</t>
        </is>
      </c>
      <c r="G1384" s="7" t="n">
        <v>1.98</v>
      </c>
      <c r="H1384" s="7" t="inlineStr">
        <is>
          <t>2024</t>
        </is>
      </c>
      <c r="I1384" s="7" t="inlineStr">
        <is>
          <t>imffossilfuelsubsidiesdata.xlsb</t>
        </is>
      </c>
    </row>
    <row r="1385">
      <c r="A1385" s="7" t="inlineStr">
        <is>
          <t>KGZ</t>
        </is>
      </c>
      <c r="B1385" s="7" t="inlineStr">
        <is>
          <t>Kyrgyz Republic</t>
        </is>
      </c>
      <c r="C1385" s="7" t="inlineStr">
        <is>
          <t>Europe &amp; Central Asia</t>
        </is>
      </c>
      <c r="D1385" s="7" t="inlineStr">
        <is>
          <t>Lower middle income</t>
        </is>
      </c>
      <c r="E1385" s="7" t="b">
        <v>1</v>
      </c>
      <c r="F1385" s="7" t="inlineStr">
        <is>
          <t>fuel_exports_pct_merch</t>
        </is>
      </c>
      <c r="G1385" s="7" t="n">
        <v>9.404999999999999</v>
      </c>
      <c r="H1385" s="7" t="inlineStr">
        <is>
          <t>2025</t>
        </is>
      </c>
      <c r="I1385" s="7" t="inlineStr">
        <is>
          <t>API_TX_VAL_FUEL_ZS_UN_DS2_en_csv_v2_33055.zip</t>
        </is>
      </c>
    </row>
    <row r="1386">
      <c r="A1386" s="7" t="inlineStr">
        <is>
          <t>KGZ</t>
        </is>
      </c>
      <c r="B1386" s="7" t="inlineStr">
        <is>
          <t>Kyrgyz Republic</t>
        </is>
      </c>
      <c r="C1386" s="7" t="inlineStr">
        <is>
          <t>Europe &amp; Central Asia</t>
        </is>
      </c>
      <c r="D1386" s="7" t="inlineStr">
        <is>
          <t>Lower middle income</t>
        </is>
      </c>
      <c r="E1386" s="7" t="b">
        <v>1</v>
      </c>
      <c r="F1386" s="7" t="inlineStr">
        <is>
          <t>gen_coal_twh</t>
        </is>
      </c>
      <c r="G1386" s="7" t="n">
        <v>1.53</v>
      </c>
      <c r="H1386" s="7" t="n">
        <v>2024</v>
      </c>
      <c r="I1386" s="7" t="inlineStr">
        <is>
          <t>release_generation_yearly_global.csv (Ember)</t>
        </is>
      </c>
    </row>
    <row r="1387">
      <c r="A1387" s="7" t="inlineStr">
        <is>
          <t>KGZ</t>
        </is>
      </c>
      <c r="B1387" s="7" t="inlineStr">
        <is>
          <t>Kyrgyz Republic</t>
        </is>
      </c>
      <c r="C1387" s="7" t="inlineStr">
        <is>
          <t>Europe &amp; Central Asia</t>
        </is>
      </c>
      <c r="D1387" s="7" t="inlineStr">
        <is>
          <t>Lower middle income</t>
        </is>
      </c>
      <c r="E1387" s="7" t="b">
        <v>1</v>
      </c>
      <c r="F1387" s="7" t="inlineStr">
        <is>
          <t>gen_gas_twh</t>
        </is>
      </c>
      <c r="G1387" s="7" t="n">
        <v>0.19</v>
      </c>
      <c r="H1387" s="7" t="n">
        <v>2024</v>
      </c>
      <c r="I1387" s="7" t="inlineStr">
        <is>
          <t>release_generation_yearly_global.csv (Ember)</t>
        </is>
      </c>
    </row>
    <row r="1388">
      <c r="A1388" s="7" t="inlineStr">
        <is>
          <t>KGZ</t>
        </is>
      </c>
      <c r="B1388" s="7" t="inlineStr">
        <is>
          <t>Kyrgyz Republic</t>
        </is>
      </c>
      <c r="C1388" s="7" t="inlineStr">
        <is>
          <t>Europe &amp; Central Asia</t>
        </is>
      </c>
      <c r="D1388" s="7" t="inlineStr">
        <is>
          <t>Lower middle income</t>
        </is>
      </c>
      <c r="E1388" s="7" t="b">
        <v>1</v>
      </c>
      <c r="F1388" s="7" t="inlineStr">
        <is>
          <t>gen_oil_twh</t>
        </is>
      </c>
      <c r="G1388" s="7" t="n">
        <v>0.05</v>
      </c>
      <c r="H1388" s="7" t="n">
        <v>2024</v>
      </c>
      <c r="I1388" s="7" t="inlineStr">
        <is>
          <t>release_generation_yearly_global.csv (Ember)</t>
        </is>
      </c>
    </row>
    <row r="1389">
      <c r="A1389" s="7" t="inlineStr">
        <is>
          <t>KGZ</t>
        </is>
      </c>
      <c r="B1389" s="7" t="inlineStr">
        <is>
          <t>Kyrgyz Republic</t>
        </is>
      </c>
      <c r="C1389" s="7" t="inlineStr">
        <is>
          <t>Europe &amp; Central Asia</t>
        </is>
      </c>
      <c r="D1389" s="7" t="inlineStr">
        <is>
          <t>Lower middle income</t>
        </is>
      </c>
      <c r="E1389" s="7" t="b">
        <v>1</v>
      </c>
      <c r="F1389" s="7" t="inlineStr">
        <is>
          <t>gen_total_twh</t>
        </is>
      </c>
      <c r="G1389" s="7" t="n">
        <v>15.77</v>
      </c>
      <c r="H1389" s="7" t="n">
        <v>2024</v>
      </c>
      <c r="I1389" s="7" t="inlineStr">
        <is>
          <t>release_generation_yearly_global.csv (Ember)</t>
        </is>
      </c>
    </row>
    <row r="1390">
      <c r="A1390" s="7" t="inlineStr">
        <is>
          <t>KGZ</t>
        </is>
      </c>
      <c r="B1390" s="7" t="inlineStr">
        <is>
          <t>Kyrgyz Republic</t>
        </is>
      </c>
      <c r="C1390" s="7" t="inlineStr">
        <is>
          <t>Europe &amp; Central Asia</t>
        </is>
      </c>
      <c r="D1390" s="7" t="inlineStr">
        <is>
          <t>Lower middle income</t>
        </is>
      </c>
      <c r="E1390" s="7" t="b">
        <v>1</v>
      </c>
      <c r="F1390" s="7" t="inlineStr">
        <is>
          <t>power_market_structure</t>
        </is>
      </c>
      <c r="G1390" s="7" t="n">
        <v>2</v>
      </c>
      <c r="H1390" s="7" t="inlineStr">
        <is>
          <t>2013</t>
        </is>
      </c>
      <c r="I1390" s="7" t="inlineStr">
        <is>
          <t>dataverse_files.zip</t>
        </is>
      </c>
    </row>
    <row r="1391">
      <c r="A1391" s="7" t="inlineStr">
        <is>
          <t>KGZ</t>
        </is>
      </c>
      <c r="B1391" s="7" t="inlineStr">
        <is>
          <t>Kyrgyz Republic</t>
        </is>
      </c>
      <c r="C1391" s="7" t="inlineStr">
        <is>
          <t>Europe &amp; Central Asia</t>
        </is>
      </c>
      <c r="D1391" s="7" t="inlineStr">
        <is>
          <t>Lower middle income</t>
        </is>
      </c>
      <c r="E1391" s="7" t="b">
        <v>1</v>
      </c>
      <c r="F1391" s="7" t="inlineStr">
        <is>
          <t>price_coal_power_usd_gj</t>
        </is>
      </c>
      <c r="G1391" s="7" t="n">
        <v>2.684</v>
      </c>
      <c r="H1391" s="7" t="inlineStr">
        <is>
          <t>2024</t>
        </is>
      </c>
      <c r="I1391" s="7" t="inlineStr">
        <is>
          <t>imffossilfuelsubsidiesdata.xlsb</t>
        </is>
      </c>
    </row>
    <row r="1392">
      <c r="A1392" s="7" t="inlineStr">
        <is>
          <t>KGZ</t>
        </is>
      </c>
      <c r="B1392" s="7" t="inlineStr">
        <is>
          <t>Kyrgyz Republic</t>
        </is>
      </c>
      <c r="C1392" s="7" t="inlineStr">
        <is>
          <t>Europe &amp; Central Asia</t>
        </is>
      </c>
      <c r="D1392" s="7" t="inlineStr">
        <is>
          <t>Lower middle income</t>
        </is>
      </c>
      <c r="E1392" s="7" t="b">
        <v>1</v>
      </c>
      <c r="F1392" s="7" t="inlineStr">
        <is>
          <t>price_electricity_residential_usd_kwh</t>
        </is>
      </c>
      <c r="G1392" s="7" t="n">
        <v>0.013</v>
      </c>
      <c r="H1392" s="7" t="inlineStr">
        <is>
          <t>2023</t>
        </is>
      </c>
      <c r="I1392" s="7" t="inlineStr">
        <is>
          <t>imffossilfuelsubsidiesdata.xlsb</t>
        </is>
      </c>
    </row>
    <row r="1393">
      <c r="A1393" s="7" t="inlineStr">
        <is>
          <t>KGZ</t>
        </is>
      </c>
      <c r="B1393" s="7" t="inlineStr">
        <is>
          <t>Kyrgyz Republic</t>
        </is>
      </c>
      <c r="C1393" s="7" t="inlineStr">
        <is>
          <t>Europe &amp; Central Asia</t>
        </is>
      </c>
      <c r="D1393" s="7" t="inlineStr">
        <is>
          <t>Lower middle income</t>
        </is>
      </c>
      <c r="E1393" s="7" t="b">
        <v>1</v>
      </c>
      <c r="F1393" s="7" t="inlineStr">
        <is>
          <t>price_gas_industry_usd_gj</t>
        </is>
      </c>
      <c r="G1393" s="7" t="n">
        <v>6.45</v>
      </c>
      <c r="H1393" s="7" t="inlineStr">
        <is>
          <t>2024</t>
        </is>
      </c>
      <c r="I1393" s="7" t="inlineStr">
        <is>
          <t>imffossilfuelsubsidiesdata.xlsb</t>
        </is>
      </c>
    </row>
    <row r="1394">
      <c r="A1394" s="7" t="inlineStr">
        <is>
          <t>KGZ</t>
        </is>
      </c>
      <c r="B1394" s="7" t="inlineStr">
        <is>
          <t>Kyrgyz Republic</t>
        </is>
      </c>
      <c r="C1394" s="7" t="inlineStr">
        <is>
          <t>Europe &amp; Central Asia</t>
        </is>
      </c>
      <c r="D1394" s="7" t="inlineStr">
        <is>
          <t>Lower middle income</t>
        </is>
      </c>
      <c r="E1394" s="7" t="b">
        <v>1</v>
      </c>
      <c r="F1394" s="7" t="inlineStr">
        <is>
          <t>price_gas_power_usd_gj</t>
        </is>
      </c>
      <c r="G1394" s="7" t="n">
        <v>5.164</v>
      </c>
      <c r="H1394" s="7" t="inlineStr">
        <is>
          <t>2024</t>
        </is>
      </c>
      <c r="I1394" s="7" t="inlineStr">
        <is>
          <t>imffossilfuelsubsidiesdata.xlsb</t>
        </is>
      </c>
    </row>
    <row r="1395">
      <c r="A1395" s="7" t="inlineStr">
        <is>
          <t>KGZ</t>
        </is>
      </c>
      <c r="B1395" s="7" t="inlineStr">
        <is>
          <t>Kyrgyz Republic</t>
        </is>
      </c>
      <c r="C1395" s="7" t="inlineStr">
        <is>
          <t>Europe &amp; Central Asia</t>
        </is>
      </c>
      <c r="D1395" s="7" t="inlineStr">
        <is>
          <t>Lower middle income</t>
        </is>
      </c>
      <c r="E1395" s="7" t="b">
        <v>1</v>
      </c>
      <c r="F1395" s="7" t="inlineStr">
        <is>
          <t>rise_renewable_energy_score</t>
        </is>
      </c>
      <c r="G1395" s="7" t="n">
        <v>17.069</v>
      </c>
      <c r="H1395" s="7" t="inlineStr">
        <is>
          <t>2023</t>
        </is>
      </c>
      <c r="I1395" s="7" t="inlineStr">
        <is>
          <t>WB_RISE_WIDEF.csv</t>
        </is>
      </c>
    </row>
    <row r="1396">
      <c r="A1396" s="7" t="inlineStr">
        <is>
          <t>KHM</t>
        </is>
      </c>
      <c r="B1396" s="7" t="inlineStr">
        <is>
          <t>Cambodia</t>
        </is>
      </c>
      <c r="C1396" s="7" t="inlineStr">
        <is>
          <t>East Asia &amp; Pacific</t>
        </is>
      </c>
      <c r="D1396" s="7" t="inlineStr">
        <is>
          <t>Lower middle income</t>
        </is>
      </c>
      <c r="E1396" s="7" t="b">
        <v>1</v>
      </c>
      <c r="F1396" s="7" t="inlineStr">
        <is>
          <t>coal_rents_pct_gdp</t>
        </is>
      </c>
      <c r="G1396" s="7" t="n">
        <v>0.005</v>
      </c>
      <c r="H1396" s="7" t="inlineStr">
        <is>
          <t>2021</t>
        </is>
      </c>
      <c r="I1396" s="7" t="inlineStr">
        <is>
          <t>API_NY_GDP_COAL_RT_ZS_DS2_en_csv_v2_35370.zip</t>
        </is>
      </c>
    </row>
    <row r="1397">
      <c r="A1397" s="7" t="inlineStr">
        <is>
          <t>KHM</t>
        </is>
      </c>
      <c r="B1397" s="7" t="inlineStr">
        <is>
          <t>Cambodia</t>
        </is>
      </c>
      <c r="C1397" s="7" t="inlineStr">
        <is>
          <t>East Asia &amp; Pacific</t>
        </is>
      </c>
      <c r="D1397" s="7" t="inlineStr">
        <is>
          <t>Lower middle income</t>
        </is>
      </c>
      <c r="E1397" s="7" t="b">
        <v>1</v>
      </c>
      <c r="F1397" s="7" t="inlineStr">
        <is>
          <t>em_coal_mt</t>
        </is>
      </c>
      <c r="G1397" s="7" t="n">
        <v>7.819</v>
      </c>
      <c r="H1397" s="7" t="n">
        <v>2024</v>
      </c>
      <c r="I1397" s="7" t="inlineStr">
        <is>
          <t>release_generation_yearly_global.csv (Ember)</t>
        </is>
      </c>
    </row>
    <row r="1398">
      <c r="A1398" s="7" t="inlineStr">
        <is>
          <t>KHM</t>
        </is>
      </c>
      <c r="B1398" s="7" t="inlineStr">
        <is>
          <t>Cambodia</t>
        </is>
      </c>
      <c r="C1398" s="7" t="inlineStr">
        <is>
          <t>East Asia &amp; Pacific</t>
        </is>
      </c>
      <c r="D1398" s="7" t="inlineStr">
        <is>
          <t>Lower middle income</t>
        </is>
      </c>
      <c r="E1398" s="7" t="b">
        <v>1</v>
      </c>
      <c r="F1398" s="7" t="inlineStr">
        <is>
          <t>em_oil_mt</t>
        </is>
      </c>
      <c r="G1398" s="7" t="n">
        <v>0.349</v>
      </c>
      <c r="H1398" s="7" t="n">
        <v>2024</v>
      </c>
      <c r="I1398" s="7" t="inlineStr">
        <is>
          <t>release_generation_yearly_global.csv (Ember)</t>
        </is>
      </c>
    </row>
    <row r="1399">
      <c r="A1399" s="7" t="inlineStr">
        <is>
          <t>KHM</t>
        </is>
      </c>
      <c r="B1399" s="7" t="inlineStr">
        <is>
          <t>Cambodia</t>
        </is>
      </c>
      <c r="C1399" s="7" t="inlineStr">
        <is>
          <t>East Asia &amp; Pacific</t>
        </is>
      </c>
      <c r="D1399" s="7" t="inlineStr">
        <is>
          <t>Lower middle income</t>
        </is>
      </c>
      <c r="E1399" s="7" t="b">
        <v>1</v>
      </c>
      <c r="F1399" s="7" t="inlineStr">
        <is>
          <t>ff_subsidy_explicit_pct_gdp</t>
        </is>
      </c>
      <c r="G1399" s="7" t="n">
        <v>0.182</v>
      </c>
      <c r="H1399" s="7" t="inlineStr">
        <is>
          <t>2024</t>
        </is>
      </c>
      <c r="I1399" s="7" t="inlineStr">
        <is>
          <t>imffossilfuelsubsidiesdata.xlsb</t>
        </is>
      </c>
    </row>
    <row r="1400">
      <c r="A1400" s="7" t="inlineStr">
        <is>
          <t>KHM</t>
        </is>
      </c>
      <c r="B1400" s="7" t="inlineStr">
        <is>
          <t>Cambodia</t>
        </is>
      </c>
      <c r="C1400" s="7" t="inlineStr">
        <is>
          <t>East Asia &amp; Pacific</t>
        </is>
      </c>
      <c r="D1400" s="7" t="inlineStr">
        <is>
          <t>Lower middle income</t>
        </is>
      </c>
      <c r="E1400" s="7" t="b">
        <v>1</v>
      </c>
      <c r="F1400" s="7" t="inlineStr">
        <is>
          <t>fuel_exports_pct_merch</t>
        </is>
      </c>
      <c r="G1400" s="7" t="n">
        <v>0.001</v>
      </c>
      <c r="H1400" s="7" t="inlineStr">
        <is>
          <t>2024</t>
        </is>
      </c>
      <c r="I1400" s="7" t="inlineStr">
        <is>
          <t>API_TX_VAL_FUEL_ZS_UN_DS2_en_csv_v2_33055.zip</t>
        </is>
      </c>
    </row>
    <row r="1401">
      <c r="A1401" s="7" t="inlineStr">
        <is>
          <t>KHM</t>
        </is>
      </c>
      <c r="B1401" s="7" t="inlineStr">
        <is>
          <t>Cambodia</t>
        </is>
      </c>
      <c r="C1401" s="7" t="inlineStr">
        <is>
          <t>East Asia &amp; Pacific</t>
        </is>
      </c>
      <c r="D1401" s="7" t="inlineStr">
        <is>
          <t>Lower middle income</t>
        </is>
      </c>
      <c r="E1401" s="7" t="b">
        <v>1</v>
      </c>
      <c r="F1401" s="7" t="inlineStr">
        <is>
          <t>gen_coal_twh</t>
        </is>
      </c>
      <c r="G1401" s="7" t="n">
        <v>9.43</v>
      </c>
      <c r="H1401" s="7" t="n">
        <v>2024</v>
      </c>
      <c r="I1401" s="7" t="inlineStr">
        <is>
          <t>release_generation_yearly_global.csv (Ember)</t>
        </is>
      </c>
    </row>
    <row r="1402">
      <c r="A1402" s="7" t="inlineStr">
        <is>
          <t>KHM</t>
        </is>
      </c>
      <c r="B1402" s="7" t="inlineStr">
        <is>
          <t>Cambodia</t>
        </is>
      </c>
      <c r="C1402" s="7" t="inlineStr">
        <is>
          <t>East Asia &amp; Pacific</t>
        </is>
      </c>
      <c r="D1402" s="7" t="inlineStr">
        <is>
          <t>Lower middle income</t>
        </is>
      </c>
      <c r="E1402" s="7" t="b">
        <v>1</v>
      </c>
      <c r="F1402" s="7" t="inlineStr">
        <is>
          <t>gen_oil_twh</t>
        </is>
      </c>
      <c r="G1402" s="7" t="n">
        <v>0.53</v>
      </c>
      <c r="H1402" s="7" t="n">
        <v>2024</v>
      </c>
      <c r="I1402" s="7" t="inlineStr">
        <is>
          <t>release_generation_yearly_global.csv (Ember)</t>
        </is>
      </c>
    </row>
    <row r="1403">
      <c r="A1403" s="7" t="inlineStr">
        <is>
          <t>KHM</t>
        </is>
      </c>
      <c r="B1403" s="7" t="inlineStr">
        <is>
          <t>Cambodia</t>
        </is>
      </c>
      <c r="C1403" s="7" t="inlineStr">
        <is>
          <t>East Asia &amp; Pacific</t>
        </is>
      </c>
      <c r="D1403" s="7" t="inlineStr">
        <is>
          <t>Lower middle income</t>
        </is>
      </c>
      <c r="E1403" s="7" t="b">
        <v>1</v>
      </c>
      <c r="F1403" s="7" t="inlineStr">
        <is>
          <t>gen_total_twh</t>
        </is>
      </c>
      <c r="G1403" s="7" t="n">
        <v>15.48</v>
      </c>
      <c r="H1403" s="7" t="n">
        <v>2024</v>
      </c>
      <c r="I1403" s="7" t="inlineStr">
        <is>
          <t>release_generation_yearly_global.csv (Ember)</t>
        </is>
      </c>
    </row>
    <row r="1404">
      <c r="A1404" s="7" t="inlineStr">
        <is>
          <t>KHM</t>
        </is>
      </c>
      <c r="B1404" s="7" t="inlineStr">
        <is>
          <t>Cambodia</t>
        </is>
      </c>
      <c r="C1404" s="7" t="inlineStr">
        <is>
          <t>East Asia &amp; Pacific</t>
        </is>
      </c>
      <c r="D1404" s="7" t="inlineStr">
        <is>
          <t>Lower middle income</t>
        </is>
      </c>
      <c r="E1404" s="7" t="b">
        <v>1</v>
      </c>
      <c r="F1404" s="7" t="inlineStr">
        <is>
          <t>power_market_structure</t>
        </is>
      </c>
      <c r="G1404" s="7" t="n">
        <v>2</v>
      </c>
      <c r="H1404" s="7" t="inlineStr">
        <is>
          <t>2013</t>
        </is>
      </c>
      <c r="I1404" s="7" t="inlineStr">
        <is>
          <t>dataverse_files.zip</t>
        </is>
      </c>
    </row>
    <row r="1405">
      <c r="A1405" s="7" t="inlineStr">
        <is>
          <t>KHM</t>
        </is>
      </c>
      <c r="B1405" s="7" t="inlineStr">
        <is>
          <t>Cambodia</t>
        </is>
      </c>
      <c r="C1405" s="7" t="inlineStr">
        <is>
          <t>East Asia &amp; Pacific</t>
        </is>
      </c>
      <c r="D1405" s="7" t="inlineStr">
        <is>
          <t>Lower middle income</t>
        </is>
      </c>
      <c r="E1405" s="7" t="b">
        <v>1</v>
      </c>
      <c r="F1405" s="7" t="inlineStr">
        <is>
          <t>price_coal_power_usd_gj</t>
        </is>
      </c>
      <c r="G1405" s="7" t="n">
        <v>4.826</v>
      </c>
      <c r="H1405" s="7" t="inlineStr">
        <is>
          <t>2024</t>
        </is>
      </c>
      <c r="I1405" s="7" t="inlineStr">
        <is>
          <t>imffossilfuelsubsidiesdata.xlsb</t>
        </is>
      </c>
    </row>
    <row r="1406">
      <c r="A1406" s="7" t="inlineStr">
        <is>
          <t>KHM</t>
        </is>
      </c>
      <c r="B1406" s="7" t="inlineStr">
        <is>
          <t>Cambodia</t>
        </is>
      </c>
      <c r="C1406" s="7" t="inlineStr">
        <is>
          <t>East Asia &amp; Pacific</t>
        </is>
      </c>
      <c r="D1406" s="7" t="inlineStr">
        <is>
          <t>Lower middle income</t>
        </is>
      </c>
      <c r="E1406" s="7" t="b">
        <v>1</v>
      </c>
      <c r="F1406" s="7" t="inlineStr">
        <is>
          <t>price_electricity_residential_usd_kwh</t>
        </is>
      </c>
      <c r="G1406" s="7" t="n">
        <v>0.118</v>
      </c>
      <c r="H1406" s="7" t="inlineStr">
        <is>
          <t>2024</t>
        </is>
      </c>
      <c r="I1406" s="7" t="inlineStr">
        <is>
          <t>imffossilfuelsubsidiesdata.xlsb</t>
        </is>
      </c>
    </row>
    <row r="1407">
      <c r="A1407" s="7" t="inlineStr">
        <is>
          <t>KHM</t>
        </is>
      </c>
      <c r="B1407" s="7" t="inlineStr">
        <is>
          <t>Cambodia</t>
        </is>
      </c>
      <c r="C1407" s="7" t="inlineStr">
        <is>
          <t>East Asia &amp; Pacific</t>
        </is>
      </c>
      <c r="D1407" s="7" t="inlineStr">
        <is>
          <t>Lower middle income</t>
        </is>
      </c>
      <c r="E1407" s="7" t="b">
        <v>1</v>
      </c>
      <c r="F1407" s="7" t="inlineStr">
        <is>
          <t>price_gas_industry_usd_gj</t>
        </is>
      </c>
      <c r="G1407" s="7" t="n">
        <v>13.543</v>
      </c>
      <c r="H1407" s="7" t="inlineStr">
        <is>
          <t>2024</t>
        </is>
      </c>
      <c r="I1407" s="7" t="inlineStr">
        <is>
          <t>imffossilfuelsubsidiesdata.xlsb</t>
        </is>
      </c>
    </row>
    <row r="1408">
      <c r="A1408" s="7" t="inlineStr">
        <is>
          <t>KHM</t>
        </is>
      </c>
      <c r="B1408" s="7" t="inlineStr">
        <is>
          <t>Cambodia</t>
        </is>
      </c>
      <c r="C1408" s="7" t="inlineStr">
        <is>
          <t>East Asia &amp; Pacific</t>
        </is>
      </c>
      <c r="D1408" s="7" t="inlineStr">
        <is>
          <t>Lower middle income</t>
        </is>
      </c>
      <c r="E1408" s="7" t="b">
        <v>1</v>
      </c>
      <c r="F1408" s="7" t="inlineStr">
        <is>
          <t>price_gas_power_usd_gj</t>
        </is>
      </c>
      <c r="G1408" s="7" t="n">
        <v>12.219</v>
      </c>
      <c r="H1408" s="7" t="inlineStr">
        <is>
          <t>2024</t>
        </is>
      </c>
      <c r="I1408" s="7" t="inlineStr">
        <is>
          <t>imffossilfuelsubsidiesdata.xlsb</t>
        </is>
      </c>
    </row>
    <row r="1409">
      <c r="A1409" s="7" t="inlineStr">
        <is>
          <t>KHM</t>
        </is>
      </c>
      <c r="B1409" s="7" t="inlineStr">
        <is>
          <t>Cambodia</t>
        </is>
      </c>
      <c r="C1409" s="7" t="inlineStr">
        <is>
          <t>East Asia &amp; Pacific</t>
        </is>
      </c>
      <c r="D1409" s="7" t="inlineStr">
        <is>
          <t>Lower middle income</t>
        </is>
      </c>
      <c r="E1409" s="7" t="b">
        <v>1</v>
      </c>
      <c r="F1409" s="7" t="inlineStr">
        <is>
          <t>rise_renewable_energy_score</t>
        </is>
      </c>
      <c r="G1409" s="7" t="n">
        <v>16.508</v>
      </c>
      <c r="H1409" s="7" t="inlineStr">
        <is>
          <t>2023</t>
        </is>
      </c>
      <c r="I1409" s="7" t="inlineStr">
        <is>
          <t>WB_RISE_WIDEF.csv</t>
        </is>
      </c>
    </row>
    <row r="1410">
      <c r="A1410" s="7" t="inlineStr">
        <is>
          <t>KIR</t>
        </is>
      </c>
      <c r="B1410" s="7" t="inlineStr">
        <is>
          <t>Kiribati</t>
        </is>
      </c>
      <c r="C1410" s="7" t="inlineStr">
        <is>
          <t>East Asia &amp; Pacific</t>
        </is>
      </c>
      <c r="D1410" s="7" t="inlineStr">
        <is>
          <t>Lower middle income</t>
        </is>
      </c>
      <c r="E1410" s="7" t="b">
        <v>1</v>
      </c>
      <c r="F1410" s="7" t="inlineStr">
        <is>
          <t>coal_rents_pct_gdp</t>
        </is>
      </c>
      <c r="G1410" s="7" t="n">
        <v>0</v>
      </c>
      <c r="H1410" s="7" t="inlineStr">
        <is>
          <t>2021</t>
        </is>
      </c>
      <c r="I1410" s="7" t="inlineStr">
        <is>
          <t>API_NY_GDP_COAL_RT_ZS_DS2_en_csv_v2_35370.zip</t>
        </is>
      </c>
    </row>
    <row r="1411">
      <c r="A1411" s="7" t="inlineStr">
        <is>
          <t>KIR</t>
        </is>
      </c>
      <c r="B1411" s="7" t="inlineStr">
        <is>
          <t>Kiribati</t>
        </is>
      </c>
      <c r="C1411" s="7" t="inlineStr">
        <is>
          <t>East Asia &amp; Pacific</t>
        </is>
      </c>
      <c r="D1411" s="7" t="inlineStr">
        <is>
          <t>Lower middle income</t>
        </is>
      </c>
      <c r="E1411" s="7" t="b">
        <v>1</v>
      </c>
      <c r="F1411" s="7" t="inlineStr">
        <is>
          <t>em_coal_mt</t>
        </is>
      </c>
      <c r="G1411" s="7" t="n">
        <v>0</v>
      </c>
      <c r="H1411" s="7" t="n">
        <v>2024</v>
      </c>
      <c r="I1411" s="7" t="inlineStr">
        <is>
          <t>release_generation_yearly_global.csv (Ember)</t>
        </is>
      </c>
    </row>
    <row r="1412">
      <c r="A1412" s="7" t="inlineStr">
        <is>
          <t>KIR</t>
        </is>
      </c>
      <c r="B1412" s="7" t="inlineStr">
        <is>
          <t>Kiribati</t>
        </is>
      </c>
      <c r="C1412" s="7" t="inlineStr">
        <is>
          <t>East Asia &amp; Pacific</t>
        </is>
      </c>
      <c r="D1412" s="7" t="inlineStr">
        <is>
          <t>Lower middle income</t>
        </is>
      </c>
      <c r="E1412" s="7" t="b">
        <v>1</v>
      </c>
      <c r="F1412" s="7" t="inlineStr">
        <is>
          <t>em_gas_mt</t>
        </is>
      </c>
      <c r="G1412" s="7" t="n">
        <v>0</v>
      </c>
      <c r="H1412" s="7" t="n">
        <v>2024</v>
      </c>
      <c r="I1412" s="7" t="inlineStr">
        <is>
          <t>release_generation_yearly_global.csv (Ember)</t>
        </is>
      </c>
    </row>
    <row r="1413">
      <c r="A1413" s="7" t="inlineStr">
        <is>
          <t>KIR</t>
        </is>
      </c>
      <c r="B1413" s="7" t="inlineStr">
        <is>
          <t>Kiribati</t>
        </is>
      </c>
      <c r="C1413" s="7" t="inlineStr">
        <is>
          <t>East Asia &amp; Pacific</t>
        </is>
      </c>
      <c r="D1413" s="7" t="inlineStr">
        <is>
          <t>Lower middle income</t>
        </is>
      </c>
      <c r="E1413" s="7" t="b">
        <v>1</v>
      </c>
      <c r="F1413" s="7" t="inlineStr">
        <is>
          <t>em_oil_mt</t>
        </is>
      </c>
      <c r="G1413" s="7" t="n">
        <v>0.02</v>
      </c>
      <c r="H1413" s="7" t="n">
        <v>2024</v>
      </c>
      <c r="I1413" s="7" t="inlineStr">
        <is>
          <t>release_generation_yearly_global.csv (Ember)</t>
        </is>
      </c>
    </row>
    <row r="1414">
      <c r="A1414" s="7" t="inlineStr">
        <is>
          <t>KIR</t>
        </is>
      </c>
      <c r="B1414" s="7" t="inlineStr">
        <is>
          <t>Kiribati</t>
        </is>
      </c>
      <c r="C1414" s="7" t="inlineStr">
        <is>
          <t>East Asia &amp; Pacific</t>
        </is>
      </c>
      <c r="D1414" s="7" t="inlineStr">
        <is>
          <t>Lower middle income</t>
        </is>
      </c>
      <c r="E1414" s="7" t="b">
        <v>1</v>
      </c>
      <c r="F1414" s="7" t="inlineStr">
        <is>
          <t>fuel_exports_pct_merch</t>
        </is>
      </c>
      <c r="G1414" s="7" t="n">
        <v>0.017</v>
      </c>
      <c r="H1414" s="7" t="inlineStr">
        <is>
          <t>2021</t>
        </is>
      </c>
      <c r="I1414" s="7" t="inlineStr">
        <is>
          <t>API_TX_VAL_FUEL_ZS_UN_DS2_en_csv_v2_33055.zip</t>
        </is>
      </c>
    </row>
    <row r="1415">
      <c r="A1415" s="7" t="inlineStr">
        <is>
          <t>KIR</t>
        </is>
      </c>
      <c r="B1415" s="7" t="inlineStr">
        <is>
          <t>Kiribati</t>
        </is>
      </c>
      <c r="C1415" s="7" t="inlineStr">
        <is>
          <t>East Asia &amp; Pacific</t>
        </is>
      </c>
      <c r="D1415" s="7" t="inlineStr">
        <is>
          <t>Lower middle income</t>
        </is>
      </c>
      <c r="E1415" s="7" t="b">
        <v>1</v>
      </c>
      <c r="F1415" s="7" t="inlineStr">
        <is>
          <t>gen_coal_twh</t>
        </is>
      </c>
      <c r="G1415" s="7" t="n">
        <v>0</v>
      </c>
      <c r="H1415" s="7" t="n">
        <v>2024</v>
      </c>
      <c r="I1415" s="7" t="inlineStr">
        <is>
          <t>release_generation_yearly_global.csv (Ember)</t>
        </is>
      </c>
    </row>
    <row r="1416">
      <c r="A1416" s="7" t="inlineStr">
        <is>
          <t>KIR</t>
        </is>
      </c>
      <c r="B1416" s="7" t="inlineStr">
        <is>
          <t>Kiribati</t>
        </is>
      </c>
      <c r="C1416" s="7" t="inlineStr">
        <is>
          <t>East Asia &amp; Pacific</t>
        </is>
      </c>
      <c r="D1416" s="7" t="inlineStr">
        <is>
          <t>Lower middle income</t>
        </is>
      </c>
      <c r="E1416" s="7" t="b">
        <v>1</v>
      </c>
      <c r="F1416" s="7" t="inlineStr">
        <is>
          <t>gen_gas_twh</t>
        </is>
      </c>
      <c r="G1416" s="7" t="n">
        <v>0</v>
      </c>
      <c r="H1416" s="7" t="n">
        <v>2024</v>
      </c>
      <c r="I1416" s="7" t="inlineStr">
        <is>
          <t>release_generation_yearly_global.csv (Ember)</t>
        </is>
      </c>
    </row>
    <row r="1417">
      <c r="A1417" s="7" t="inlineStr">
        <is>
          <t>KIR</t>
        </is>
      </c>
      <c r="B1417" s="7" t="inlineStr">
        <is>
          <t>Kiribati</t>
        </is>
      </c>
      <c r="C1417" s="7" t="inlineStr">
        <is>
          <t>East Asia &amp; Pacific</t>
        </is>
      </c>
      <c r="D1417" s="7" t="inlineStr">
        <is>
          <t>Lower middle income</t>
        </is>
      </c>
      <c r="E1417" s="7" t="b">
        <v>1</v>
      </c>
      <c r="F1417" s="7" t="inlineStr">
        <is>
          <t>gen_oil_twh</t>
        </is>
      </c>
      <c r="G1417" s="7" t="n">
        <v>0.03</v>
      </c>
      <c r="H1417" s="7" t="n">
        <v>2024</v>
      </c>
      <c r="I1417" s="7" t="inlineStr">
        <is>
          <t>release_generation_yearly_global.csv (Ember)</t>
        </is>
      </c>
    </row>
    <row r="1418">
      <c r="A1418" s="7" t="inlineStr">
        <is>
          <t>KIR</t>
        </is>
      </c>
      <c r="B1418" s="7" t="inlineStr">
        <is>
          <t>Kiribati</t>
        </is>
      </c>
      <c r="C1418" s="7" t="inlineStr">
        <is>
          <t>East Asia &amp; Pacific</t>
        </is>
      </c>
      <c r="D1418" s="7" t="inlineStr">
        <is>
          <t>Lower middle income</t>
        </is>
      </c>
      <c r="E1418" s="7" t="b">
        <v>1</v>
      </c>
      <c r="F1418" s="7" t="inlineStr">
        <is>
          <t>gen_total_twh</t>
        </is>
      </c>
      <c r="G1418" s="7" t="n">
        <v>0.04</v>
      </c>
      <c r="H1418" s="7" t="n">
        <v>2024</v>
      </c>
      <c r="I1418" s="7" t="inlineStr">
        <is>
          <t>release_generation_yearly_global.csv (Ember)</t>
        </is>
      </c>
    </row>
    <row r="1419">
      <c r="A1419" s="7" t="inlineStr">
        <is>
          <t>KNA</t>
        </is>
      </c>
      <c r="B1419" s="7" t="inlineStr">
        <is>
          <t>St. Kitts and Nevis</t>
        </is>
      </c>
      <c r="C1419" s="7" t="inlineStr">
        <is>
          <t>Latin America &amp; Caribbean</t>
        </is>
      </c>
      <c r="D1419" s="7" t="inlineStr">
        <is>
          <t>High income</t>
        </is>
      </c>
      <c r="E1419" s="7" t="b">
        <v>0</v>
      </c>
      <c r="F1419" s="7" t="inlineStr">
        <is>
          <t>coal_rents_pct_gdp</t>
        </is>
      </c>
      <c r="G1419" s="7" t="n">
        <v>0</v>
      </c>
      <c r="H1419" s="7" t="inlineStr">
        <is>
          <t>2021</t>
        </is>
      </c>
      <c r="I1419" s="7" t="inlineStr">
        <is>
          <t>API_NY_GDP_COAL_RT_ZS_DS2_en_csv_v2_35370.zip</t>
        </is>
      </c>
    </row>
    <row r="1420">
      <c r="A1420" s="7" t="inlineStr">
        <is>
          <t>KNA</t>
        </is>
      </c>
      <c r="B1420" s="7" t="inlineStr">
        <is>
          <t>St. Kitts and Nevis</t>
        </is>
      </c>
      <c r="C1420" s="7" t="inlineStr">
        <is>
          <t>Latin America &amp; Caribbean</t>
        </is>
      </c>
      <c r="D1420" s="7" t="inlineStr">
        <is>
          <t>High income</t>
        </is>
      </c>
      <c r="E1420" s="7" t="b">
        <v>0</v>
      </c>
      <c r="F1420" s="7" t="inlineStr">
        <is>
          <t>em_coal_mt</t>
        </is>
      </c>
      <c r="G1420" s="7" t="n">
        <v>0</v>
      </c>
      <c r="H1420" s="7" t="n">
        <v>2024</v>
      </c>
      <c r="I1420" s="7" t="inlineStr">
        <is>
          <t>release_generation_yearly_global.csv (Ember)</t>
        </is>
      </c>
    </row>
    <row r="1421">
      <c r="A1421" s="7" t="inlineStr">
        <is>
          <t>KNA</t>
        </is>
      </c>
      <c r="B1421" s="7" t="inlineStr">
        <is>
          <t>St. Kitts and Nevis</t>
        </is>
      </c>
      <c r="C1421" s="7" t="inlineStr">
        <is>
          <t>Latin America &amp; Caribbean</t>
        </is>
      </c>
      <c r="D1421" s="7" t="inlineStr">
        <is>
          <t>High income</t>
        </is>
      </c>
      <c r="E1421" s="7" t="b">
        <v>0</v>
      </c>
      <c r="F1421" s="7" t="inlineStr">
        <is>
          <t>em_gas_mt</t>
        </is>
      </c>
      <c r="G1421" s="7" t="n">
        <v>0</v>
      </c>
      <c r="H1421" s="7" t="n">
        <v>2024</v>
      </c>
      <c r="I1421" s="7" t="inlineStr">
        <is>
          <t>release_generation_yearly_global.csv (Ember)</t>
        </is>
      </c>
    </row>
    <row r="1422">
      <c r="A1422" s="7" t="inlineStr">
        <is>
          <t>KNA</t>
        </is>
      </c>
      <c r="B1422" s="7" t="inlineStr">
        <is>
          <t>St. Kitts and Nevis</t>
        </is>
      </c>
      <c r="C1422" s="7" t="inlineStr">
        <is>
          <t>Latin America &amp; Caribbean</t>
        </is>
      </c>
      <c r="D1422" s="7" t="inlineStr">
        <is>
          <t>High income</t>
        </is>
      </c>
      <c r="E1422" s="7" t="b">
        <v>0</v>
      </c>
      <c r="F1422" s="7" t="inlineStr">
        <is>
          <t>em_oil_mt</t>
        </is>
      </c>
      <c r="G1422" s="7" t="n">
        <v>0.138</v>
      </c>
      <c r="H1422" s="7" t="n">
        <v>2024</v>
      </c>
      <c r="I1422" s="7" t="inlineStr">
        <is>
          <t>release_generation_yearly_global.csv (Ember)</t>
        </is>
      </c>
    </row>
    <row r="1423">
      <c r="A1423" s="7" t="inlineStr">
        <is>
          <t>KNA</t>
        </is>
      </c>
      <c r="B1423" s="7" t="inlineStr">
        <is>
          <t>St. Kitts and Nevis</t>
        </is>
      </c>
      <c r="C1423" s="7" t="inlineStr">
        <is>
          <t>Latin America &amp; Caribbean</t>
        </is>
      </c>
      <c r="D1423" s="7" t="inlineStr">
        <is>
          <t>High income</t>
        </is>
      </c>
      <c r="E1423" s="7" t="b">
        <v>0</v>
      </c>
      <c r="F1423" s="7" t="inlineStr">
        <is>
          <t>ff_subsidy_explicit_pct_gdp</t>
        </is>
      </c>
      <c r="G1423" s="7" t="n">
        <v>0</v>
      </c>
      <c r="H1423" s="7" t="inlineStr">
        <is>
          <t>2024</t>
        </is>
      </c>
      <c r="I1423" s="7" t="inlineStr">
        <is>
          <t>imffossilfuelsubsidiesdata.xlsb</t>
        </is>
      </c>
    </row>
    <row r="1424">
      <c r="A1424" s="7" t="inlineStr">
        <is>
          <t>KNA</t>
        </is>
      </c>
      <c r="B1424" s="7" t="inlineStr">
        <is>
          <t>St. Kitts and Nevis</t>
        </is>
      </c>
      <c r="C1424" s="7" t="inlineStr">
        <is>
          <t>Latin America &amp; Caribbean</t>
        </is>
      </c>
      <c r="D1424" s="7" t="inlineStr">
        <is>
          <t>High income</t>
        </is>
      </c>
      <c r="E1424" s="7" t="b">
        <v>0</v>
      </c>
      <c r="F1424" s="7" t="inlineStr">
        <is>
          <t>fuel_exports_pct_merch</t>
        </is>
      </c>
      <c r="G1424" s="7" t="n">
        <v>0.027</v>
      </c>
      <c r="H1424" s="7" t="inlineStr">
        <is>
          <t>2017</t>
        </is>
      </c>
      <c r="I1424" s="7" t="inlineStr">
        <is>
          <t>API_TX_VAL_FUEL_ZS_UN_DS2_en_csv_v2_33055.zip</t>
        </is>
      </c>
    </row>
    <row r="1425">
      <c r="A1425" s="7" t="inlineStr">
        <is>
          <t>KNA</t>
        </is>
      </c>
      <c r="B1425" s="7" t="inlineStr">
        <is>
          <t>St. Kitts and Nevis</t>
        </is>
      </c>
      <c r="C1425" s="7" t="inlineStr">
        <is>
          <t>Latin America &amp; Caribbean</t>
        </is>
      </c>
      <c r="D1425" s="7" t="inlineStr">
        <is>
          <t>High income</t>
        </is>
      </c>
      <c r="E1425" s="7" t="b">
        <v>0</v>
      </c>
      <c r="F1425" s="7" t="inlineStr">
        <is>
          <t>gen_coal_twh</t>
        </is>
      </c>
      <c r="G1425" s="7" t="n">
        <v>0</v>
      </c>
      <c r="H1425" s="7" t="n">
        <v>2024</v>
      </c>
      <c r="I1425" s="7" t="inlineStr">
        <is>
          <t>release_generation_yearly_global.csv (Ember)</t>
        </is>
      </c>
    </row>
    <row r="1426">
      <c r="A1426" s="7" t="inlineStr">
        <is>
          <t>KNA</t>
        </is>
      </c>
      <c r="B1426" s="7" t="inlineStr">
        <is>
          <t>St. Kitts and Nevis</t>
        </is>
      </c>
      <c r="C1426" s="7" t="inlineStr">
        <is>
          <t>Latin America &amp; Caribbean</t>
        </is>
      </c>
      <c r="D1426" s="7" t="inlineStr">
        <is>
          <t>High income</t>
        </is>
      </c>
      <c r="E1426" s="7" t="b">
        <v>0</v>
      </c>
      <c r="F1426" s="7" t="inlineStr">
        <is>
          <t>gen_gas_twh</t>
        </is>
      </c>
      <c r="G1426" s="7" t="n">
        <v>0</v>
      </c>
      <c r="H1426" s="7" t="n">
        <v>2024</v>
      </c>
      <c r="I1426" s="7" t="inlineStr">
        <is>
          <t>release_generation_yearly_global.csv (Ember)</t>
        </is>
      </c>
    </row>
    <row r="1427">
      <c r="A1427" s="7" t="inlineStr">
        <is>
          <t>KNA</t>
        </is>
      </c>
      <c r="B1427" s="7" t="inlineStr">
        <is>
          <t>St. Kitts and Nevis</t>
        </is>
      </c>
      <c r="C1427" s="7" t="inlineStr">
        <is>
          <t>Latin America &amp; Caribbean</t>
        </is>
      </c>
      <c r="D1427" s="7" t="inlineStr">
        <is>
          <t>High income</t>
        </is>
      </c>
      <c r="E1427" s="7" t="b">
        <v>0</v>
      </c>
      <c r="F1427" s="7" t="inlineStr">
        <is>
          <t>gen_oil_twh</t>
        </is>
      </c>
      <c r="G1427" s="7" t="n">
        <v>0.21</v>
      </c>
      <c r="H1427" s="7" t="n">
        <v>2024</v>
      </c>
      <c r="I1427" s="7" t="inlineStr">
        <is>
          <t>release_generation_yearly_global.csv (Ember)</t>
        </is>
      </c>
    </row>
    <row r="1428">
      <c r="A1428" s="7" t="inlineStr">
        <is>
          <t>KNA</t>
        </is>
      </c>
      <c r="B1428" s="7" t="inlineStr">
        <is>
          <t>St. Kitts and Nevis</t>
        </is>
      </c>
      <c r="C1428" s="7" t="inlineStr">
        <is>
          <t>Latin America &amp; Caribbean</t>
        </is>
      </c>
      <c r="D1428" s="7" t="inlineStr">
        <is>
          <t>High income</t>
        </is>
      </c>
      <c r="E1428" s="7" t="b">
        <v>0</v>
      </c>
      <c r="F1428" s="7" t="inlineStr">
        <is>
          <t>gen_total_twh</t>
        </is>
      </c>
      <c r="G1428" s="7" t="n">
        <v>0.23</v>
      </c>
      <c r="H1428" s="7" t="n">
        <v>2024</v>
      </c>
      <c r="I1428" s="7" t="inlineStr">
        <is>
          <t>release_generation_yearly_global.csv (Ember)</t>
        </is>
      </c>
    </row>
    <row r="1429">
      <c r="A1429" s="7" t="inlineStr">
        <is>
          <t>KNA</t>
        </is>
      </c>
      <c r="B1429" s="7" t="inlineStr">
        <is>
          <t>St. Kitts and Nevis</t>
        </is>
      </c>
      <c r="C1429" s="7" t="inlineStr">
        <is>
          <t>Latin America &amp; Caribbean</t>
        </is>
      </c>
      <c r="D1429" s="7" t="inlineStr">
        <is>
          <t>High income</t>
        </is>
      </c>
      <c r="E1429" s="7" t="b">
        <v>0</v>
      </c>
      <c r="F1429" s="7" t="inlineStr">
        <is>
          <t>price_coal_power_usd_gj</t>
        </is>
      </c>
      <c r="G1429" s="7" t="n">
        <v>5.575</v>
      </c>
      <c r="H1429" s="7" t="inlineStr">
        <is>
          <t>2024</t>
        </is>
      </c>
      <c r="I1429" s="7" t="inlineStr">
        <is>
          <t>imffossilfuelsubsidiesdata.xlsb</t>
        </is>
      </c>
    </row>
    <row r="1430">
      <c r="A1430" s="7" t="inlineStr">
        <is>
          <t>KNA</t>
        </is>
      </c>
      <c r="B1430" s="7" t="inlineStr">
        <is>
          <t>St. Kitts and Nevis</t>
        </is>
      </c>
      <c r="C1430" s="7" t="inlineStr">
        <is>
          <t>Latin America &amp; Caribbean</t>
        </is>
      </c>
      <c r="D1430" s="7" t="inlineStr">
        <is>
          <t>High income</t>
        </is>
      </c>
      <c r="E1430" s="7" t="b">
        <v>0</v>
      </c>
      <c r="F1430" s="7" t="inlineStr">
        <is>
          <t>price_electricity_residential_usd_kwh</t>
        </is>
      </c>
      <c r="G1430" s="7" t="n">
        <v>0.323</v>
      </c>
      <c r="H1430" s="7" t="inlineStr">
        <is>
          <t>2024</t>
        </is>
      </c>
      <c r="I1430" s="7" t="inlineStr">
        <is>
          <t>imffossilfuelsubsidiesdata.xlsb</t>
        </is>
      </c>
    </row>
    <row r="1431">
      <c r="A1431" s="7" t="inlineStr">
        <is>
          <t>KNA</t>
        </is>
      </c>
      <c r="B1431" s="7" t="inlineStr">
        <is>
          <t>St. Kitts and Nevis</t>
        </is>
      </c>
      <c r="C1431" s="7" t="inlineStr">
        <is>
          <t>Latin America &amp; Caribbean</t>
        </is>
      </c>
      <c r="D1431" s="7" t="inlineStr">
        <is>
          <t>High income</t>
        </is>
      </c>
      <c r="E1431" s="7" t="b">
        <v>0</v>
      </c>
      <c r="F1431" s="7" t="inlineStr">
        <is>
          <t>price_gas_industry_usd_gj</t>
        </is>
      </c>
      <c r="G1431" s="7" t="n">
        <v>12.771</v>
      </c>
      <c r="H1431" s="7" t="inlineStr">
        <is>
          <t>2024</t>
        </is>
      </c>
      <c r="I1431" s="7" t="inlineStr">
        <is>
          <t>imffossilfuelsubsidiesdata.xlsb</t>
        </is>
      </c>
    </row>
    <row r="1432">
      <c r="A1432" s="7" t="inlineStr">
        <is>
          <t>KNA</t>
        </is>
      </c>
      <c r="B1432" s="7" t="inlineStr">
        <is>
          <t>St. Kitts and Nevis</t>
        </is>
      </c>
      <c r="C1432" s="7" t="inlineStr">
        <is>
          <t>Latin America &amp; Caribbean</t>
        </is>
      </c>
      <c r="D1432" s="7" t="inlineStr">
        <is>
          <t>High income</t>
        </is>
      </c>
      <c r="E1432" s="7" t="b">
        <v>0</v>
      </c>
      <c r="F1432" s="7" t="inlineStr">
        <is>
          <t>price_gas_power_usd_gj</t>
        </is>
      </c>
      <c r="G1432" s="7" t="n">
        <v>11.447</v>
      </c>
      <c r="H1432" s="7" t="inlineStr">
        <is>
          <t>2024</t>
        </is>
      </c>
      <c r="I1432" s="7" t="inlineStr">
        <is>
          <t>imffossilfuelsubsidiesdata.xlsb</t>
        </is>
      </c>
    </row>
    <row r="1433">
      <c r="A1433" s="7" t="inlineStr">
        <is>
          <t>KOR</t>
        </is>
      </c>
      <c r="B1433" s="7" t="inlineStr">
        <is>
          <t>Korea, Rep.</t>
        </is>
      </c>
      <c r="C1433" s="7" t="inlineStr">
        <is>
          <t>East Asia &amp; Pacific</t>
        </is>
      </c>
      <c r="D1433" s="7" t="inlineStr">
        <is>
          <t>High income</t>
        </is>
      </c>
      <c r="E1433" s="7" t="b">
        <v>0</v>
      </c>
      <c r="F1433" s="7" t="inlineStr">
        <is>
          <t>coal_rents_pct_gdp</t>
        </is>
      </c>
      <c r="G1433" s="7" t="n">
        <v>0.001</v>
      </c>
      <c r="H1433" s="7" t="inlineStr">
        <is>
          <t>2021</t>
        </is>
      </c>
      <c r="I1433" s="7" t="inlineStr">
        <is>
          <t>API_NY_GDP_COAL_RT_ZS_DS2_en_csv_v2_35370.zip</t>
        </is>
      </c>
    </row>
    <row r="1434">
      <c r="A1434" s="7" t="inlineStr">
        <is>
          <t>KOR</t>
        </is>
      </c>
      <c r="B1434" s="7" t="inlineStr">
        <is>
          <t>Korea, Rep.</t>
        </is>
      </c>
      <c r="C1434" s="7" t="inlineStr">
        <is>
          <t>East Asia &amp; Pacific</t>
        </is>
      </c>
      <c r="D1434" s="7" t="inlineStr">
        <is>
          <t>High income</t>
        </is>
      </c>
      <c r="E1434" s="7" t="b">
        <v>0</v>
      </c>
      <c r="F1434" s="7" t="inlineStr">
        <is>
          <t>em_coal_mt</t>
        </is>
      </c>
      <c r="G1434" s="7" t="n">
        <v>156.55</v>
      </c>
      <c r="H1434" s="7" t="n">
        <v>2024</v>
      </c>
      <c r="I1434" s="7" t="inlineStr">
        <is>
          <t>release_generation_yearly_global.csv (Ember)</t>
        </is>
      </c>
    </row>
    <row r="1435">
      <c r="A1435" s="7" t="inlineStr">
        <is>
          <t>KOR</t>
        </is>
      </c>
      <c r="B1435" s="7" t="inlineStr">
        <is>
          <t>Korea, Rep.</t>
        </is>
      </c>
      <c r="C1435" s="7" t="inlineStr">
        <is>
          <t>East Asia &amp; Pacific</t>
        </is>
      </c>
      <c r="D1435" s="7" t="inlineStr">
        <is>
          <t>High income</t>
        </is>
      </c>
      <c r="E1435" s="7" t="b">
        <v>0</v>
      </c>
      <c r="F1435" s="7" t="inlineStr">
        <is>
          <t>em_gas_mt</t>
        </is>
      </c>
      <c r="G1435" s="7" t="n">
        <v>91.834</v>
      </c>
      <c r="H1435" s="7" t="n">
        <v>2024</v>
      </c>
      <c r="I1435" s="7" t="inlineStr">
        <is>
          <t>release_generation_yearly_global.csv (Ember)</t>
        </is>
      </c>
    </row>
    <row r="1436">
      <c r="A1436" s="7" t="inlineStr">
        <is>
          <t>KOR</t>
        </is>
      </c>
      <c r="B1436" s="7" t="inlineStr">
        <is>
          <t>Korea, Rep.</t>
        </is>
      </c>
      <c r="C1436" s="7" t="inlineStr">
        <is>
          <t>East Asia &amp; Pacific</t>
        </is>
      </c>
      <c r="D1436" s="7" t="inlineStr">
        <is>
          <t>High income</t>
        </is>
      </c>
      <c r="E1436" s="7" t="b">
        <v>0</v>
      </c>
      <c r="F1436" s="7" t="inlineStr">
        <is>
          <t>em_oil_mt</t>
        </is>
      </c>
      <c r="G1436" s="7" t="n">
        <v>4.461</v>
      </c>
      <c r="H1436" s="7" t="n">
        <v>2024</v>
      </c>
      <c r="I1436" s="7" t="inlineStr">
        <is>
          <t>release_generation_yearly_global.csv (Ember)</t>
        </is>
      </c>
    </row>
    <row r="1437">
      <c r="A1437" s="7" t="inlineStr">
        <is>
          <t>KOR</t>
        </is>
      </c>
      <c r="B1437" s="7" t="inlineStr">
        <is>
          <t>Korea, Rep.</t>
        </is>
      </c>
      <c r="C1437" s="7" t="inlineStr">
        <is>
          <t>East Asia &amp; Pacific</t>
        </is>
      </c>
      <c r="D1437" s="7" t="inlineStr">
        <is>
          <t>High income</t>
        </is>
      </c>
      <c r="E1437" s="7" t="b">
        <v>0</v>
      </c>
      <c r="F1437" s="7" t="inlineStr">
        <is>
          <t>ff_subsidy_explicit_pct_gdp</t>
        </is>
      </c>
      <c r="G1437" s="7" t="n">
        <v>0.291</v>
      </c>
      <c r="H1437" s="7" t="inlineStr">
        <is>
          <t>2024</t>
        </is>
      </c>
      <c r="I1437" s="7" t="inlineStr">
        <is>
          <t>imffossilfuelsubsidiesdata.xlsb</t>
        </is>
      </c>
    </row>
    <row r="1438">
      <c r="A1438" s="7" t="inlineStr">
        <is>
          <t>KOR</t>
        </is>
      </c>
      <c r="B1438" s="7" t="inlineStr">
        <is>
          <t>Korea, Rep.</t>
        </is>
      </c>
      <c r="C1438" s="7" t="inlineStr">
        <is>
          <t>East Asia &amp; Pacific</t>
        </is>
      </c>
      <c r="D1438" s="7" t="inlineStr">
        <is>
          <t>High income</t>
        </is>
      </c>
      <c r="E1438" s="7" t="b">
        <v>0</v>
      </c>
      <c r="F1438" s="7" t="inlineStr">
        <is>
          <t>fuel_exports_pct_merch</t>
        </is>
      </c>
      <c r="G1438" s="7" t="n">
        <v>7.702</v>
      </c>
      <c r="H1438" s="7" t="inlineStr">
        <is>
          <t>2024</t>
        </is>
      </c>
      <c r="I1438" s="7" t="inlineStr">
        <is>
          <t>API_TX_VAL_FUEL_ZS_UN_DS2_en_csv_v2_33055.zip</t>
        </is>
      </c>
    </row>
    <row r="1439">
      <c r="A1439" s="7" t="inlineStr">
        <is>
          <t>KOR</t>
        </is>
      </c>
      <c r="B1439" s="7" t="inlineStr">
        <is>
          <t>Korea, Rep.</t>
        </is>
      </c>
      <c r="C1439" s="7" t="inlineStr">
        <is>
          <t>East Asia &amp; Pacific</t>
        </is>
      </c>
      <c r="D1439" s="7" t="inlineStr">
        <is>
          <t>High income</t>
        </is>
      </c>
      <c r="E1439" s="7" t="b">
        <v>0</v>
      </c>
      <c r="F1439" s="7" t="inlineStr">
        <is>
          <t>gen_coal_twh</t>
        </is>
      </c>
      <c r="G1439" s="7" t="n">
        <v>190.78</v>
      </c>
      <c r="H1439" s="7" t="n">
        <v>2024</v>
      </c>
      <c r="I1439" s="7" t="inlineStr">
        <is>
          <t>release_generation_yearly_global.csv (Ember)</t>
        </is>
      </c>
    </row>
    <row r="1440">
      <c r="A1440" s="7" t="inlineStr">
        <is>
          <t>KOR</t>
        </is>
      </c>
      <c r="B1440" s="7" t="inlineStr">
        <is>
          <t>Korea, Rep.</t>
        </is>
      </c>
      <c r="C1440" s="7" t="inlineStr">
        <is>
          <t>East Asia &amp; Pacific</t>
        </is>
      </c>
      <c r="D1440" s="7" t="inlineStr">
        <is>
          <t>High income</t>
        </is>
      </c>
      <c r="E1440" s="7" t="b">
        <v>0</v>
      </c>
      <c r="F1440" s="7" t="inlineStr">
        <is>
          <t>gen_gas_twh</t>
        </is>
      </c>
      <c r="G1440" s="7" t="n">
        <v>178.35</v>
      </c>
      <c r="H1440" s="7" t="n">
        <v>2024</v>
      </c>
      <c r="I1440" s="7" t="inlineStr">
        <is>
          <t>release_generation_yearly_global.csv (Ember)</t>
        </is>
      </c>
    </row>
    <row r="1441">
      <c r="A1441" s="7" t="inlineStr">
        <is>
          <t>KOR</t>
        </is>
      </c>
      <c r="B1441" s="7" t="inlineStr">
        <is>
          <t>Korea, Rep.</t>
        </is>
      </c>
      <c r="C1441" s="7" t="inlineStr">
        <is>
          <t>East Asia &amp; Pacific</t>
        </is>
      </c>
      <c r="D1441" s="7" t="inlineStr">
        <is>
          <t>High income</t>
        </is>
      </c>
      <c r="E1441" s="7" t="b">
        <v>0</v>
      </c>
      <c r="F1441" s="7" t="inlineStr">
        <is>
          <t>gen_oil_twh</t>
        </is>
      </c>
      <c r="G1441" s="7" t="n">
        <v>6.78</v>
      </c>
      <c r="H1441" s="7" t="n">
        <v>2024</v>
      </c>
      <c r="I1441" s="7" t="inlineStr">
        <is>
          <t>release_generation_yearly_global.csv (Ember)</t>
        </is>
      </c>
    </row>
    <row r="1442">
      <c r="A1442" s="7" t="inlineStr">
        <is>
          <t>KOR</t>
        </is>
      </c>
      <c r="B1442" s="7" t="inlineStr">
        <is>
          <t>Korea, Rep.</t>
        </is>
      </c>
      <c r="C1442" s="7" t="inlineStr">
        <is>
          <t>East Asia &amp; Pacific</t>
        </is>
      </c>
      <c r="D1442" s="7" t="inlineStr">
        <is>
          <t>High income</t>
        </is>
      </c>
      <c r="E1442" s="7" t="b">
        <v>0</v>
      </c>
      <c r="F1442" s="7" t="inlineStr">
        <is>
          <t>gen_total_twh</t>
        </is>
      </c>
      <c r="G1442" s="7" t="n">
        <v>625.38</v>
      </c>
      <c r="H1442" s="7" t="n">
        <v>2024</v>
      </c>
      <c r="I1442" s="7" t="inlineStr">
        <is>
          <t>release_generation_yearly_global.csv (Ember)</t>
        </is>
      </c>
    </row>
    <row r="1443">
      <c r="A1443" s="7" t="inlineStr">
        <is>
          <t>KOR</t>
        </is>
      </c>
      <c r="B1443" s="7" t="inlineStr">
        <is>
          <t>Korea, Rep.</t>
        </is>
      </c>
      <c r="C1443" s="7" t="inlineStr">
        <is>
          <t>East Asia &amp; Pacific</t>
        </is>
      </c>
      <c r="D1443" s="7" t="inlineStr">
        <is>
          <t>High income</t>
        </is>
      </c>
      <c r="E1443" s="7" t="b">
        <v>0</v>
      </c>
      <c r="F1443" s="7" t="inlineStr">
        <is>
          <t>price_coal_power_usd_gj</t>
        </is>
      </c>
      <c r="G1443" s="7" t="n">
        <v>5.755</v>
      </c>
      <c r="H1443" s="7" t="inlineStr">
        <is>
          <t>2024</t>
        </is>
      </c>
      <c r="I1443" s="7" t="inlineStr">
        <is>
          <t>imffossilfuelsubsidiesdata.xlsb</t>
        </is>
      </c>
    </row>
    <row r="1444">
      <c r="A1444" s="7" t="inlineStr">
        <is>
          <t>KOR</t>
        </is>
      </c>
      <c r="B1444" s="7" t="inlineStr">
        <is>
          <t>Korea, Rep.</t>
        </is>
      </c>
      <c r="C1444" s="7" t="inlineStr">
        <is>
          <t>East Asia &amp; Pacific</t>
        </is>
      </c>
      <c r="D1444" s="7" t="inlineStr">
        <is>
          <t>High income</t>
        </is>
      </c>
      <c r="E1444" s="7" t="b">
        <v>0</v>
      </c>
      <c r="F1444" s="7" t="inlineStr">
        <is>
          <t>price_electricity_residential_usd_kwh</t>
        </is>
      </c>
      <c r="G1444" s="7" t="n">
        <v>0.115</v>
      </c>
      <c r="H1444" s="7" t="inlineStr">
        <is>
          <t>2024</t>
        </is>
      </c>
      <c r="I1444" s="7" t="inlineStr">
        <is>
          <t>imffossilfuelsubsidiesdata.xlsb</t>
        </is>
      </c>
    </row>
    <row r="1445">
      <c r="A1445" s="7" t="inlineStr">
        <is>
          <t>KOR</t>
        </is>
      </c>
      <c r="B1445" s="7" t="inlineStr">
        <is>
          <t>Korea, Rep.</t>
        </is>
      </c>
      <c r="C1445" s="7" t="inlineStr">
        <is>
          <t>East Asia &amp; Pacific</t>
        </is>
      </c>
      <c r="D1445" s="7" t="inlineStr">
        <is>
          <t>High income</t>
        </is>
      </c>
      <c r="E1445" s="7" t="b">
        <v>0</v>
      </c>
      <c r="F1445" s="7" t="inlineStr">
        <is>
          <t>price_gas_industry_usd_gj</t>
        </is>
      </c>
      <c r="G1445" s="7" t="n">
        <v>18.176</v>
      </c>
      <c r="H1445" s="7" t="inlineStr">
        <is>
          <t>2024</t>
        </is>
      </c>
      <c r="I1445" s="7" t="inlineStr">
        <is>
          <t>imffossilfuelsubsidiesdata.xlsb</t>
        </is>
      </c>
    </row>
    <row r="1446">
      <c r="A1446" s="7" t="inlineStr">
        <is>
          <t>KOR</t>
        </is>
      </c>
      <c r="B1446" s="7" t="inlineStr">
        <is>
          <t>Korea, Rep.</t>
        </is>
      </c>
      <c r="C1446" s="7" t="inlineStr">
        <is>
          <t>East Asia &amp; Pacific</t>
        </is>
      </c>
      <c r="D1446" s="7" t="inlineStr">
        <is>
          <t>High income</t>
        </is>
      </c>
      <c r="E1446" s="7" t="b">
        <v>0</v>
      </c>
      <c r="F1446" s="7" t="inlineStr">
        <is>
          <t>rise_renewable_energy_score</t>
        </is>
      </c>
      <c r="G1446" s="7" t="n">
        <v>61.241</v>
      </c>
      <c r="H1446" s="7" t="inlineStr">
        <is>
          <t>2023</t>
        </is>
      </c>
      <c r="I1446" s="7" t="inlineStr">
        <is>
          <t>WB_RISE_WIDEF.csv</t>
        </is>
      </c>
    </row>
    <row r="1447">
      <c r="A1447" s="7" t="inlineStr">
        <is>
          <t>KWT</t>
        </is>
      </c>
      <c r="B1447" s="7" t="inlineStr">
        <is>
          <t>Kuwait</t>
        </is>
      </c>
      <c r="C1447" s="7" t="inlineStr">
        <is>
          <t>Middle East &amp; North Africa</t>
        </is>
      </c>
      <c r="D1447" s="7" t="inlineStr">
        <is>
          <t>High income</t>
        </is>
      </c>
      <c r="E1447" s="7" t="b">
        <v>0</v>
      </c>
      <c r="F1447" s="7" t="inlineStr">
        <is>
          <t>coal_rents_pct_gdp</t>
        </is>
      </c>
      <c r="G1447" s="7" t="n">
        <v>0</v>
      </c>
      <c r="H1447" s="7" t="inlineStr">
        <is>
          <t>2020</t>
        </is>
      </c>
      <c r="I1447" s="7" t="inlineStr">
        <is>
          <t>API_NY_GDP_COAL_RT_ZS_DS2_en_csv_v2_35370.zip</t>
        </is>
      </c>
    </row>
    <row r="1448">
      <c r="A1448" s="7" t="inlineStr">
        <is>
          <t>KWT</t>
        </is>
      </c>
      <c r="B1448" s="7" t="inlineStr">
        <is>
          <t>Kuwait</t>
        </is>
      </c>
      <c r="C1448" s="7" t="inlineStr">
        <is>
          <t>Middle East &amp; North Africa</t>
        </is>
      </c>
      <c r="D1448" s="7" t="inlineStr">
        <is>
          <t>High income</t>
        </is>
      </c>
      <c r="E1448" s="7" t="b">
        <v>0</v>
      </c>
      <c r="F1448" s="7" t="inlineStr">
        <is>
          <t>em_coal_mt</t>
        </is>
      </c>
      <c r="G1448" s="7" t="n">
        <v>0</v>
      </c>
      <c r="H1448" s="7" t="n">
        <v>2024</v>
      </c>
      <c r="I1448" s="7" t="inlineStr">
        <is>
          <t>release_generation_yearly_global.csv (Ember)</t>
        </is>
      </c>
    </row>
    <row r="1449">
      <c r="A1449" s="7" t="inlineStr">
        <is>
          <t>KWT</t>
        </is>
      </c>
      <c r="B1449" s="7" t="inlineStr">
        <is>
          <t>Kuwait</t>
        </is>
      </c>
      <c r="C1449" s="7" t="inlineStr">
        <is>
          <t>Middle East &amp; North Africa</t>
        </is>
      </c>
      <c r="D1449" s="7" t="inlineStr">
        <is>
          <t>High income</t>
        </is>
      </c>
      <c r="E1449" s="7" t="b">
        <v>0</v>
      </c>
      <c r="F1449" s="7" t="inlineStr">
        <is>
          <t>em_gas_mt</t>
        </is>
      </c>
      <c r="G1449" s="7" t="n">
        <v>37.015</v>
      </c>
      <c r="H1449" s="7" t="n">
        <v>2024</v>
      </c>
      <c r="I1449" s="7" t="inlineStr">
        <is>
          <t>release_generation_yearly_global.csv (Ember)</t>
        </is>
      </c>
    </row>
    <row r="1450">
      <c r="A1450" s="7" t="inlineStr">
        <is>
          <t>KWT</t>
        </is>
      </c>
      <c r="B1450" s="7" t="inlineStr">
        <is>
          <t>Kuwait</t>
        </is>
      </c>
      <c r="C1450" s="7" t="inlineStr">
        <is>
          <t>Middle East &amp; North Africa</t>
        </is>
      </c>
      <c r="D1450" s="7" t="inlineStr">
        <is>
          <t>High income</t>
        </is>
      </c>
      <c r="E1450" s="7" t="b">
        <v>0</v>
      </c>
      <c r="F1450" s="7" t="inlineStr">
        <is>
          <t>em_oil_mt</t>
        </is>
      </c>
      <c r="G1450" s="7" t="n">
        <v>21.714</v>
      </c>
      <c r="H1450" s="7" t="n">
        <v>2024</v>
      </c>
      <c r="I1450" s="7" t="inlineStr">
        <is>
          <t>release_generation_yearly_global.csv (Ember)</t>
        </is>
      </c>
    </row>
    <row r="1451">
      <c r="A1451" s="7" t="inlineStr">
        <is>
          <t>KWT</t>
        </is>
      </c>
      <c r="B1451" s="7" t="inlineStr">
        <is>
          <t>Kuwait</t>
        </is>
      </c>
      <c r="C1451" s="7" t="inlineStr">
        <is>
          <t>Middle East &amp; North Africa</t>
        </is>
      </c>
      <c r="D1451" s="7" t="inlineStr">
        <is>
          <t>High income</t>
        </is>
      </c>
      <c r="E1451" s="7" t="b">
        <v>0</v>
      </c>
      <c r="F1451" s="7" t="inlineStr">
        <is>
          <t>ff_subsidy_explicit_pct_gdp</t>
        </is>
      </c>
      <c r="G1451" s="7" t="n">
        <v>6.114</v>
      </c>
      <c r="H1451" s="7" t="inlineStr">
        <is>
          <t>2024</t>
        </is>
      </c>
      <c r="I1451" s="7" t="inlineStr">
        <is>
          <t>imffossilfuelsubsidiesdata.xlsb</t>
        </is>
      </c>
    </row>
    <row r="1452">
      <c r="A1452" s="7" t="inlineStr">
        <is>
          <t>KWT</t>
        </is>
      </c>
      <c r="B1452" s="7" t="inlineStr">
        <is>
          <t>Kuwait</t>
        </is>
      </c>
      <c r="C1452" s="7" t="inlineStr">
        <is>
          <t>Middle East &amp; North Africa</t>
        </is>
      </c>
      <c r="D1452" s="7" t="inlineStr">
        <is>
          <t>High income</t>
        </is>
      </c>
      <c r="E1452" s="7" t="b">
        <v>0</v>
      </c>
      <c r="F1452" s="7" t="inlineStr">
        <is>
          <t>fuel_exports_pct_merch</t>
        </is>
      </c>
      <c r="G1452" s="7" t="n">
        <v>90.732</v>
      </c>
      <c r="H1452" s="7" t="inlineStr">
        <is>
          <t>2024</t>
        </is>
      </c>
      <c r="I1452" s="7" t="inlineStr">
        <is>
          <t>API_TX_VAL_FUEL_ZS_UN_DS2_en_csv_v2_33055.zip</t>
        </is>
      </c>
    </row>
    <row r="1453">
      <c r="A1453" s="7" t="inlineStr">
        <is>
          <t>KWT</t>
        </is>
      </c>
      <c r="B1453" s="7" t="inlineStr">
        <is>
          <t>Kuwait</t>
        </is>
      </c>
      <c r="C1453" s="7" t="inlineStr">
        <is>
          <t>Middle East &amp; North Africa</t>
        </is>
      </c>
      <c r="D1453" s="7" t="inlineStr">
        <is>
          <t>High income</t>
        </is>
      </c>
      <c r="E1453" s="7" t="b">
        <v>0</v>
      </c>
      <c r="F1453" s="7" t="inlineStr">
        <is>
          <t>gen_coal_twh</t>
        </is>
      </c>
      <c r="G1453" s="7" t="n">
        <v>0</v>
      </c>
      <c r="H1453" s="7" t="n">
        <v>2024</v>
      </c>
      <c r="I1453" s="7" t="inlineStr">
        <is>
          <t>release_generation_yearly_global.csv (Ember)</t>
        </is>
      </c>
    </row>
    <row r="1454">
      <c r="A1454" s="7" t="inlineStr">
        <is>
          <t>KWT</t>
        </is>
      </c>
      <c r="B1454" s="7" t="inlineStr">
        <is>
          <t>Kuwait</t>
        </is>
      </c>
      <c r="C1454" s="7" t="inlineStr">
        <is>
          <t>Middle East &amp; North Africa</t>
        </is>
      </c>
      <c r="D1454" s="7" t="inlineStr">
        <is>
          <t>High income</t>
        </is>
      </c>
      <c r="E1454" s="7" t="b">
        <v>0</v>
      </c>
      <c r="F1454" s="7" t="inlineStr">
        <is>
          <t>gen_gas_twh</t>
        </is>
      </c>
      <c r="G1454" s="7" t="n">
        <v>57.42</v>
      </c>
      <c r="H1454" s="7" t="n">
        <v>2024</v>
      </c>
      <c r="I1454" s="7" t="inlineStr">
        <is>
          <t>release_generation_yearly_global.csv (Ember)</t>
        </is>
      </c>
    </row>
    <row r="1455">
      <c r="A1455" s="7" t="inlineStr">
        <is>
          <t>KWT</t>
        </is>
      </c>
      <c r="B1455" s="7" t="inlineStr">
        <is>
          <t>Kuwait</t>
        </is>
      </c>
      <c r="C1455" s="7" t="inlineStr">
        <is>
          <t>Middle East &amp; North Africa</t>
        </is>
      </c>
      <c r="D1455" s="7" t="inlineStr">
        <is>
          <t>High income</t>
        </is>
      </c>
      <c r="E1455" s="7" t="b">
        <v>0</v>
      </c>
      <c r="F1455" s="7" t="inlineStr">
        <is>
          <t>gen_oil_twh</t>
        </is>
      </c>
      <c r="G1455" s="7" t="n">
        <v>33</v>
      </c>
      <c r="H1455" s="7" t="n">
        <v>2024</v>
      </c>
      <c r="I1455" s="7" t="inlineStr">
        <is>
          <t>release_generation_yearly_global.csv (Ember)</t>
        </is>
      </c>
    </row>
    <row r="1456">
      <c r="A1456" s="7" t="inlineStr">
        <is>
          <t>KWT</t>
        </is>
      </c>
      <c r="B1456" s="7" t="inlineStr">
        <is>
          <t>Kuwait</t>
        </is>
      </c>
      <c r="C1456" s="7" t="inlineStr">
        <is>
          <t>Middle East &amp; North Africa</t>
        </is>
      </c>
      <c r="D1456" s="7" t="inlineStr">
        <is>
          <t>High income</t>
        </is>
      </c>
      <c r="E1456" s="7" t="b">
        <v>0</v>
      </c>
      <c r="F1456" s="7" t="inlineStr">
        <is>
          <t>gen_total_twh</t>
        </is>
      </c>
      <c r="G1456" s="7" t="n">
        <v>92.48999999999999</v>
      </c>
      <c r="H1456" s="7" t="n">
        <v>2024</v>
      </c>
      <c r="I1456" s="7" t="inlineStr">
        <is>
          <t>release_generation_yearly_global.csv (Ember)</t>
        </is>
      </c>
    </row>
    <row r="1457">
      <c r="A1457" s="7" t="inlineStr">
        <is>
          <t>KWT</t>
        </is>
      </c>
      <c r="B1457" s="7" t="inlineStr">
        <is>
          <t>Kuwait</t>
        </is>
      </c>
      <c r="C1457" s="7" t="inlineStr">
        <is>
          <t>Middle East &amp; North Africa</t>
        </is>
      </c>
      <c r="D1457" s="7" t="inlineStr">
        <is>
          <t>High income</t>
        </is>
      </c>
      <c r="E1457" s="7" t="b">
        <v>0</v>
      </c>
      <c r="F1457" s="7" t="inlineStr">
        <is>
          <t>power_market_structure</t>
        </is>
      </c>
      <c r="G1457" s="7" t="n">
        <v>1</v>
      </c>
      <c r="H1457" s="7" t="inlineStr">
        <is>
          <t>2013</t>
        </is>
      </c>
      <c r="I1457" s="7" t="inlineStr">
        <is>
          <t>dataverse_files.zip</t>
        </is>
      </c>
    </row>
    <row r="1458">
      <c r="A1458" s="7" t="inlineStr">
        <is>
          <t>KWT</t>
        </is>
      </c>
      <c r="B1458" s="7" t="inlineStr">
        <is>
          <t>Kuwait</t>
        </is>
      </c>
      <c r="C1458" s="7" t="inlineStr">
        <is>
          <t>Middle East &amp; North Africa</t>
        </is>
      </c>
      <c r="D1458" s="7" t="inlineStr">
        <is>
          <t>High income</t>
        </is>
      </c>
      <c r="E1458" s="7" t="b">
        <v>0</v>
      </c>
      <c r="F1458" s="7" t="inlineStr">
        <is>
          <t>price_coal_power_usd_gj</t>
        </is>
      </c>
      <c r="G1458" s="7" t="n">
        <v>5.787</v>
      </c>
      <c r="H1458" s="7" t="inlineStr">
        <is>
          <t>2024</t>
        </is>
      </c>
      <c r="I1458" s="7" t="inlineStr">
        <is>
          <t>imffossilfuelsubsidiesdata.xlsb</t>
        </is>
      </c>
    </row>
    <row r="1459">
      <c r="A1459" s="7" t="inlineStr">
        <is>
          <t>KWT</t>
        </is>
      </c>
      <c r="B1459" s="7" t="inlineStr">
        <is>
          <t>Kuwait</t>
        </is>
      </c>
      <c r="C1459" s="7" t="inlineStr">
        <is>
          <t>Middle East &amp; North Africa</t>
        </is>
      </c>
      <c r="D1459" s="7" t="inlineStr">
        <is>
          <t>High income</t>
        </is>
      </c>
      <c r="E1459" s="7" t="b">
        <v>0</v>
      </c>
      <c r="F1459" s="7" t="inlineStr">
        <is>
          <t>price_electricity_residential_usd_kwh</t>
        </is>
      </c>
      <c r="G1459" s="7" t="n">
        <v>0.029</v>
      </c>
      <c r="H1459" s="7" t="inlineStr">
        <is>
          <t>2024</t>
        </is>
      </c>
      <c r="I1459" s="7" t="inlineStr">
        <is>
          <t>imffossilfuelsubsidiesdata.xlsb</t>
        </is>
      </c>
    </row>
    <row r="1460">
      <c r="A1460" s="7" t="inlineStr">
        <is>
          <t>KWT</t>
        </is>
      </c>
      <c r="B1460" s="7" t="inlineStr">
        <is>
          <t>Kuwait</t>
        </is>
      </c>
      <c r="C1460" s="7" t="inlineStr">
        <is>
          <t>Middle East &amp; North Africa</t>
        </is>
      </c>
      <c r="D1460" s="7" t="inlineStr">
        <is>
          <t>High income</t>
        </is>
      </c>
      <c r="E1460" s="7" t="b">
        <v>0</v>
      </c>
      <c r="F1460" s="7" t="inlineStr">
        <is>
          <t>price_gas_industry_usd_gj</t>
        </is>
      </c>
      <c r="G1460" s="7" t="n">
        <v>4.866</v>
      </c>
      <c r="H1460" s="7" t="inlineStr">
        <is>
          <t>2024</t>
        </is>
      </c>
      <c r="I1460" s="7" t="inlineStr">
        <is>
          <t>imffossilfuelsubsidiesdata.xlsb</t>
        </is>
      </c>
    </row>
    <row r="1461">
      <c r="A1461" s="7" t="inlineStr">
        <is>
          <t>KWT</t>
        </is>
      </c>
      <c r="B1461" s="7" t="inlineStr">
        <is>
          <t>Kuwait</t>
        </is>
      </c>
      <c r="C1461" s="7" t="inlineStr">
        <is>
          <t>Middle East &amp; North Africa</t>
        </is>
      </c>
      <c r="D1461" s="7" t="inlineStr">
        <is>
          <t>High income</t>
        </is>
      </c>
      <c r="E1461" s="7" t="b">
        <v>0</v>
      </c>
      <c r="F1461" s="7" t="inlineStr">
        <is>
          <t>price_gas_power_usd_gj</t>
        </is>
      </c>
      <c r="G1461" s="7" t="n">
        <v>5.493</v>
      </c>
      <c r="H1461" s="7" t="inlineStr">
        <is>
          <t>2024</t>
        </is>
      </c>
      <c r="I1461" s="7" t="inlineStr">
        <is>
          <t>imffossilfuelsubsidiesdata.xlsb</t>
        </is>
      </c>
    </row>
    <row r="1462">
      <c r="A1462" s="7" t="inlineStr">
        <is>
          <t>KWT</t>
        </is>
      </c>
      <c r="B1462" s="7" t="inlineStr">
        <is>
          <t>Kuwait</t>
        </is>
      </c>
      <c r="C1462" s="7" t="inlineStr">
        <is>
          <t>Middle East &amp; North Africa</t>
        </is>
      </c>
      <c r="D1462" s="7" t="inlineStr">
        <is>
          <t>High income</t>
        </is>
      </c>
      <c r="E1462" s="7" t="b">
        <v>0</v>
      </c>
      <c r="F1462" s="7" t="inlineStr">
        <is>
          <t>rise_renewable_energy_score</t>
        </is>
      </c>
      <c r="G1462" s="7" t="n">
        <v>11.759</v>
      </c>
      <c r="H1462" s="7" t="inlineStr">
        <is>
          <t>2023</t>
        </is>
      </c>
      <c r="I1462" s="7" t="inlineStr">
        <is>
          <t>WB_RISE_WIDEF.csv</t>
        </is>
      </c>
    </row>
    <row r="1463">
      <c r="A1463" s="7" t="inlineStr">
        <is>
          <t>LAO</t>
        </is>
      </c>
      <c r="B1463" s="7" t="inlineStr">
        <is>
          <t>Lao PDR</t>
        </is>
      </c>
      <c r="C1463" s="7" t="inlineStr">
        <is>
          <t>East Asia &amp; Pacific</t>
        </is>
      </c>
      <c r="D1463" s="7" t="inlineStr">
        <is>
          <t>Lower middle income</t>
        </is>
      </c>
      <c r="E1463" s="7" t="b">
        <v>1</v>
      </c>
      <c r="F1463" s="7" t="inlineStr">
        <is>
          <t>coal_rents_pct_gdp</t>
        </is>
      </c>
      <c r="G1463" s="7" t="n">
        <v>0.23</v>
      </c>
      <c r="H1463" s="7" t="inlineStr">
        <is>
          <t>2012</t>
        </is>
      </c>
      <c r="I1463" s="7" t="inlineStr">
        <is>
          <t>API_NY_GDP_COAL_RT_ZS_DS2_en_csv_v2_35370.zip</t>
        </is>
      </c>
    </row>
    <row r="1464">
      <c r="A1464" s="7" t="inlineStr">
        <is>
          <t>LAO</t>
        </is>
      </c>
      <c r="B1464" s="7" t="inlineStr">
        <is>
          <t>Lao PDR</t>
        </is>
      </c>
      <c r="C1464" s="7" t="inlineStr">
        <is>
          <t>East Asia &amp; Pacific</t>
        </is>
      </c>
      <c r="D1464" s="7" t="inlineStr">
        <is>
          <t>Lower middle income</t>
        </is>
      </c>
      <c r="E1464" s="7" t="b">
        <v>1</v>
      </c>
      <c r="F1464" s="7" t="inlineStr">
        <is>
          <t>em_coal_mt</t>
        </is>
      </c>
      <c r="G1464" s="7" t="n">
        <v>11.177</v>
      </c>
      <c r="H1464" s="7" t="n">
        <v>2024</v>
      </c>
      <c r="I1464" s="7" t="inlineStr">
        <is>
          <t>release_generation_yearly_global.csv (Ember)</t>
        </is>
      </c>
    </row>
    <row r="1465">
      <c r="A1465" s="7" t="inlineStr">
        <is>
          <t>LAO</t>
        </is>
      </c>
      <c r="B1465" s="7" t="inlineStr">
        <is>
          <t>Lao PDR</t>
        </is>
      </c>
      <c r="C1465" s="7" t="inlineStr">
        <is>
          <t>East Asia &amp; Pacific</t>
        </is>
      </c>
      <c r="D1465" s="7" t="inlineStr">
        <is>
          <t>Lower middle income</t>
        </is>
      </c>
      <c r="E1465" s="7" t="b">
        <v>1</v>
      </c>
      <c r="F1465" s="7" t="inlineStr">
        <is>
          <t>em_gas_mt</t>
        </is>
      </c>
      <c r="G1465" s="7" t="n">
        <v>0</v>
      </c>
      <c r="H1465" s="7" t="n">
        <v>2024</v>
      </c>
      <c r="I1465" s="7" t="inlineStr">
        <is>
          <t>release_generation_yearly_global.csv (Ember)</t>
        </is>
      </c>
    </row>
    <row r="1466">
      <c r="A1466" s="7" t="inlineStr">
        <is>
          <t>LAO</t>
        </is>
      </c>
      <c r="B1466" s="7" t="inlineStr">
        <is>
          <t>Lao PDR</t>
        </is>
      </c>
      <c r="C1466" s="7" t="inlineStr">
        <is>
          <t>East Asia &amp; Pacific</t>
        </is>
      </c>
      <c r="D1466" s="7" t="inlineStr">
        <is>
          <t>Lower middle income</t>
        </is>
      </c>
      <c r="E1466" s="7" t="b">
        <v>1</v>
      </c>
      <c r="F1466" s="7" t="inlineStr">
        <is>
          <t>em_oil_mt</t>
        </is>
      </c>
      <c r="G1466" s="7" t="n">
        <v>0</v>
      </c>
      <c r="H1466" s="7" t="n">
        <v>2024</v>
      </c>
      <c r="I1466" s="7" t="inlineStr">
        <is>
          <t>release_generation_yearly_global.csv (Ember)</t>
        </is>
      </c>
    </row>
    <row r="1467">
      <c r="A1467" s="7" t="inlineStr">
        <is>
          <t>LAO</t>
        </is>
      </c>
      <c r="B1467" s="7" t="inlineStr">
        <is>
          <t>Lao PDR</t>
        </is>
      </c>
      <c r="C1467" s="7" t="inlineStr">
        <is>
          <t>East Asia &amp; Pacific</t>
        </is>
      </c>
      <c r="D1467" s="7" t="inlineStr">
        <is>
          <t>Lower middle income</t>
        </is>
      </c>
      <c r="E1467" s="7" t="b">
        <v>1</v>
      </c>
      <c r="F1467" s="7" t="inlineStr">
        <is>
          <t>ff_subsidy_explicit_pct_gdp</t>
        </is>
      </c>
      <c r="G1467" s="7" t="n">
        <v>2.315</v>
      </c>
      <c r="H1467" s="7" t="inlineStr">
        <is>
          <t>2024</t>
        </is>
      </c>
      <c r="I1467" s="7" t="inlineStr">
        <is>
          <t>imffossilfuelsubsidiesdata.xlsb</t>
        </is>
      </c>
    </row>
    <row r="1468">
      <c r="A1468" s="7" t="inlineStr">
        <is>
          <t>LAO</t>
        </is>
      </c>
      <c r="B1468" s="7" t="inlineStr">
        <is>
          <t>Lao PDR</t>
        </is>
      </c>
      <c r="C1468" s="7" t="inlineStr">
        <is>
          <t>East Asia &amp; Pacific</t>
        </is>
      </c>
      <c r="D1468" s="7" t="inlineStr">
        <is>
          <t>Lower middle income</t>
        </is>
      </c>
      <c r="E1468" s="7" t="b">
        <v>1</v>
      </c>
      <c r="F1468" s="7" t="inlineStr">
        <is>
          <t>fuel_exports_pct_merch</t>
        </is>
      </c>
      <c r="G1468" s="7" t="n">
        <v>1.827</v>
      </c>
      <c r="H1468" s="7" t="inlineStr">
        <is>
          <t>2023</t>
        </is>
      </c>
      <c r="I1468" s="7" t="inlineStr">
        <is>
          <t>API_TX_VAL_FUEL_ZS_UN_DS2_en_csv_v2_33055.zip</t>
        </is>
      </c>
    </row>
    <row r="1469">
      <c r="A1469" s="7" t="inlineStr">
        <is>
          <t>LAO</t>
        </is>
      </c>
      <c r="B1469" s="7" t="inlineStr">
        <is>
          <t>Lao PDR</t>
        </is>
      </c>
      <c r="C1469" s="7" t="inlineStr">
        <is>
          <t>East Asia &amp; Pacific</t>
        </is>
      </c>
      <c r="D1469" s="7" t="inlineStr">
        <is>
          <t>Lower middle income</t>
        </is>
      </c>
      <c r="E1469" s="7" t="b">
        <v>1</v>
      </c>
      <c r="F1469" s="7" t="inlineStr">
        <is>
          <t>gen_coal_twh</t>
        </is>
      </c>
      <c r="G1469" s="7" t="n">
        <v>12.18</v>
      </c>
      <c r="H1469" s="7" t="n">
        <v>2024</v>
      </c>
      <c r="I1469" s="7" t="inlineStr">
        <is>
          <t>release_generation_yearly_global.csv (Ember)</t>
        </is>
      </c>
    </row>
    <row r="1470">
      <c r="A1470" s="7" t="inlineStr">
        <is>
          <t>LAO</t>
        </is>
      </c>
      <c r="B1470" s="7" t="inlineStr">
        <is>
          <t>Lao PDR</t>
        </is>
      </c>
      <c r="C1470" s="7" t="inlineStr">
        <is>
          <t>East Asia &amp; Pacific</t>
        </is>
      </c>
      <c r="D1470" s="7" t="inlineStr">
        <is>
          <t>Lower middle income</t>
        </is>
      </c>
      <c r="E1470" s="7" t="b">
        <v>1</v>
      </c>
      <c r="F1470" s="7" t="inlineStr">
        <is>
          <t>gen_gas_twh</t>
        </is>
      </c>
      <c r="G1470" s="7" t="n">
        <v>0</v>
      </c>
      <c r="H1470" s="7" t="n">
        <v>2024</v>
      </c>
      <c r="I1470" s="7" t="inlineStr">
        <is>
          <t>release_generation_yearly_global.csv (Ember)</t>
        </is>
      </c>
    </row>
    <row r="1471">
      <c r="A1471" s="7" t="inlineStr">
        <is>
          <t>LAO</t>
        </is>
      </c>
      <c r="B1471" s="7" t="inlineStr">
        <is>
          <t>Lao PDR</t>
        </is>
      </c>
      <c r="C1471" s="7" t="inlineStr">
        <is>
          <t>East Asia &amp; Pacific</t>
        </is>
      </c>
      <c r="D1471" s="7" t="inlineStr">
        <is>
          <t>Lower middle income</t>
        </is>
      </c>
      <c r="E1471" s="7" t="b">
        <v>1</v>
      </c>
      <c r="F1471" s="7" t="inlineStr">
        <is>
          <t>gen_oil_twh</t>
        </is>
      </c>
      <c r="G1471" s="7" t="n">
        <v>0</v>
      </c>
      <c r="H1471" s="7" t="n">
        <v>2024</v>
      </c>
      <c r="I1471" s="7" t="inlineStr">
        <is>
          <t>release_generation_yearly_global.csv (Ember)</t>
        </is>
      </c>
    </row>
    <row r="1472">
      <c r="A1472" s="7" t="inlineStr">
        <is>
          <t>LAO</t>
        </is>
      </c>
      <c r="B1472" s="7" t="inlineStr">
        <is>
          <t>Lao PDR</t>
        </is>
      </c>
      <c r="C1472" s="7" t="inlineStr">
        <is>
          <t>East Asia &amp; Pacific</t>
        </is>
      </c>
      <c r="D1472" s="7" t="inlineStr">
        <is>
          <t>Lower middle income</t>
        </is>
      </c>
      <c r="E1472" s="7" t="b">
        <v>1</v>
      </c>
      <c r="F1472" s="7" t="inlineStr">
        <is>
          <t>gen_total_twh</t>
        </is>
      </c>
      <c r="G1472" s="7" t="n">
        <v>52.31</v>
      </c>
      <c r="H1472" s="7" t="n">
        <v>2024</v>
      </c>
      <c r="I1472" s="7" t="inlineStr">
        <is>
          <t>release_generation_yearly_global.csv (Ember)</t>
        </is>
      </c>
    </row>
    <row r="1473">
      <c r="A1473" s="7" t="inlineStr">
        <is>
          <t>LAO</t>
        </is>
      </c>
      <c r="B1473" s="7" t="inlineStr">
        <is>
          <t>Lao PDR</t>
        </is>
      </c>
      <c r="C1473" s="7" t="inlineStr">
        <is>
          <t>East Asia &amp; Pacific</t>
        </is>
      </c>
      <c r="D1473" s="7" t="inlineStr">
        <is>
          <t>Lower middle income</t>
        </is>
      </c>
      <c r="E1473" s="7" t="b">
        <v>1</v>
      </c>
      <c r="F1473" s="7" t="inlineStr">
        <is>
          <t>power_market_structure</t>
        </is>
      </c>
      <c r="G1473" s="7" t="n">
        <v>2</v>
      </c>
      <c r="H1473" s="7" t="inlineStr">
        <is>
          <t>2013</t>
        </is>
      </c>
      <c r="I1473" s="7" t="inlineStr">
        <is>
          <t>dataverse_files.zip</t>
        </is>
      </c>
    </row>
    <row r="1474">
      <c r="A1474" s="7" t="inlineStr">
        <is>
          <t>LAO</t>
        </is>
      </c>
      <c r="B1474" s="7" t="inlineStr">
        <is>
          <t>Lao PDR</t>
        </is>
      </c>
      <c r="C1474" s="7" t="inlineStr">
        <is>
          <t>East Asia &amp; Pacific</t>
        </is>
      </c>
      <c r="D1474" s="7" t="inlineStr">
        <is>
          <t>Lower middle income</t>
        </is>
      </c>
      <c r="E1474" s="7" t="b">
        <v>1</v>
      </c>
      <c r="F1474" s="7" t="inlineStr">
        <is>
          <t>price_coal_power_usd_gj</t>
        </is>
      </c>
      <c r="G1474" s="7" t="n">
        <v>0.71</v>
      </c>
      <c r="H1474" s="7" t="inlineStr">
        <is>
          <t>2024</t>
        </is>
      </c>
      <c r="I1474" s="7" t="inlineStr">
        <is>
          <t>imffossilfuelsubsidiesdata.xlsb</t>
        </is>
      </c>
    </row>
    <row r="1475">
      <c r="A1475" s="7" t="inlineStr">
        <is>
          <t>LAO</t>
        </is>
      </c>
      <c r="B1475" s="7" t="inlineStr">
        <is>
          <t>Lao PDR</t>
        </is>
      </c>
      <c r="C1475" s="7" t="inlineStr">
        <is>
          <t>East Asia &amp; Pacific</t>
        </is>
      </c>
      <c r="D1475" s="7" t="inlineStr">
        <is>
          <t>Lower middle income</t>
        </is>
      </c>
      <c r="E1475" s="7" t="b">
        <v>1</v>
      </c>
      <c r="F1475" s="7" t="inlineStr">
        <is>
          <t>price_electricity_residential_usd_kwh</t>
        </is>
      </c>
      <c r="G1475" s="7" t="n">
        <v>0.021</v>
      </c>
      <c r="H1475" s="7" t="inlineStr">
        <is>
          <t>2024</t>
        </is>
      </c>
      <c r="I1475" s="7" t="inlineStr">
        <is>
          <t>imffossilfuelsubsidiesdata.xlsb</t>
        </is>
      </c>
    </row>
    <row r="1476">
      <c r="A1476" s="7" t="inlineStr">
        <is>
          <t>LAO</t>
        </is>
      </c>
      <c r="B1476" s="7" t="inlineStr">
        <is>
          <t>Lao PDR</t>
        </is>
      </c>
      <c r="C1476" s="7" t="inlineStr">
        <is>
          <t>East Asia &amp; Pacific</t>
        </is>
      </c>
      <c r="D1476" s="7" t="inlineStr">
        <is>
          <t>Lower middle income</t>
        </is>
      </c>
      <c r="E1476" s="7" t="b">
        <v>1</v>
      </c>
      <c r="F1476" s="7" t="inlineStr">
        <is>
          <t>price_gas_industry_usd_gj</t>
        </is>
      </c>
      <c r="G1476" s="7" t="n">
        <v>8.18</v>
      </c>
      <c r="H1476" s="7" t="inlineStr">
        <is>
          <t>2024</t>
        </is>
      </c>
      <c r="I1476" s="7" t="inlineStr">
        <is>
          <t>imffossilfuelsubsidiesdata.xlsb</t>
        </is>
      </c>
    </row>
    <row r="1477">
      <c r="A1477" s="7" t="inlineStr">
        <is>
          <t>LAO</t>
        </is>
      </c>
      <c r="B1477" s="7" t="inlineStr">
        <is>
          <t>Lao PDR</t>
        </is>
      </c>
      <c r="C1477" s="7" t="inlineStr">
        <is>
          <t>East Asia &amp; Pacific</t>
        </is>
      </c>
      <c r="D1477" s="7" t="inlineStr">
        <is>
          <t>Lower middle income</t>
        </is>
      </c>
      <c r="E1477" s="7" t="b">
        <v>1</v>
      </c>
      <c r="F1477" s="7" t="inlineStr">
        <is>
          <t>price_gas_power_usd_gj</t>
        </is>
      </c>
      <c r="G1477" s="7" t="n">
        <v>6.857</v>
      </c>
      <c r="H1477" s="7" t="inlineStr">
        <is>
          <t>2024</t>
        </is>
      </c>
      <c r="I1477" s="7" t="inlineStr">
        <is>
          <t>imffossilfuelsubsidiesdata.xlsb</t>
        </is>
      </c>
    </row>
    <row r="1478">
      <c r="A1478" s="7" t="inlineStr">
        <is>
          <t>LAO</t>
        </is>
      </c>
      <c r="B1478" s="7" t="inlineStr">
        <is>
          <t>Lao PDR</t>
        </is>
      </c>
      <c r="C1478" s="7" t="inlineStr">
        <is>
          <t>East Asia &amp; Pacific</t>
        </is>
      </c>
      <c r="D1478" s="7" t="inlineStr">
        <is>
          <t>Lower middle income</t>
        </is>
      </c>
      <c r="E1478" s="7" t="b">
        <v>1</v>
      </c>
      <c r="F1478" s="7" t="inlineStr">
        <is>
          <t>rise_renewable_energy_score</t>
        </is>
      </c>
      <c r="G1478" s="7" t="n">
        <v>23.894</v>
      </c>
      <c r="H1478" s="7" t="inlineStr">
        <is>
          <t>2023</t>
        </is>
      </c>
      <c r="I1478" s="7" t="inlineStr">
        <is>
          <t>WB_RISE_WIDEF.csv</t>
        </is>
      </c>
    </row>
    <row r="1479">
      <c r="A1479" s="7" t="inlineStr">
        <is>
          <t>LBN</t>
        </is>
      </c>
      <c r="B1479" s="7" t="inlineStr">
        <is>
          <t>Lebanon</t>
        </is>
      </c>
      <c r="C1479" s="7" t="inlineStr">
        <is>
          <t>Middle East &amp; North Africa</t>
        </is>
      </c>
      <c r="D1479" s="7" t="inlineStr">
        <is>
          <t>Lower middle income</t>
        </is>
      </c>
      <c r="E1479" s="7" t="b">
        <v>1</v>
      </c>
      <c r="F1479" s="7" t="inlineStr">
        <is>
          <t>coal_rents_pct_gdp</t>
        </is>
      </c>
      <c r="G1479" s="7" t="n">
        <v>0</v>
      </c>
      <c r="H1479" s="7" t="inlineStr">
        <is>
          <t>2021</t>
        </is>
      </c>
      <c r="I1479" s="7" t="inlineStr">
        <is>
          <t>API_NY_GDP_COAL_RT_ZS_DS2_en_csv_v2_35370.zip</t>
        </is>
      </c>
    </row>
    <row r="1480">
      <c r="A1480" s="7" t="inlineStr">
        <is>
          <t>LBN</t>
        </is>
      </c>
      <c r="B1480" s="7" t="inlineStr">
        <is>
          <t>Lebanon</t>
        </is>
      </c>
      <c r="C1480" s="7" t="inlineStr">
        <is>
          <t>Middle East &amp; North Africa</t>
        </is>
      </c>
      <c r="D1480" s="7" t="inlineStr">
        <is>
          <t>Lower middle income</t>
        </is>
      </c>
      <c r="E1480" s="7" t="b">
        <v>1</v>
      </c>
      <c r="F1480" s="7" t="inlineStr">
        <is>
          <t>em_coal_mt</t>
        </is>
      </c>
      <c r="G1480" s="7" t="n">
        <v>0</v>
      </c>
      <c r="H1480" s="7" t="n">
        <v>2024</v>
      </c>
      <c r="I1480" s="7" t="inlineStr">
        <is>
          <t>release_generation_yearly_global.csv (Ember)</t>
        </is>
      </c>
    </row>
    <row r="1481">
      <c r="A1481" s="7" t="inlineStr">
        <is>
          <t>LBN</t>
        </is>
      </c>
      <c r="B1481" s="7" t="inlineStr">
        <is>
          <t>Lebanon</t>
        </is>
      </c>
      <c r="C1481" s="7" t="inlineStr">
        <is>
          <t>Middle East &amp; North Africa</t>
        </is>
      </c>
      <c r="D1481" s="7" t="inlineStr">
        <is>
          <t>Lower middle income</t>
        </is>
      </c>
      <c r="E1481" s="7" t="b">
        <v>1</v>
      </c>
      <c r="F1481" s="7" t="inlineStr">
        <is>
          <t>em_gas_mt</t>
        </is>
      </c>
      <c r="G1481" s="7" t="n">
        <v>0</v>
      </c>
      <c r="H1481" s="7" t="n">
        <v>2024</v>
      </c>
      <c r="I1481" s="7" t="inlineStr">
        <is>
          <t>release_generation_yearly_global.csv (Ember)</t>
        </is>
      </c>
    </row>
    <row r="1482">
      <c r="A1482" s="7" t="inlineStr">
        <is>
          <t>LBN</t>
        </is>
      </c>
      <c r="B1482" s="7" t="inlineStr">
        <is>
          <t>Lebanon</t>
        </is>
      </c>
      <c r="C1482" s="7" t="inlineStr">
        <is>
          <t>Middle East &amp; North Africa</t>
        </is>
      </c>
      <c r="D1482" s="7" t="inlineStr">
        <is>
          <t>Lower middle income</t>
        </is>
      </c>
      <c r="E1482" s="7" t="b">
        <v>1</v>
      </c>
      <c r="F1482" s="7" t="inlineStr">
        <is>
          <t>em_oil_mt</t>
        </is>
      </c>
      <c r="G1482" s="7" t="n">
        <v>1.974</v>
      </c>
      <c r="H1482" s="7" t="n">
        <v>2024</v>
      </c>
      <c r="I1482" s="7" t="inlineStr">
        <is>
          <t>release_generation_yearly_global.csv (Ember)</t>
        </is>
      </c>
    </row>
    <row r="1483">
      <c r="A1483" s="7" t="inlineStr">
        <is>
          <t>LBN</t>
        </is>
      </c>
      <c r="B1483" s="7" t="inlineStr">
        <is>
          <t>Lebanon</t>
        </is>
      </c>
      <c r="C1483" s="7" t="inlineStr">
        <is>
          <t>Middle East &amp; North Africa</t>
        </is>
      </c>
      <c r="D1483" s="7" t="inlineStr">
        <is>
          <t>Lower middle income</t>
        </is>
      </c>
      <c r="E1483" s="7" t="b">
        <v>1</v>
      </c>
      <c r="F1483" s="7" t="inlineStr">
        <is>
          <t>ff_subsidy_explicit_pct_gdp</t>
        </is>
      </c>
      <c r="G1483" s="7" t="n">
        <v>13.102</v>
      </c>
      <c r="H1483" s="7" t="inlineStr">
        <is>
          <t>2024</t>
        </is>
      </c>
      <c r="I1483" s="7" t="inlineStr">
        <is>
          <t>imffossilfuelsubsidiesdata.xlsb</t>
        </is>
      </c>
    </row>
    <row r="1484">
      <c r="A1484" s="7" t="inlineStr">
        <is>
          <t>LBN</t>
        </is>
      </c>
      <c r="B1484" s="7" t="inlineStr">
        <is>
          <t>Lebanon</t>
        </is>
      </c>
      <c r="C1484" s="7" t="inlineStr">
        <is>
          <t>Middle East &amp; North Africa</t>
        </is>
      </c>
      <c r="D1484" s="7" t="inlineStr">
        <is>
          <t>Lower middle income</t>
        </is>
      </c>
      <c r="E1484" s="7" t="b">
        <v>1</v>
      </c>
      <c r="F1484" s="7" t="inlineStr">
        <is>
          <t>fuel_exports_pct_merch</t>
        </is>
      </c>
      <c r="G1484" s="7" t="n">
        <v>7.709</v>
      </c>
      <c r="H1484" s="7" t="inlineStr">
        <is>
          <t>2024</t>
        </is>
      </c>
      <c r="I1484" s="7" t="inlineStr">
        <is>
          <t>API_TX_VAL_FUEL_ZS_UN_DS2_en_csv_v2_33055.zip</t>
        </is>
      </c>
    </row>
    <row r="1485">
      <c r="A1485" s="7" t="inlineStr">
        <is>
          <t>LBN</t>
        </is>
      </c>
      <c r="B1485" s="7" t="inlineStr">
        <is>
          <t>Lebanon</t>
        </is>
      </c>
      <c r="C1485" s="7" t="inlineStr">
        <is>
          <t>Middle East &amp; North Africa</t>
        </is>
      </c>
      <c r="D1485" s="7" t="inlineStr">
        <is>
          <t>Lower middle income</t>
        </is>
      </c>
      <c r="E1485" s="7" t="b">
        <v>1</v>
      </c>
      <c r="F1485" s="7" t="inlineStr">
        <is>
          <t>gen_coal_twh</t>
        </is>
      </c>
      <c r="G1485" s="7" t="n">
        <v>0</v>
      </c>
      <c r="H1485" s="7" t="n">
        <v>2024</v>
      </c>
      <c r="I1485" s="7" t="inlineStr">
        <is>
          <t>release_generation_yearly_global.csv (Ember)</t>
        </is>
      </c>
    </row>
    <row r="1486">
      <c r="A1486" s="7" t="inlineStr">
        <is>
          <t>LBN</t>
        </is>
      </c>
      <c r="B1486" s="7" t="inlineStr">
        <is>
          <t>Lebanon</t>
        </is>
      </c>
      <c r="C1486" s="7" t="inlineStr">
        <is>
          <t>Middle East &amp; North Africa</t>
        </is>
      </c>
      <c r="D1486" s="7" t="inlineStr">
        <is>
          <t>Lower middle income</t>
        </is>
      </c>
      <c r="E1486" s="7" t="b">
        <v>1</v>
      </c>
      <c r="F1486" s="7" t="inlineStr">
        <is>
          <t>gen_gas_twh</t>
        </is>
      </c>
      <c r="G1486" s="7" t="n">
        <v>0</v>
      </c>
      <c r="H1486" s="7" t="n">
        <v>2024</v>
      </c>
      <c r="I1486" s="7" t="inlineStr">
        <is>
          <t>release_generation_yearly_global.csv (Ember)</t>
        </is>
      </c>
    </row>
    <row r="1487">
      <c r="A1487" s="7" t="inlineStr">
        <is>
          <t>LBN</t>
        </is>
      </c>
      <c r="B1487" s="7" t="inlineStr">
        <is>
          <t>Lebanon</t>
        </is>
      </c>
      <c r="C1487" s="7" t="inlineStr">
        <is>
          <t>Middle East &amp; North Africa</t>
        </is>
      </c>
      <c r="D1487" s="7" t="inlineStr">
        <is>
          <t>Lower middle income</t>
        </is>
      </c>
      <c r="E1487" s="7" t="b">
        <v>1</v>
      </c>
      <c r="F1487" s="7" t="inlineStr">
        <is>
          <t>gen_oil_twh</t>
        </is>
      </c>
      <c r="G1487" s="7" t="n">
        <v>3</v>
      </c>
      <c r="H1487" s="7" t="n">
        <v>2024</v>
      </c>
      <c r="I1487" s="7" t="inlineStr">
        <is>
          <t>release_generation_yearly_global.csv (Ember)</t>
        </is>
      </c>
    </row>
    <row r="1488">
      <c r="A1488" s="7" t="inlineStr">
        <is>
          <t>LBN</t>
        </is>
      </c>
      <c r="B1488" s="7" t="inlineStr">
        <is>
          <t>Lebanon</t>
        </is>
      </c>
      <c r="C1488" s="7" t="inlineStr">
        <is>
          <t>Middle East &amp; North Africa</t>
        </is>
      </c>
      <c r="D1488" s="7" t="inlineStr">
        <is>
          <t>Lower middle income</t>
        </is>
      </c>
      <c r="E1488" s="7" t="b">
        <v>1</v>
      </c>
      <c r="F1488" s="7" t="inlineStr">
        <is>
          <t>gen_total_twh</t>
        </is>
      </c>
      <c r="G1488" s="7" t="n">
        <v>5.34</v>
      </c>
      <c r="H1488" s="7" t="n">
        <v>2024</v>
      </c>
      <c r="I1488" s="7" t="inlineStr">
        <is>
          <t>release_generation_yearly_global.csv (Ember)</t>
        </is>
      </c>
    </row>
    <row r="1489">
      <c r="A1489" s="7" t="inlineStr">
        <is>
          <t>LBN</t>
        </is>
      </c>
      <c r="B1489" s="7" t="inlineStr">
        <is>
          <t>Lebanon</t>
        </is>
      </c>
      <c r="C1489" s="7" t="inlineStr">
        <is>
          <t>Middle East &amp; North Africa</t>
        </is>
      </c>
      <c r="D1489" s="7" t="inlineStr">
        <is>
          <t>Lower middle income</t>
        </is>
      </c>
      <c r="E1489" s="7" t="b">
        <v>1</v>
      </c>
      <c r="F1489" s="7" t="inlineStr">
        <is>
          <t>power_market_structure</t>
        </is>
      </c>
      <c r="G1489" s="7" t="n">
        <v>1</v>
      </c>
      <c r="H1489" s="7" t="inlineStr">
        <is>
          <t>2013</t>
        </is>
      </c>
      <c r="I1489" s="7" t="inlineStr">
        <is>
          <t>dataverse_files.zip</t>
        </is>
      </c>
    </row>
    <row r="1490">
      <c r="A1490" s="7" t="inlineStr">
        <is>
          <t>LBN</t>
        </is>
      </c>
      <c r="B1490" s="7" t="inlineStr">
        <is>
          <t>Lebanon</t>
        </is>
      </c>
      <c r="C1490" s="7" t="inlineStr">
        <is>
          <t>Middle East &amp; North Africa</t>
        </is>
      </c>
      <c r="D1490" s="7" t="inlineStr">
        <is>
          <t>Lower middle income</t>
        </is>
      </c>
      <c r="E1490" s="7" t="b">
        <v>1</v>
      </c>
      <c r="F1490" s="7" t="inlineStr">
        <is>
          <t>price_coal_power_usd_gj</t>
        </is>
      </c>
      <c r="G1490" s="7" t="n">
        <v>5.575</v>
      </c>
      <c r="H1490" s="7" t="inlineStr">
        <is>
          <t>2024</t>
        </is>
      </c>
      <c r="I1490" s="7" t="inlineStr">
        <is>
          <t>imffossilfuelsubsidiesdata.xlsb</t>
        </is>
      </c>
    </row>
    <row r="1491">
      <c r="A1491" s="7" t="inlineStr">
        <is>
          <t>LBN</t>
        </is>
      </c>
      <c r="B1491" s="7" t="inlineStr">
        <is>
          <t>Lebanon</t>
        </is>
      </c>
      <c r="C1491" s="7" t="inlineStr">
        <is>
          <t>Middle East &amp; North Africa</t>
        </is>
      </c>
      <c r="D1491" s="7" t="inlineStr">
        <is>
          <t>Lower middle income</t>
        </is>
      </c>
      <c r="E1491" s="7" t="b">
        <v>1</v>
      </c>
      <c r="F1491" s="7" t="inlineStr">
        <is>
          <t>price_electricity_residential_usd_kwh</t>
        </is>
      </c>
      <c r="G1491" s="7" t="n">
        <v>0.01</v>
      </c>
      <c r="H1491" s="7" t="inlineStr">
        <is>
          <t>2024</t>
        </is>
      </c>
      <c r="I1491" s="7" t="inlineStr">
        <is>
          <t>imffossilfuelsubsidiesdata.xlsb</t>
        </is>
      </c>
    </row>
    <row r="1492">
      <c r="A1492" s="7" t="inlineStr">
        <is>
          <t>LBN</t>
        </is>
      </c>
      <c r="B1492" s="7" t="inlineStr">
        <is>
          <t>Lebanon</t>
        </is>
      </c>
      <c r="C1492" s="7" t="inlineStr">
        <is>
          <t>Middle East &amp; North Africa</t>
        </is>
      </c>
      <c r="D1492" s="7" t="inlineStr">
        <is>
          <t>Lower middle income</t>
        </is>
      </c>
      <c r="E1492" s="7" t="b">
        <v>1</v>
      </c>
      <c r="F1492" s="7" t="inlineStr">
        <is>
          <t>price_gas_industry_usd_gj</t>
        </is>
      </c>
      <c r="G1492" s="7" t="n">
        <v>11.815</v>
      </c>
      <c r="H1492" s="7" t="inlineStr">
        <is>
          <t>2024</t>
        </is>
      </c>
      <c r="I1492" s="7" t="inlineStr">
        <is>
          <t>imffossilfuelsubsidiesdata.xlsb</t>
        </is>
      </c>
    </row>
    <row r="1493">
      <c r="A1493" s="7" t="inlineStr">
        <is>
          <t>LBN</t>
        </is>
      </c>
      <c r="B1493" s="7" t="inlineStr">
        <is>
          <t>Lebanon</t>
        </is>
      </c>
      <c r="C1493" s="7" t="inlineStr">
        <is>
          <t>Middle East &amp; North Africa</t>
        </is>
      </c>
      <c r="D1493" s="7" t="inlineStr">
        <is>
          <t>Lower middle income</t>
        </is>
      </c>
      <c r="E1493" s="7" t="b">
        <v>1</v>
      </c>
      <c r="F1493" s="7" t="inlineStr">
        <is>
          <t>price_gas_power_usd_gj</t>
        </is>
      </c>
      <c r="G1493" s="7" t="n">
        <v>10.492</v>
      </c>
      <c r="H1493" s="7" t="inlineStr">
        <is>
          <t>2024</t>
        </is>
      </c>
      <c r="I1493" s="7" t="inlineStr">
        <is>
          <t>imffossilfuelsubsidiesdata.xlsb</t>
        </is>
      </c>
    </row>
    <row r="1494">
      <c r="A1494" s="7" t="inlineStr">
        <is>
          <t>LBN</t>
        </is>
      </c>
      <c r="B1494" s="7" t="inlineStr">
        <is>
          <t>Lebanon</t>
        </is>
      </c>
      <c r="C1494" s="7" t="inlineStr">
        <is>
          <t>Middle East &amp; North Africa</t>
        </is>
      </c>
      <c r="D1494" s="7" t="inlineStr">
        <is>
          <t>Lower middle income</t>
        </is>
      </c>
      <c r="E1494" s="7" t="b">
        <v>1</v>
      </c>
      <c r="F1494" s="7" t="inlineStr">
        <is>
          <t>rise_renewable_energy_score</t>
        </is>
      </c>
      <c r="G1494" s="7" t="n">
        <v>33.381</v>
      </c>
      <c r="H1494" s="7" t="inlineStr">
        <is>
          <t>2023</t>
        </is>
      </c>
      <c r="I1494" s="7" t="inlineStr">
        <is>
          <t>WB_RISE_WIDEF.csv</t>
        </is>
      </c>
    </row>
    <row r="1495">
      <c r="A1495" s="7" t="inlineStr">
        <is>
          <t>LBR</t>
        </is>
      </c>
      <c r="B1495" s="7" t="inlineStr">
        <is>
          <t>Liberia</t>
        </is>
      </c>
      <c r="C1495" s="7" t="inlineStr">
        <is>
          <t>Sub-Saharan Africa</t>
        </is>
      </c>
      <c r="D1495" s="7" t="inlineStr">
        <is>
          <t>Low income</t>
        </is>
      </c>
      <c r="E1495" s="7" t="b">
        <v>1</v>
      </c>
      <c r="F1495" s="7" t="inlineStr">
        <is>
          <t>coal_rents_pct_gdp</t>
        </is>
      </c>
      <c r="G1495" s="7" t="n">
        <v>0</v>
      </c>
      <c r="H1495" s="7" t="inlineStr">
        <is>
          <t>2021</t>
        </is>
      </c>
      <c r="I1495" s="7" t="inlineStr">
        <is>
          <t>API_NY_GDP_COAL_RT_ZS_DS2_en_csv_v2_35370.zip</t>
        </is>
      </c>
    </row>
    <row r="1496">
      <c r="A1496" s="7" t="inlineStr">
        <is>
          <t>LBR</t>
        </is>
      </c>
      <c r="B1496" s="7" t="inlineStr">
        <is>
          <t>Liberia</t>
        </is>
      </c>
      <c r="C1496" s="7" t="inlineStr">
        <is>
          <t>Sub-Saharan Africa</t>
        </is>
      </c>
      <c r="D1496" s="7" t="inlineStr">
        <is>
          <t>Low income</t>
        </is>
      </c>
      <c r="E1496" s="7" t="b">
        <v>1</v>
      </c>
      <c r="F1496" s="7" t="inlineStr">
        <is>
          <t>em_coal_mt</t>
        </is>
      </c>
      <c r="G1496" s="7" t="n">
        <v>0</v>
      </c>
      <c r="H1496" s="7" t="n">
        <v>2024</v>
      </c>
      <c r="I1496" s="7" t="inlineStr">
        <is>
          <t>release_generation_yearly_global.csv (Ember)</t>
        </is>
      </c>
    </row>
    <row r="1497">
      <c r="A1497" s="7" t="inlineStr">
        <is>
          <t>LBR</t>
        </is>
      </c>
      <c r="B1497" s="7" t="inlineStr">
        <is>
          <t>Liberia</t>
        </is>
      </c>
      <c r="C1497" s="7" t="inlineStr">
        <is>
          <t>Sub-Saharan Africa</t>
        </is>
      </c>
      <c r="D1497" s="7" t="inlineStr">
        <is>
          <t>Low income</t>
        </is>
      </c>
      <c r="E1497" s="7" t="b">
        <v>1</v>
      </c>
      <c r="F1497" s="7" t="inlineStr">
        <is>
          <t>em_gas_mt</t>
        </is>
      </c>
      <c r="G1497" s="7" t="n">
        <v>0</v>
      </c>
      <c r="H1497" s="7" t="n">
        <v>2024</v>
      </c>
      <c r="I1497" s="7" t="inlineStr">
        <is>
          <t>release_generation_yearly_global.csv (Ember)</t>
        </is>
      </c>
    </row>
    <row r="1498">
      <c r="A1498" s="7" t="inlineStr">
        <is>
          <t>LBR</t>
        </is>
      </c>
      <c r="B1498" s="7" t="inlineStr">
        <is>
          <t>Liberia</t>
        </is>
      </c>
      <c r="C1498" s="7" t="inlineStr">
        <is>
          <t>Sub-Saharan Africa</t>
        </is>
      </c>
      <c r="D1498" s="7" t="inlineStr">
        <is>
          <t>Low income</t>
        </is>
      </c>
      <c r="E1498" s="7" t="b">
        <v>1</v>
      </c>
      <c r="F1498" s="7" t="inlineStr">
        <is>
          <t>em_oil_mt</t>
        </is>
      </c>
      <c r="G1498" s="7" t="n">
        <v>0.171</v>
      </c>
      <c r="H1498" s="7" t="n">
        <v>2024</v>
      </c>
      <c r="I1498" s="7" t="inlineStr">
        <is>
          <t>release_generation_yearly_global.csv (Ember)</t>
        </is>
      </c>
    </row>
    <row r="1499">
      <c r="A1499" s="7" t="inlineStr">
        <is>
          <t>LBR</t>
        </is>
      </c>
      <c r="B1499" s="7" t="inlineStr">
        <is>
          <t>Liberia</t>
        </is>
      </c>
      <c r="C1499" s="7" t="inlineStr">
        <is>
          <t>Sub-Saharan Africa</t>
        </is>
      </c>
      <c r="D1499" s="7" t="inlineStr">
        <is>
          <t>Low income</t>
        </is>
      </c>
      <c r="E1499" s="7" t="b">
        <v>1</v>
      </c>
      <c r="F1499" s="7" t="inlineStr">
        <is>
          <t>ff_subsidy_explicit_pct_gdp</t>
        </is>
      </c>
      <c r="G1499" s="7" t="n">
        <v>1.032</v>
      </c>
      <c r="H1499" s="7" t="inlineStr">
        <is>
          <t>2024</t>
        </is>
      </c>
      <c r="I1499" s="7" t="inlineStr">
        <is>
          <t>imffossilfuelsubsidiesdata.xlsb</t>
        </is>
      </c>
    </row>
    <row r="1500">
      <c r="A1500" s="7" t="inlineStr">
        <is>
          <t>LBR</t>
        </is>
      </c>
      <c r="B1500" s="7" t="inlineStr">
        <is>
          <t>Liberia</t>
        </is>
      </c>
      <c r="C1500" s="7" t="inlineStr">
        <is>
          <t>Sub-Saharan Africa</t>
        </is>
      </c>
      <c r="D1500" s="7" t="inlineStr">
        <is>
          <t>Low income</t>
        </is>
      </c>
      <c r="E1500" s="7" t="b">
        <v>1</v>
      </c>
      <c r="F1500" s="7" t="inlineStr">
        <is>
          <t>fuel_exports_pct_merch</t>
        </is>
      </c>
      <c r="G1500" s="7" t="n">
        <v>1.841</v>
      </c>
      <c r="H1500" s="7" t="inlineStr">
        <is>
          <t>2023</t>
        </is>
      </c>
      <c r="I1500" s="7" t="inlineStr">
        <is>
          <t>API_TX_VAL_FUEL_ZS_UN_DS2_en_csv_v2_33055.zip</t>
        </is>
      </c>
    </row>
    <row r="1501">
      <c r="A1501" s="7" t="inlineStr">
        <is>
          <t>LBR</t>
        </is>
      </c>
      <c r="B1501" s="7" t="inlineStr">
        <is>
          <t>Liberia</t>
        </is>
      </c>
      <c r="C1501" s="7" t="inlineStr">
        <is>
          <t>Sub-Saharan Africa</t>
        </is>
      </c>
      <c r="D1501" s="7" t="inlineStr">
        <is>
          <t>Low income</t>
        </is>
      </c>
      <c r="E1501" s="7" t="b">
        <v>1</v>
      </c>
      <c r="F1501" s="7" t="inlineStr">
        <is>
          <t>gen_coal_twh</t>
        </is>
      </c>
      <c r="G1501" s="7" t="n">
        <v>0</v>
      </c>
      <c r="H1501" s="7" t="n">
        <v>2024</v>
      </c>
      <c r="I1501" s="7" t="inlineStr">
        <is>
          <t>release_generation_yearly_global.csv (Ember)</t>
        </is>
      </c>
    </row>
    <row r="1502">
      <c r="A1502" s="7" t="inlineStr">
        <is>
          <t>LBR</t>
        </is>
      </c>
      <c r="B1502" s="7" t="inlineStr">
        <is>
          <t>Liberia</t>
        </is>
      </c>
      <c r="C1502" s="7" t="inlineStr">
        <is>
          <t>Sub-Saharan Africa</t>
        </is>
      </c>
      <c r="D1502" s="7" t="inlineStr">
        <is>
          <t>Low income</t>
        </is>
      </c>
      <c r="E1502" s="7" t="b">
        <v>1</v>
      </c>
      <c r="F1502" s="7" t="inlineStr">
        <is>
          <t>gen_gas_twh</t>
        </is>
      </c>
      <c r="G1502" s="7" t="n">
        <v>0</v>
      </c>
      <c r="H1502" s="7" t="n">
        <v>2024</v>
      </c>
      <c r="I1502" s="7" t="inlineStr">
        <is>
          <t>release_generation_yearly_global.csv (Ember)</t>
        </is>
      </c>
    </row>
    <row r="1503">
      <c r="A1503" s="7" t="inlineStr">
        <is>
          <t>LBR</t>
        </is>
      </c>
      <c r="B1503" s="7" t="inlineStr">
        <is>
          <t>Liberia</t>
        </is>
      </c>
      <c r="C1503" s="7" t="inlineStr">
        <is>
          <t>Sub-Saharan Africa</t>
        </is>
      </c>
      <c r="D1503" s="7" t="inlineStr">
        <is>
          <t>Low income</t>
        </is>
      </c>
      <c r="E1503" s="7" t="b">
        <v>1</v>
      </c>
      <c r="F1503" s="7" t="inlineStr">
        <is>
          <t>gen_oil_twh</t>
        </is>
      </c>
      <c r="G1503" s="7" t="n">
        <v>0.26</v>
      </c>
      <c r="H1503" s="7" t="n">
        <v>2024</v>
      </c>
      <c r="I1503" s="7" t="inlineStr">
        <is>
          <t>release_generation_yearly_global.csv (Ember)</t>
        </is>
      </c>
    </row>
    <row r="1504">
      <c r="A1504" s="7" t="inlineStr">
        <is>
          <t>LBR</t>
        </is>
      </c>
      <c r="B1504" s="7" t="inlineStr">
        <is>
          <t>Liberia</t>
        </is>
      </c>
      <c r="C1504" s="7" t="inlineStr">
        <is>
          <t>Sub-Saharan Africa</t>
        </is>
      </c>
      <c r="D1504" s="7" t="inlineStr">
        <is>
          <t>Low income</t>
        </is>
      </c>
      <c r="E1504" s="7" t="b">
        <v>1</v>
      </c>
      <c r="F1504" s="7" t="inlineStr">
        <is>
          <t>gen_total_twh</t>
        </is>
      </c>
      <c r="G1504" s="7" t="n">
        <v>0.57</v>
      </c>
      <c r="H1504" s="7" t="n">
        <v>2024</v>
      </c>
      <c r="I1504" s="7" t="inlineStr">
        <is>
          <t>release_generation_yearly_global.csv (Ember)</t>
        </is>
      </c>
    </row>
    <row r="1505">
      <c r="A1505" s="7" t="inlineStr">
        <is>
          <t>LBR</t>
        </is>
      </c>
      <c r="B1505" s="7" t="inlineStr">
        <is>
          <t>Liberia</t>
        </is>
      </c>
      <c r="C1505" s="7" t="inlineStr">
        <is>
          <t>Sub-Saharan Africa</t>
        </is>
      </c>
      <c r="D1505" s="7" t="inlineStr">
        <is>
          <t>Low income</t>
        </is>
      </c>
      <c r="E1505" s="7" t="b">
        <v>1</v>
      </c>
      <c r="F1505" s="7" t="inlineStr">
        <is>
          <t>power_market_structure</t>
        </is>
      </c>
      <c r="G1505" s="7" t="n">
        <v>1</v>
      </c>
      <c r="H1505" s="7" t="inlineStr">
        <is>
          <t>2013</t>
        </is>
      </c>
      <c r="I1505" s="7" t="inlineStr">
        <is>
          <t>dataverse_files.zip</t>
        </is>
      </c>
    </row>
    <row r="1506">
      <c r="A1506" s="7" t="inlineStr">
        <is>
          <t>LBR</t>
        </is>
      </c>
      <c r="B1506" s="7" t="inlineStr">
        <is>
          <t>Liberia</t>
        </is>
      </c>
      <c r="C1506" s="7" t="inlineStr">
        <is>
          <t>Sub-Saharan Africa</t>
        </is>
      </c>
      <c r="D1506" s="7" t="inlineStr">
        <is>
          <t>Low income</t>
        </is>
      </c>
      <c r="E1506" s="7" t="b">
        <v>1</v>
      </c>
      <c r="F1506" s="7" t="inlineStr">
        <is>
          <t>price_coal_power_usd_gj</t>
        </is>
      </c>
      <c r="G1506" s="7" t="n">
        <v>5.575</v>
      </c>
      <c r="H1506" s="7" t="inlineStr">
        <is>
          <t>2024</t>
        </is>
      </c>
      <c r="I1506" s="7" t="inlineStr">
        <is>
          <t>imffossilfuelsubsidiesdata.xlsb</t>
        </is>
      </c>
    </row>
    <row r="1507">
      <c r="A1507" s="7" t="inlineStr">
        <is>
          <t>LBR</t>
        </is>
      </c>
      <c r="B1507" s="7" t="inlineStr">
        <is>
          <t>Liberia</t>
        </is>
      </c>
      <c r="C1507" s="7" t="inlineStr">
        <is>
          <t>Sub-Saharan Africa</t>
        </is>
      </c>
      <c r="D1507" s="7" t="inlineStr">
        <is>
          <t>Low income</t>
        </is>
      </c>
      <c r="E1507" s="7" t="b">
        <v>1</v>
      </c>
      <c r="F1507" s="7" t="inlineStr">
        <is>
          <t>price_electricity_residential_usd_kwh</t>
        </is>
      </c>
      <c r="G1507" s="7" t="n">
        <v>0.272</v>
      </c>
      <c r="H1507" s="7" t="inlineStr">
        <is>
          <t>2024</t>
        </is>
      </c>
      <c r="I1507" s="7" t="inlineStr">
        <is>
          <t>imffossilfuelsubsidiesdata.xlsb</t>
        </is>
      </c>
    </row>
    <row r="1508">
      <c r="A1508" s="7" t="inlineStr">
        <is>
          <t>LBR</t>
        </is>
      </c>
      <c r="B1508" s="7" t="inlineStr">
        <is>
          <t>Liberia</t>
        </is>
      </c>
      <c r="C1508" s="7" t="inlineStr">
        <is>
          <t>Sub-Saharan Africa</t>
        </is>
      </c>
      <c r="D1508" s="7" t="inlineStr">
        <is>
          <t>Low income</t>
        </is>
      </c>
      <c r="E1508" s="7" t="b">
        <v>1</v>
      </c>
      <c r="F1508" s="7" t="inlineStr">
        <is>
          <t>price_gas_industry_usd_gj</t>
        </is>
      </c>
      <c r="G1508" s="7" t="n">
        <v>12.815</v>
      </c>
      <c r="H1508" s="7" t="inlineStr">
        <is>
          <t>2024</t>
        </is>
      </c>
      <c r="I1508" s="7" t="inlineStr">
        <is>
          <t>imffossilfuelsubsidiesdata.xlsb</t>
        </is>
      </c>
    </row>
    <row r="1509">
      <c r="A1509" s="7" t="inlineStr">
        <is>
          <t>LBR</t>
        </is>
      </c>
      <c r="B1509" s="7" t="inlineStr">
        <is>
          <t>Liberia</t>
        </is>
      </c>
      <c r="C1509" s="7" t="inlineStr">
        <is>
          <t>Sub-Saharan Africa</t>
        </is>
      </c>
      <c r="D1509" s="7" t="inlineStr">
        <is>
          <t>Low income</t>
        </is>
      </c>
      <c r="E1509" s="7" t="b">
        <v>1</v>
      </c>
      <c r="F1509" s="7" t="inlineStr">
        <is>
          <t>price_gas_power_usd_gj</t>
        </is>
      </c>
      <c r="G1509" s="7" t="n">
        <v>11.492</v>
      </c>
      <c r="H1509" s="7" t="inlineStr">
        <is>
          <t>2024</t>
        </is>
      </c>
      <c r="I1509" s="7" t="inlineStr">
        <is>
          <t>imffossilfuelsubsidiesdata.xlsb</t>
        </is>
      </c>
    </row>
    <row r="1510">
      <c r="A1510" s="7" t="inlineStr">
        <is>
          <t>LBR</t>
        </is>
      </c>
      <c r="B1510" s="7" t="inlineStr">
        <is>
          <t>Liberia</t>
        </is>
      </c>
      <c r="C1510" s="7" t="inlineStr">
        <is>
          <t>Sub-Saharan Africa</t>
        </is>
      </c>
      <c r="D1510" s="7" t="inlineStr">
        <is>
          <t>Low income</t>
        </is>
      </c>
      <c r="E1510" s="7" t="b">
        <v>1</v>
      </c>
      <c r="F1510" s="7" t="inlineStr">
        <is>
          <t>rise_renewable_energy_score</t>
        </is>
      </c>
      <c r="G1510" s="7" t="n">
        <v>14.468</v>
      </c>
      <c r="H1510" s="7" t="inlineStr">
        <is>
          <t>2023</t>
        </is>
      </c>
      <c r="I1510" s="7" t="inlineStr">
        <is>
          <t>WB_RISE_WIDEF.csv</t>
        </is>
      </c>
    </row>
    <row r="1511">
      <c r="A1511" s="7" t="inlineStr">
        <is>
          <t>LBY</t>
        </is>
      </c>
      <c r="B1511" s="7" t="inlineStr">
        <is>
          <t>Libya</t>
        </is>
      </c>
      <c r="C1511" s="7" t="inlineStr">
        <is>
          <t>Middle East &amp; North Africa</t>
        </is>
      </c>
      <c r="D1511" s="7" t="inlineStr">
        <is>
          <t>Upper middle income</t>
        </is>
      </c>
      <c r="E1511" s="7" t="b">
        <v>0</v>
      </c>
      <c r="F1511" s="7" t="inlineStr">
        <is>
          <t>coal_rents_pct_gdp</t>
        </is>
      </c>
      <c r="G1511" s="7" t="n">
        <v>0</v>
      </c>
      <c r="H1511" s="7" t="inlineStr">
        <is>
          <t>2021</t>
        </is>
      </c>
      <c r="I1511" s="7" t="inlineStr">
        <is>
          <t>API_NY_GDP_COAL_RT_ZS_DS2_en_csv_v2_35370.zip</t>
        </is>
      </c>
    </row>
    <row r="1512">
      <c r="A1512" s="7" t="inlineStr">
        <is>
          <t>LBY</t>
        </is>
      </c>
      <c r="B1512" s="7" t="inlineStr">
        <is>
          <t>Libya</t>
        </is>
      </c>
      <c r="C1512" s="7" t="inlineStr">
        <is>
          <t>Middle East &amp; North Africa</t>
        </is>
      </c>
      <c r="D1512" s="7" t="inlineStr">
        <is>
          <t>Upper middle income</t>
        </is>
      </c>
      <c r="E1512" s="7" t="b">
        <v>0</v>
      </c>
      <c r="F1512" s="7" t="inlineStr">
        <is>
          <t>em_coal_mt</t>
        </is>
      </c>
      <c r="G1512" s="7" t="n">
        <v>0</v>
      </c>
      <c r="H1512" s="7" t="n">
        <v>2024</v>
      </c>
      <c r="I1512" s="7" t="inlineStr">
        <is>
          <t>release_generation_yearly_global.csv (Ember)</t>
        </is>
      </c>
    </row>
    <row r="1513">
      <c r="A1513" s="7" t="inlineStr">
        <is>
          <t>LBY</t>
        </is>
      </c>
      <c r="B1513" s="7" t="inlineStr">
        <is>
          <t>Libya</t>
        </is>
      </c>
      <c r="C1513" s="7" t="inlineStr">
        <is>
          <t>Middle East &amp; North Africa</t>
        </is>
      </c>
      <c r="D1513" s="7" t="inlineStr">
        <is>
          <t>Upper middle income</t>
        </is>
      </c>
      <c r="E1513" s="7" t="b">
        <v>0</v>
      </c>
      <c r="F1513" s="7" t="inlineStr">
        <is>
          <t>em_gas_mt</t>
        </is>
      </c>
      <c r="G1513" s="7" t="n">
        <v>22.812</v>
      </c>
      <c r="H1513" s="7" t="n">
        <v>2024</v>
      </c>
      <c r="I1513" s="7" t="inlineStr">
        <is>
          <t>release_generation_yearly_global.csv (Ember)</t>
        </is>
      </c>
    </row>
    <row r="1514">
      <c r="A1514" s="7" t="inlineStr">
        <is>
          <t>LBY</t>
        </is>
      </c>
      <c r="B1514" s="7" t="inlineStr">
        <is>
          <t>Libya</t>
        </is>
      </c>
      <c r="C1514" s="7" t="inlineStr">
        <is>
          <t>Middle East &amp; North Africa</t>
        </is>
      </c>
      <c r="D1514" s="7" t="inlineStr">
        <is>
          <t>Upper middle income</t>
        </is>
      </c>
      <c r="E1514" s="7" t="b">
        <v>0</v>
      </c>
      <c r="F1514" s="7" t="inlineStr">
        <is>
          <t>em_oil_mt</t>
        </is>
      </c>
      <c r="G1514" s="7" t="n">
        <v>5.79</v>
      </c>
      <c r="H1514" s="7" t="n">
        <v>2024</v>
      </c>
      <c r="I1514" s="7" t="inlineStr">
        <is>
          <t>release_generation_yearly_global.csv (Ember)</t>
        </is>
      </c>
    </row>
    <row r="1515">
      <c r="A1515" s="7" t="inlineStr">
        <is>
          <t>LBY</t>
        </is>
      </c>
      <c r="B1515" s="7" t="inlineStr">
        <is>
          <t>Libya</t>
        </is>
      </c>
      <c r="C1515" s="7" t="inlineStr">
        <is>
          <t>Middle East &amp; North Africa</t>
        </is>
      </c>
      <c r="D1515" s="7" t="inlineStr">
        <is>
          <t>Upper middle income</t>
        </is>
      </c>
      <c r="E1515" s="7" t="b">
        <v>0</v>
      </c>
      <c r="F1515" s="7" t="inlineStr">
        <is>
          <t>ff_subsidy_explicit_pct_gdp</t>
        </is>
      </c>
      <c r="G1515" s="7" t="n">
        <v>26.179</v>
      </c>
      <c r="H1515" s="7" t="inlineStr">
        <is>
          <t>2024</t>
        </is>
      </c>
      <c r="I1515" s="7" t="inlineStr">
        <is>
          <t>imffossilfuelsubsidiesdata.xlsb</t>
        </is>
      </c>
    </row>
    <row r="1516">
      <c r="A1516" s="7" t="inlineStr">
        <is>
          <t>LBY</t>
        </is>
      </c>
      <c r="B1516" s="7" t="inlineStr">
        <is>
          <t>Libya</t>
        </is>
      </c>
      <c r="C1516" s="7" t="inlineStr">
        <is>
          <t>Middle East &amp; North Africa</t>
        </is>
      </c>
      <c r="D1516" s="7" t="inlineStr">
        <is>
          <t>Upper middle income</t>
        </is>
      </c>
      <c r="E1516" s="7" t="b">
        <v>0</v>
      </c>
      <c r="F1516" s="7" t="inlineStr">
        <is>
          <t>fuel_exports_pct_merch</t>
        </is>
      </c>
      <c r="G1516" s="7" t="n">
        <v>94.405</v>
      </c>
      <c r="H1516" s="7" t="inlineStr">
        <is>
          <t>2019</t>
        </is>
      </c>
      <c r="I1516" s="7" t="inlineStr">
        <is>
          <t>API_TX_VAL_FUEL_ZS_UN_DS2_en_csv_v2_33055.zip</t>
        </is>
      </c>
    </row>
    <row r="1517">
      <c r="A1517" s="7" t="inlineStr">
        <is>
          <t>LBY</t>
        </is>
      </c>
      <c r="B1517" s="7" t="inlineStr">
        <is>
          <t>Libya</t>
        </is>
      </c>
      <c r="C1517" s="7" t="inlineStr">
        <is>
          <t>Middle East &amp; North Africa</t>
        </is>
      </c>
      <c r="D1517" s="7" t="inlineStr">
        <is>
          <t>Upper middle income</t>
        </is>
      </c>
      <c r="E1517" s="7" t="b">
        <v>0</v>
      </c>
      <c r="F1517" s="7" t="inlineStr">
        <is>
          <t>gen_coal_twh</t>
        </is>
      </c>
      <c r="G1517" s="7" t="n">
        <v>0</v>
      </c>
      <c r="H1517" s="7" t="n">
        <v>2024</v>
      </c>
      <c r="I1517" s="7" t="inlineStr">
        <is>
          <t>release_generation_yearly_global.csv (Ember)</t>
        </is>
      </c>
    </row>
    <row r="1518">
      <c r="A1518" s="7" t="inlineStr">
        <is>
          <t>LBY</t>
        </is>
      </c>
      <c r="B1518" s="7" t="inlineStr">
        <is>
          <t>Libya</t>
        </is>
      </c>
      <c r="C1518" s="7" t="inlineStr">
        <is>
          <t>Middle East &amp; North Africa</t>
        </is>
      </c>
      <c r="D1518" s="7" t="inlineStr">
        <is>
          <t>Upper middle income</t>
        </is>
      </c>
      <c r="E1518" s="7" t="b">
        <v>0</v>
      </c>
      <c r="F1518" s="7" t="inlineStr">
        <is>
          <t>gen_gas_twh</t>
        </is>
      </c>
      <c r="G1518" s="7" t="n">
        <v>25.78</v>
      </c>
      <c r="H1518" s="7" t="n">
        <v>2024</v>
      </c>
      <c r="I1518" s="7" t="inlineStr">
        <is>
          <t>release_generation_yearly_global.csv (Ember)</t>
        </is>
      </c>
    </row>
    <row r="1519">
      <c r="A1519" s="7" t="inlineStr">
        <is>
          <t>LBY</t>
        </is>
      </c>
      <c r="B1519" s="7" t="inlineStr">
        <is>
          <t>Libya</t>
        </is>
      </c>
      <c r="C1519" s="7" t="inlineStr">
        <is>
          <t>Middle East &amp; North Africa</t>
        </is>
      </c>
      <c r="D1519" s="7" t="inlineStr">
        <is>
          <t>Upper middle income</t>
        </is>
      </c>
      <c r="E1519" s="7" t="b">
        <v>0</v>
      </c>
      <c r="F1519" s="7" t="inlineStr">
        <is>
          <t>gen_oil_twh</t>
        </is>
      </c>
      <c r="G1519" s="7" t="n">
        <v>8.800000000000001</v>
      </c>
      <c r="H1519" s="7" t="n">
        <v>2024</v>
      </c>
      <c r="I1519" s="7" t="inlineStr">
        <is>
          <t>release_generation_yearly_global.csv (Ember)</t>
        </is>
      </c>
    </row>
    <row r="1520">
      <c r="A1520" s="7" t="inlineStr">
        <is>
          <t>LBY</t>
        </is>
      </c>
      <c r="B1520" s="7" t="inlineStr">
        <is>
          <t>Libya</t>
        </is>
      </c>
      <c r="C1520" s="7" t="inlineStr">
        <is>
          <t>Middle East &amp; North Africa</t>
        </is>
      </c>
      <c r="D1520" s="7" t="inlineStr">
        <is>
          <t>Upper middle income</t>
        </is>
      </c>
      <c r="E1520" s="7" t="b">
        <v>0</v>
      </c>
      <c r="F1520" s="7" t="inlineStr">
        <is>
          <t>gen_total_twh</t>
        </is>
      </c>
      <c r="G1520" s="7" t="n">
        <v>34.59</v>
      </c>
      <c r="H1520" s="7" t="n">
        <v>2024</v>
      </c>
      <c r="I1520" s="7" t="inlineStr">
        <is>
          <t>release_generation_yearly_global.csv (Ember)</t>
        </is>
      </c>
    </row>
    <row r="1521">
      <c r="A1521" s="7" t="inlineStr">
        <is>
          <t>LBY</t>
        </is>
      </c>
      <c r="B1521" s="7" t="inlineStr">
        <is>
          <t>Libya</t>
        </is>
      </c>
      <c r="C1521" s="7" t="inlineStr">
        <is>
          <t>Middle East &amp; North Africa</t>
        </is>
      </c>
      <c r="D1521" s="7" t="inlineStr">
        <is>
          <t>Upper middle income</t>
        </is>
      </c>
      <c r="E1521" s="7" t="b">
        <v>0</v>
      </c>
      <c r="F1521" s="7" t="inlineStr">
        <is>
          <t>power_market_structure</t>
        </is>
      </c>
      <c r="G1521" s="7" t="n">
        <v>1</v>
      </c>
      <c r="H1521" s="7" t="inlineStr">
        <is>
          <t>2013</t>
        </is>
      </c>
      <c r="I1521" s="7" t="inlineStr">
        <is>
          <t>dataverse_files.zip</t>
        </is>
      </c>
    </row>
    <row r="1522">
      <c r="A1522" s="7" t="inlineStr">
        <is>
          <t>LBY</t>
        </is>
      </c>
      <c r="B1522" s="7" t="inlineStr">
        <is>
          <t>Libya</t>
        </is>
      </c>
      <c r="C1522" s="7" t="inlineStr">
        <is>
          <t>Middle East &amp; North Africa</t>
        </is>
      </c>
      <c r="D1522" s="7" t="inlineStr">
        <is>
          <t>Upper middle income</t>
        </is>
      </c>
      <c r="E1522" s="7" t="b">
        <v>0</v>
      </c>
      <c r="F1522" s="7" t="inlineStr">
        <is>
          <t>price_coal_power_usd_gj</t>
        </is>
      </c>
      <c r="G1522" s="7" t="n">
        <v>5.783</v>
      </c>
      <c r="H1522" s="7" t="inlineStr">
        <is>
          <t>2024</t>
        </is>
      </c>
      <c r="I1522" s="7" t="inlineStr">
        <is>
          <t>imffossilfuelsubsidiesdata.xlsb</t>
        </is>
      </c>
    </row>
    <row r="1523">
      <c r="A1523" s="7" t="inlineStr">
        <is>
          <t>LBY</t>
        </is>
      </c>
      <c r="B1523" s="7" t="inlineStr">
        <is>
          <t>Libya</t>
        </is>
      </c>
      <c r="C1523" s="7" t="inlineStr">
        <is>
          <t>Middle East &amp; North Africa</t>
        </is>
      </c>
      <c r="D1523" s="7" t="inlineStr">
        <is>
          <t>Upper middle income</t>
        </is>
      </c>
      <c r="E1523" s="7" t="b">
        <v>0</v>
      </c>
      <c r="F1523" s="7" t="inlineStr">
        <is>
          <t>price_electricity_residential_usd_kwh</t>
        </is>
      </c>
      <c r="G1523" s="7" t="n">
        <v>0.01</v>
      </c>
      <c r="H1523" s="7" t="inlineStr">
        <is>
          <t>2024</t>
        </is>
      </c>
      <c r="I1523" s="7" t="inlineStr">
        <is>
          <t>imffossilfuelsubsidiesdata.xlsb</t>
        </is>
      </c>
    </row>
    <row r="1524">
      <c r="A1524" s="7" t="inlineStr">
        <is>
          <t>LBY</t>
        </is>
      </c>
      <c r="B1524" s="7" t="inlineStr">
        <is>
          <t>Libya</t>
        </is>
      </c>
      <c r="C1524" s="7" t="inlineStr">
        <is>
          <t>Middle East &amp; North Africa</t>
        </is>
      </c>
      <c r="D1524" s="7" t="inlineStr">
        <is>
          <t>Upper middle income</t>
        </is>
      </c>
      <c r="E1524" s="7" t="b">
        <v>0</v>
      </c>
      <c r="F1524" s="7" t="inlineStr">
        <is>
          <t>price_gas_industry_usd_gj</t>
        </is>
      </c>
      <c r="G1524" s="7" t="n">
        <v>0.244</v>
      </c>
      <c r="H1524" s="7" t="inlineStr">
        <is>
          <t>2024</t>
        </is>
      </c>
      <c r="I1524" s="7" t="inlineStr">
        <is>
          <t>imffossilfuelsubsidiesdata.xlsb</t>
        </is>
      </c>
    </row>
    <row r="1525">
      <c r="A1525" s="7" t="inlineStr">
        <is>
          <t>LBY</t>
        </is>
      </c>
      <c r="B1525" s="7" t="inlineStr">
        <is>
          <t>Libya</t>
        </is>
      </c>
      <c r="C1525" s="7" t="inlineStr">
        <is>
          <t>Middle East &amp; North Africa</t>
        </is>
      </c>
      <c r="D1525" s="7" t="inlineStr">
        <is>
          <t>Upper middle income</t>
        </is>
      </c>
      <c r="E1525" s="7" t="b">
        <v>0</v>
      </c>
      <c r="F1525" s="7" t="inlineStr">
        <is>
          <t>price_gas_power_usd_gj</t>
        </is>
      </c>
      <c r="G1525" s="7" t="n">
        <v>0.871</v>
      </c>
      <c r="H1525" s="7" t="inlineStr">
        <is>
          <t>2024</t>
        </is>
      </c>
      <c r="I1525" s="7" t="inlineStr">
        <is>
          <t>imffossilfuelsubsidiesdata.xlsb</t>
        </is>
      </c>
    </row>
    <row r="1526">
      <c r="A1526" s="7" t="inlineStr">
        <is>
          <t>LCA</t>
        </is>
      </c>
      <c r="B1526" s="7" t="inlineStr">
        <is>
          <t>St. Lucia</t>
        </is>
      </c>
      <c r="C1526" s="7" t="inlineStr">
        <is>
          <t>Latin America &amp; Caribbean</t>
        </is>
      </c>
      <c r="D1526" s="7" t="inlineStr">
        <is>
          <t>Upper middle income</t>
        </is>
      </c>
      <c r="E1526" s="7" t="b">
        <v>1</v>
      </c>
      <c r="F1526" s="7" t="inlineStr">
        <is>
          <t>coal_rents_pct_gdp</t>
        </is>
      </c>
      <c r="G1526" s="7" t="n">
        <v>0</v>
      </c>
      <c r="H1526" s="7" t="inlineStr">
        <is>
          <t>2021</t>
        </is>
      </c>
      <c r="I1526" s="7" t="inlineStr">
        <is>
          <t>API_NY_GDP_COAL_RT_ZS_DS2_en_csv_v2_35370.zip</t>
        </is>
      </c>
    </row>
    <row r="1527">
      <c r="A1527" s="7" t="inlineStr">
        <is>
          <t>LCA</t>
        </is>
      </c>
      <c r="B1527" s="7" t="inlineStr">
        <is>
          <t>St. Lucia</t>
        </is>
      </c>
      <c r="C1527" s="7" t="inlineStr">
        <is>
          <t>Latin America &amp; Caribbean</t>
        </is>
      </c>
      <c r="D1527" s="7" t="inlineStr">
        <is>
          <t>Upper middle income</t>
        </is>
      </c>
      <c r="E1527" s="7" t="b">
        <v>1</v>
      </c>
      <c r="F1527" s="7" t="inlineStr">
        <is>
          <t>em_coal_mt</t>
        </is>
      </c>
      <c r="G1527" s="7" t="n">
        <v>0</v>
      </c>
      <c r="H1527" s="7" t="n">
        <v>2024</v>
      </c>
      <c r="I1527" s="7" t="inlineStr">
        <is>
          <t>release_generation_yearly_global.csv (Ember)</t>
        </is>
      </c>
    </row>
    <row r="1528">
      <c r="A1528" s="7" t="inlineStr">
        <is>
          <t>LCA</t>
        </is>
      </c>
      <c r="B1528" s="7" t="inlineStr">
        <is>
          <t>St. Lucia</t>
        </is>
      </c>
      <c r="C1528" s="7" t="inlineStr">
        <is>
          <t>Latin America &amp; Caribbean</t>
        </is>
      </c>
      <c r="D1528" s="7" t="inlineStr">
        <is>
          <t>Upper middle income</t>
        </is>
      </c>
      <c r="E1528" s="7" t="b">
        <v>1</v>
      </c>
      <c r="F1528" s="7" t="inlineStr">
        <is>
          <t>em_gas_mt</t>
        </is>
      </c>
      <c r="G1528" s="7" t="n">
        <v>0</v>
      </c>
      <c r="H1528" s="7" t="n">
        <v>2024</v>
      </c>
      <c r="I1528" s="7" t="inlineStr">
        <is>
          <t>release_generation_yearly_global.csv (Ember)</t>
        </is>
      </c>
    </row>
    <row r="1529">
      <c r="A1529" s="7" t="inlineStr">
        <is>
          <t>LCA</t>
        </is>
      </c>
      <c r="B1529" s="7" t="inlineStr">
        <is>
          <t>St. Lucia</t>
        </is>
      </c>
      <c r="C1529" s="7" t="inlineStr">
        <is>
          <t>Latin America &amp; Caribbean</t>
        </is>
      </c>
      <c r="D1529" s="7" t="inlineStr">
        <is>
          <t>Upper middle income</t>
        </is>
      </c>
      <c r="E1529" s="7" t="b">
        <v>1</v>
      </c>
      <c r="F1529" s="7" t="inlineStr">
        <is>
          <t>em_oil_mt</t>
        </is>
      </c>
      <c r="G1529" s="7" t="n">
        <v>0.257</v>
      </c>
      <c r="H1529" s="7" t="n">
        <v>2024</v>
      </c>
      <c r="I1529" s="7" t="inlineStr">
        <is>
          <t>release_generation_yearly_global.csv (Ember)</t>
        </is>
      </c>
    </row>
    <row r="1530">
      <c r="A1530" s="7" t="inlineStr">
        <is>
          <t>LCA</t>
        </is>
      </c>
      <c r="B1530" s="7" t="inlineStr">
        <is>
          <t>St. Lucia</t>
        </is>
      </c>
      <c r="C1530" s="7" t="inlineStr">
        <is>
          <t>Latin America &amp; Caribbean</t>
        </is>
      </c>
      <c r="D1530" s="7" t="inlineStr">
        <is>
          <t>Upper middle income</t>
        </is>
      </c>
      <c r="E1530" s="7" t="b">
        <v>1</v>
      </c>
      <c r="F1530" s="7" t="inlineStr">
        <is>
          <t>ff_subsidy_explicit_pct_gdp</t>
        </is>
      </c>
      <c r="G1530" s="7" t="n">
        <v>0.19</v>
      </c>
      <c r="H1530" s="7" t="inlineStr">
        <is>
          <t>2024</t>
        </is>
      </c>
      <c r="I1530" s="7" t="inlineStr">
        <is>
          <t>imffossilfuelsubsidiesdata.xlsb</t>
        </is>
      </c>
    </row>
    <row r="1531">
      <c r="A1531" s="7" t="inlineStr">
        <is>
          <t>LCA</t>
        </is>
      </c>
      <c r="B1531" s="7" t="inlineStr">
        <is>
          <t>St. Lucia</t>
        </is>
      </c>
      <c r="C1531" s="7" t="inlineStr">
        <is>
          <t>Latin America &amp; Caribbean</t>
        </is>
      </c>
      <c r="D1531" s="7" t="inlineStr">
        <is>
          <t>Upper middle income</t>
        </is>
      </c>
      <c r="E1531" s="7" t="b">
        <v>1</v>
      </c>
      <c r="F1531" s="7" t="inlineStr">
        <is>
          <t>fuel_exports_pct_merch</t>
        </is>
      </c>
      <c r="G1531" s="7" t="n">
        <v>3.401</v>
      </c>
      <c r="H1531" s="7" t="inlineStr">
        <is>
          <t>2020</t>
        </is>
      </c>
      <c r="I1531" s="7" t="inlineStr">
        <is>
          <t>API_TX_VAL_FUEL_ZS_UN_DS2_en_csv_v2_33055.zip</t>
        </is>
      </c>
    </row>
    <row r="1532">
      <c r="A1532" s="7" t="inlineStr">
        <is>
          <t>LCA</t>
        </is>
      </c>
      <c r="B1532" s="7" t="inlineStr">
        <is>
          <t>St. Lucia</t>
        </is>
      </c>
      <c r="C1532" s="7" t="inlineStr">
        <is>
          <t>Latin America &amp; Caribbean</t>
        </is>
      </c>
      <c r="D1532" s="7" t="inlineStr">
        <is>
          <t>Upper middle income</t>
        </is>
      </c>
      <c r="E1532" s="7" t="b">
        <v>1</v>
      </c>
      <c r="F1532" s="7" t="inlineStr">
        <is>
          <t>gen_coal_twh</t>
        </is>
      </c>
      <c r="G1532" s="7" t="n">
        <v>0</v>
      </c>
      <c r="H1532" s="7" t="n">
        <v>2024</v>
      </c>
      <c r="I1532" s="7" t="inlineStr">
        <is>
          <t>release_generation_yearly_global.csv (Ember)</t>
        </is>
      </c>
    </row>
    <row r="1533">
      <c r="A1533" s="7" t="inlineStr">
        <is>
          <t>LCA</t>
        </is>
      </c>
      <c r="B1533" s="7" t="inlineStr">
        <is>
          <t>St. Lucia</t>
        </is>
      </c>
      <c r="C1533" s="7" t="inlineStr">
        <is>
          <t>Latin America &amp; Caribbean</t>
        </is>
      </c>
      <c r="D1533" s="7" t="inlineStr">
        <is>
          <t>Upper middle income</t>
        </is>
      </c>
      <c r="E1533" s="7" t="b">
        <v>1</v>
      </c>
      <c r="F1533" s="7" t="inlineStr">
        <is>
          <t>gen_gas_twh</t>
        </is>
      </c>
      <c r="G1533" s="7" t="n">
        <v>0</v>
      </c>
      <c r="H1533" s="7" t="n">
        <v>2024</v>
      </c>
      <c r="I1533" s="7" t="inlineStr">
        <is>
          <t>release_generation_yearly_global.csv (Ember)</t>
        </is>
      </c>
    </row>
    <row r="1534">
      <c r="A1534" s="7" t="inlineStr">
        <is>
          <t>LCA</t>
        </is>
      </c>
      <c r="B1534" s="7" t="inlineStr">
        <is>
          <t>St. Lucia</t>
        </is>
      </c>
      <c r="C1534" s="7" t="inlineStr">
        <is>
          <t>Latin America &amp; Caribbean</t>
        </is>
      </c>
      <c r="D1534" s="7" t="inlineStr">
        <is>
          <t>Upper middle income</t>
        </is>
      </c>
      <c r="E1534" s="7" t="b">
        <v>1</v>
      </c>
      <c r="F1534" s="7" t="inlineStr">
        <is>
          <t>gen_oil_twh</t>
        </is>
      </c>
      <c r="G1534" s="7" t="n">
        <v>0.39</v>
      </c>
      <c r="H1534" s="7" t="n">
        <v>2024</v>
      </c>
      <c r="I1534" s="7" t="inlineStr">
        <is>
          <t>release_generation_yearly_global.csv (Ember)</t>
        </is>
      </c>
    </row>
    <row r="1535">
      <c r="A1535" s="7" t="inlineStr">
        <is>
          <t>LCA</t>
        </is>
      </c>
      <c r="B1535" s="7" t="inlineStr">
        <is>
          <t>St. Lucia</t>
        </is>
      </c>
      <c r="C1535" s="7" t="inlineStr">
        <is>
          <t>Latin America &amp; Caribbean</t>
        </is>
      </c>
      <c r="D1535" s="7" t="inlineStr">
        <is>
          <t>Upper middle income</t>
        </is>
      </c>
      <c r="E1535" s="7" t="b">
        <v>1</v>
      </c>
      <c r="F1535" s="7" t="inlineStr">
        <is>
          <t>gen_total_twh</t>
        </is>
      </c>
      <c r="G1535" s="7" t="n">
        <v>0.4</v>
      </c>
      <c r="H1535" s="7" t="n">
        <v>2024</v>
      </c>
      <c r="I1535" s="7" t="inlineStr">
        <is>
          <t>release_generation_yearly_global.csv (Ember)</t>
        </is>
      </c>
    </row>
    <row r="1536">
      <c r="A1536" s="7" t="inlineStr">
        <is>
          <t>LCA</t>
        </is>
      </c>
      <c r="B1536" s="7" t="inlineStr">
        <is>
          <t>St. Lucia</t>
        </is>
      </c>
      <c r="C1536" s="7" t="inlineStr">
        <is>
          <t>Latin America &amp; Caribbean</t>
        </is>
      </c>
      <c r="D1536" s="7" t="inlineStr">
        <is>
          <t>Upper middle income</t>
        </is>
      </c>
      <c r="E1536" s="7" t="b">
        <v>1</v>
      </c>
      <c r="F1536" s="7" t="inlineStr">
        <is>
          <t>power_market_structure</t>
        </is>
      </c>
      <c r="G1536" s="7" t="n">
        <v>1</v>
      </c>
      <c r="H1536" s="7" t="inlineStr">
        <is>
          <t>2013</t>
        </is>
      </c>
      <c r="I1536" s="7" t="inlineStr">
        <is>
          <t>dataverse_files.zip</t>
        </is>
      </c>
    </row>
    <row r="1537">
      <c r="A1537" s="7" t="inlineStr">
        <is>
          <t>LCA</t>
        </is>
      </c>
      <c r="B1537" s="7" t="inlineStr">
        <is>
          <t>St. Lucia</t>
        </is>
      </c>
      <c r="C1537" s="7" t="inlineStr">
        <is>
          <t>Latin America &amp; Caribbean</t>
        </is>
      </c>
      <c r="D1537" s="7" t="inlineStr">
        <is>
          <t>Upper middle income</t>
        </is>
      </c>
      <c r="E1537" s="7" t="b">
        <v>1</v>
      </c>
      <c r="F1537" s="7" t="inlineStr">
        <is>
          <t>price_coal_power_usd_gj</t>
        </is>
      </c>
      <c r="G1537" s="7" t="n">
        <v>5.575</v>
      </c>
      <c r="H1537" s="7" t="inlineStr">
        <is>
          <t>2024</t>
        </is>
      </c>
      <c r="I1537" s="7" t="inlineStr">
        <is>
          <t>imffossilfuelsubsidiesdata.xlsb</t>
        </is>
      </c>
    </row>
    <row r="1538">
      <c r="A1538" s="7" t="inlineStr">
        <is>
          <t>LCA</t>
        </is>
      </c>
      <c r="B1538" s="7" t="inlineStr">
        <is>
          <t>St. Lucia</t>
        </is>
      </c>
      <c r="C1538" s="7" t="inlineStr">
        <is>
          <t>Latin America &amp; Caribbean</t>
        </is>
      </c>
      <c r="D1538" s="7" t="inlineStr">
        <is>
          <t>Upper middle income</t>
        </is>
      </c>
      <c r="E1538" s="7" t="b">
        <v>1</v>
      </c>
      <c r="F1538" s="7" t="inlineStr">
        <is>
          <t>price_electricity_residential_usd_kwh</t>
        </is>
      </c>
      <c r="G1538" s="7" t="n">
        <v>0.305</v>
      </c>
      <c r="H1538" s="7" t="inlineStr">
        <is>
          <t>2024</t>
        </is>
      </c>
      <c r="I1538" s="7" t="inlineStr">
        <is>
          <t>imffossilfuelsubsidiesdata.xlsb</t>
        </is>
      </c>
    </row>
    <row r="1539">
      <c r="A1539" s="7" t="inlineStr">
        <is>
          <t>LCA</t>
        </is>
      </c>
      <c r="B1539" s="7" t="inlineStr">
        <is>
          <t>St. Lucia</t>
        </is>
      </c>
      <c r="C1539" s="7" t="inlineStr">
        <is>
          <t>Latin America &amp; Caribbean</t>
        </is>
      </c>
      <c r="D1539" s="7" t="inlineStr">
        <is>
          <t>Upper middle income</t>
        </is>
      </c>
      <c r="E1539" s="7" t="b">
        <v>1</v>
      </c>
      <c r="F1539" s="7" t="inlineStr">
        <is>
          <t>price_gas_industry_usd_gj</t>
        </is>
      </c>
      <c r="G1539" s="7" t="n">
        <v>12.771</v>
      </c>
      <c r="H1539" s="7" t="inlineStr">
        <is>
          <t>2024</t>
        </is>
      </c>
      <c r="I1539" s="7" t="inlineStr">
        <is>
          <t>imffossilfuelsubsidiesdata.xlsb</t>
        </is>
      </c>
    </row>
    <row r="1540">
      <c r="A1540" s="7" t="inlineStr">
        <is>
          <t>LCA</t>
        </is>
      </c>
      <c r="B1540" s="7" t="inlineStr">
        <is>
          <t>St. Lucia</t>
        </is>
      </c>
      <c r="C1540" s="7" t="inlineStr">
        <is>
          <t>Latin America &amp; Caribbean</t>
        </is>
      </c>
      <c r="D1540" s="7" t="inlineStr">
        <is>
          <t>Upper middle income</t>
        </is>
      </c>
      <c r="E1540" s="7" t="b">
        <v>1</v>
      </c>
      <c r="F1540" s="7" t="inlineStr">
        <is>
          <t>price_gas_power_usd_gj</t>
        </is>
      </c>
      <c r="G1540" s="7" t="n">
        <v>11.447</v>
      </c>
      <c r="H1540" s="7" t="inlineStr">
        <is>
          <t>2024</t>
        </is>
      </c>
      <c r="I1540" s="7" t="inlineStr">
        <is>
          <t>imffossilfuelsubsidiesdata.xlsb</t>
        </is>
      </c>
    </row>
    <row r="1541">
      <c r="A1541" s="7" t="inlineStr">
        <is>
          <t>LKA</t>
        </is>
      </c>
      <c r="B1541" s="7" t="inlineStr">
        <is>
          <t>Sri Lanka</t>
        </is>
      </c>
      <c r="C1541" s="7" t="inlineStr">
        <is>
          <t>South Asia</t>
        </is>
      </c>
      <c r="D1541" s="7" t="inlineStr">
        <is>
          <t>Upper middle income</t>
        </is>
      </c>
      <c r="E1541" s="7" t="b">
        <v>1</v>
      </c>
      <c r="F1541" s="7" t="inlineStr">
        <is>
          <t>coal_rents_pct_gdp</t>
        </is>
      </c>
      <c r="G1541" s="7" t="n">
        <v>0</v>
      </c>
      <c r="H1541" s="7" t="inlineStr">
        <is>
          <t>2021</t>
        </is>
      </c>
      <c r="I1541" s="7" t="inlineStr">
        <is>
          <t>API_NY_GDP_COAL_RT_ZS_DS2_en_csv_v2_35370.zip</t>
        </is>
      </c>
    </row>
    <row r="1542">
      <c r="A1542" s="7" t="inlineStr">
        <is>
          <t>LKA</t>
        </is>
      </c>
      <c r="B1542" s="7" t="inlineStr">
        <is>
          <t>Sri Lanka</t>
        </is>
      </c>
      <c r="C1542" s="7" t="inlineStr">
        <is>
          <t>South Asia</t>
        </is>
      </c>
      <c r="D1542" s="7" t="inlineStr">
        <is>
          <t>Upper middle income</t>
        </is>
      </c>
      <c r="E1542" s="7" t="b">
        <v>1</v>
      </c>
      <c r="F1542" s="7" t="inlineStr">
        <is>
          <t>em_coal_mt</t>
        </is>
      </c>
      <c r="G1542" s="7" t="n">
        <v>4.918</v>
      </c>
      <c r="H1542" s="7" t="n">
        <v>2024</v>
      </c>
      <c r="I1542" s="7" t="inlineStr">
        <is>
          <t>release_generation_yearly_global.csv (Ember)</t>
        </is>
      </c>
    </row>
    <row r="1543">
      <c r="A1543" s="7" t="inlineStr">
        <is>
          <t>LKA</t>
        </is>
      </c>
      <c r="B1543" s="7" t="inlineStr">
        <is>
          <t>Sri Lanka</t>
        </is>
      </c>
      <c r="C1543" s="7" t="inlineStr">
        <is>
          <t>South Asia</t>
        </is>
      </c>
      <c r="D1543" s="7" t="inlineStr">
        <is>
          <t>Upper middle income</t>
        </is>
      </c>
      <c r="E1543" s="7" t="b">
        <v>1</v>
      </c>
      <c r="F1543" s="7" t="inlineStr">
        <is>
          <t>em_oil_mt</t>
        </is>
      </c>
      <c r="G1543" s="7" t="n">
        <v>1.421</v>
      </c>
      <c r="H1543" s="7" t="n">
        <v>2024</v>
      </c>
      <c r="I1543" s="7" t="inlineStr">
        <is>
          <t>release_generation_yearly_global.csv (Ember)</t>
        </is>
      </c>
    </row>
    <row r="1544">
      <c r="A1544" s="7" t="inlineStr">
        <is>
          <t>LKA</t>
        </is>
      </c>
      <c r="B1544" s="7" t="inlineStr">
        <is>
          <t>Sri Lanka</t>
        </is>
      </c>
      <c r="C1544" s="7" t="inlineStr">
        <is>
          <t>South Asia</t>
        </is>
      </c>
      <c r="D1544" s="7" t="inlineStr">
        <is>
          <t>Upper middle income</t>
        </is>
      </c>
      <c r="E1544" s="7" t="b">
        <v>1</v>
      </c>
      <c r="F1544" s="7" t="inlineStr">
        <is>
          <t>ff_subsidy_explicit_pct_gdp</t>
        </is>
      </c>
      <c r="G1544" s="7" t="n">
        <v>0.259</v>
      </c>
      <c r="H1544" s="7" t="inlineStr">
        <is>
          <t>2024</t>
        </is>
      </c>
      <c r="I1544" s="7" t="inlineStr">
        <is>
          <t>imffossilfuelsubsidiesdata.xlsb</t>
        </is>
      </c>
    </row>
    <row r="1545">
      <c r="A1545" s="7" t="inlineStr">
        <is>
          <t>LKA</t>
        </is>
      </c>
      <c r="B1545" s="7" t="inlineStr">
        <is>
          <t>Sri Lanka</t>
        </is>
      </c>
      <c r="C1545" s="7" t="inlineStr">
        <is>
          <t>South Asia</t>
        </is>
      </c>
      <c r="D1545" s="7" t="inlineStr">
        <is>
          <t>Upper middle income</t>
        </is>
      </c>
      <c r="E1545" s="7" t="b">
        <v>1</v>
      </c>
      <c r="F1545" s="7" t="inlineStr">
        <is>
          <t>fuel_exports_pct_merch</t>
        </is>
      </c>
      <c r="G1545" s="7" t="n">
        <v>3.44</v>
      </c>
      <c r="H1545" s="7" t="inlineStr">
        <is>
          <t>2024</t>
        </is>
      </c>
      <c r="I1545" s="7" t="inlineStr">
        <is>
          <t>API_TX_VAL_FUEL_ZS_UN_DS2_en_csv_v2_33055.zip</t>
        </is>
      </c>
    </row>
    <row r="1546">
      <c r="A1546" s="7" t="inlineStr">
        <is>
          <t>LKA</t>
        </is>
      </c>
      <c r="B1546" s="7" t="inlineStr">
        <is>
          <t>Sri Lanka</t>
        </is>
      </c>
      <c r="C1546" s="7" t="inlineStr">
        <is>
          <t>South Asia</t>
        </is>
      </c>
      <c r="D1546" s="7" t="inlineStr">
        <is>
          <t>Upper middle income</t>
        </is>
      </c>
      <c r="E1546" s="7" t="b">
        <v>1</v>
      </c>
      <c r="F1546" s="7" t="inlineStr">
        <is>
          <t>gen_coal_twh</t>
        </is>
      </c>
      <c r="G1546" s="7" t="n">
        <v>5.694</v>
      </c>
      <c r="H1546" s="7" t="n">
        <v>2024</v>
      </c>
      <c r="I1546" s="7" t="inlineStr">
        <is>
          <t>release_generation_yearly_global.csv (Ember)</t>
        </is>
      </c>
    </row>
    <row r="1547">
      <c r="A1547" s="7" t="inlineStr">
        <is>
          <t>LKA</t>
        </is>
      </c>
      <c r="B1547" s="7" t="inlineStr">
        <is>
          <t>Sri Lanka</t>
        </is>
      </c>
      <c r="C1547" s="7" t="inlineStr">
        <is>
          <t>South Asia</t>
        </is>
      </c>
      <c r="D1547" s="7" t="inlineStr">
        <is>
          <t>Upper middle income</t>
        </is>
      </c>
      <c r="E1547" s="7" t="b">
        <v>1</v>
      </c>
      <c r="F1547" s="7" t="inlineStr">
        <is>
          <t>gen_oil_twh</t>
        </is>
      </c>
      <c r="G1547" s="7" t="n">
        <v>2.16</v>
      </c>
      <c r="H1547" s="7" t="n">
        <v>2024</v>
      </c>
      <c r="I1547" s="7" t="inlineStr">
        <is>
          <t>release_generation_yearly_global.csv (Ember)</t>
        </is>
      </c>
    </row>
    <row r="1548">
      <c r="A1548" s="7" t="inlineStr">
        <is>
          <t>LKA</t>
        </is>
      </c>
      <c r="B1548" s="7" t="inlineStr">
        <is>
          <t>Sri Lanka</t>
        </is>
      </c>
      <c r="C1548" s="7" t="inlineStr">
        <is>
          <t>South Asia</t>
        </is>
      </c>
      <c r="D1548" s="7" t="inlineStr">
        <is>
          <t>Upper middle income</t>
        </is>
      </c>
      <c r="E1548" s="7" t="b">
        <v>1</v>
      </c>
      <c r="F1548" s="7" t="inlineStr">
        <is>
          <t>gen_total_twh</t>
        </is>
      </c>
      <c r="G1548" s="7" t="n">
        <v>17.109</v>
      </c>
      <c r="H1548" s="7" t="n">
        <v>2024</v>
      </c>
      <c r="I1548" s="7" t="inlineStr">
        <is>
          <t>release_generation_yearly_global.csv (Ember)</t>
        </is>
      </c>
    </row>
    <row r="1549">
      <c r="A1549" s="7" t="inlineStr">
        <is>
          <t>LKA</t>
        </is>
      </c>
      <c r="B1549" s="7" t="inlineStr">
        <is>
          <t>Sri Lanka</t>
        </is>
      </c>
      <c r="C1549" s="7" t="inlineStr">
        <is>
          <t>South Asia</t>
        </is>
      </c>
      <c r="D1549" s="7" t="inlineStr">
        <is>
          <t>Upper middle income</t>
        </is>
      </c>
      <c r="E1549" s="7" t="b">
        <v>1</v>
      </c>
      <c r="F1549" s="7" t="inlineStr">
        <is>
          <t>power_market_structure</t>
        </is>
      </c>
      <c r="G1549" s="7" t="n">
        <v>2</v>
      </c>
      <c r="H1549" s="7" t="inlineStr">
        <is>
          <t>2013</t>
        </is>
      </c>
      <c r="I1549" s="7" t="inlineStr">
        <is>
          <t>dataverse_files.zip</t>
        </is>
      </c>
    </row>
    <row r="1550">
      <c r="A1550" s="7" t="inlineStr">
        <is>
          <t>LKA</t>
        </is>
      </c>
      <c r="B1550" s="7" t="inlineStr">
        <is>
          <t>Sri Lanka</t>
        </is>
      </c>
      <c r="C1550" s="7" t="inlineStr">
        <is>
          <t>South Asia</t>
        </is>
      </c>
      <c r="D1550" s="7" t="inlineStr">
        <is>
          <t>Upper middle income</t>
        </is>
      </c>
      <c r="E1550" s="7" t="b">
        <v>1</v>
      </c>
      <c r="F1550" s="7" t="inlineStr">
        <is>
          <t>price_coal_power_usd_gj</t>
        </is>
      </c>
      <c r="G1550" s="7" t="n">
        <v>4.738</v>
      </c>
      <c r="H1550" s="7" t="inlineStr">
        <is>
          <t>2024</t>
        </is>
      </c>
      <c r="I1550" s="7" t="inlineStr">
        <is>
          <t>imffossilfuelsubsidiesdata.xlsb</t>
        </is>
      </c>
    </row>
    <row r="1551">
      <c r="A1551" s="7" t="inlineStr">
        <is>
          <t>LKA</t>
        </is>
      </c>
      <c r="B1551" s="7" t="inlineStr">
        <is>
          <t>Sri Lanka</t>
        </is>
      </c>
      <c r="C1551" s="7" t="inlineStr">
        <is>
          <t>South Asia</t>
        </is>
      </c>
      <c r="D1551" s="7" t="inlineStr">
        <is>
          <t>Upper middle income</t>
        </is>
      </c>
      <c r="E1551" s="7" t="b">
        <v>1</v>
      </c>
      <c r="F1551" s="7" t="inlineStr">
        <is>
          <t>price_electricity_residential_usd_kwh</t>
        </is>
      </c>
      <c r="G1551" s="7" t="n">
        <v>0.094</v>
      </c>
      <c r="H1551" s="7" t="inlineStr">
        <is>
          <t>2024</t>
        </is>
      </c>
      <c r="I1551" s="7" t="inlineStr">
        <is>
          <t>imffossilfuelsubsidiesdata.xlsb</t>
        </is>
      </c>
    </row>
    <row r="1552">
      <c r="A1552" s="7" t="inlineStr">
        <is>
          <t>LKA</t>
        </is>
      </c>
      <c r="B1552" s="7" t="inlineStr">
        <is>
          <t>Sri Lanka</t>
        </is>
      </c>
      <c r="C1552" s="7" t="inlineStr">
        <is>
          <t>South Asia</t>
        </is>
      </c>
      <c r="D1552" s="7" t="inlineStr">
        <is>
          <t>Upper middle income</t>
        </is>
      </c>
      <c r="E1552" s="7" t="b">
        <v>1</v>
      </c>
      <c r="F1552" s="7" t="inlineStr">
        <is>
          <t>price_gas_industry_usd_gj</t>
        </is>
      </c>
      <c r="G1552" s="7" t="n">
        <v>6.861</v>
      </c>
      <c r="H1552" s="7" t="inlineStr">
        <is>
          <t>2024</t>
        </is>
      </c>
      <c r="I1552" s="7" t="inlineStr">
        <is>
          <t>imffossilfuelsubsidiesdata.xlsb</t>
        </is>
      </c>
    </row>
    <row r="1553">
      <c r="A1553" s="7" t="inlineStr">
        <is>
          <t>LKA</t>
        </is>
      </c>
      <c r="B1553" s="7" t="inlineStr">
        <is>
          <t>Sri Lanka</t>
        </is>
      </c>
      <c r="C1553" s="7" t="inlineStr">
        <is>
          <t>South Asia</t>
        </is>
      </c>
      <c r="D1553" s="7" t="inlineStr">
        <is>
          <t>Upper middle income</t>
        </is>
      </c>
      <c r="E1553" s="7" t="b">
        <v>1</v>
      </c>
      <c r="F1553" s="7" t="inlineStr">
        <is>
          <t>price_gas_power_usd_gj</t>
        </is>
      </c>
      <c r="G1553" s="7" t="n">
        <v>5.537</v>
      </c>
      <c r="H1553" s="7" t="inlineStr">
        <is>
          <t>2024</t>
        </is>
      </c>
      <c r="I1553" s="7" t="inlineStr">
        <is>
          <t>imffossilfuelsubsidiesdata.xlsb</t>
        </is>
      </c>
    </row>
    <row r="1554">
      <c r="A1554" s="7" t="inlineStr">
        <is>
          <t>LKA</t>
        </is>
      </c>
      <c r="B1554" s="7" t="inlineStr">
        <is>
          <t>Sri Lanka</t>
        </is>
      </c>
      <c r="C1554" s="7" t="inlineStr">
        <is>
          <t>South Asia</t>
        </is>
      </c>
      <c r="D1554" s="7" t="inlineStr">
        <is>
          <t>Upper middle income</t>
        </is>
      </c>
      <c r="E1554" s="7" t="b">
        <v>1</v>
      </c>
      <c r="F1554" s="7" t="inlineStr">
        <is>
          <t>rise_renewable_energy_score</t>
        </is>
      </c>
      <c r="G1554" s="7" t="n">
        <v>41.09</v>
      </c>
      <c r="H1554" s="7" t="inlineStr">
        <is>
          <t>2023</t>
        </is>
      </c>
      <c r="I1554" s="7" t="inlineStr">
        <is>
          <t>WB_RISE_WIDEF.csv</t>
        </is>
      </c>
    </row>
    <row r="1555">
      <c r="A1555" s="7" t="inlineStr">
        <is>
          <t>LSO</t>
        </is>
      </c>
      <c r="B1555" s="7" t="inlineStr">
        <is>
          <t>Lesotho</t>
        </is>
      </c>
      <c r="C1555" s="7" t="inlineStr">
        <is>
          <t>Sub-Saharan Africa</t>
        </is>
      </c>
      <c r="D1555" s="7" t="inlineStr">
        <is>
          <t>Lower middle income</t>
        </is>
      </c>
      <c r="E1555" s="7" t="b">
        <v>0</v>
      </c>
      <c r="F1555" s="7" t="inlineStr">
        <is>
          <t>coal_rents_pct_gdp</t>
        </is>
      </c>
      <c r="G1555" s="7" t="n">
        <v>0</v>
      </c>
      <c r="H1555" s="7" t="inlineStr">
        <is>
          <t>2021</t>
        </is>
      </c>
      <c r="I1555" s="7" t="inlineStr">
        <is>
          <t>API_NY_GDP_COAL_RT_ZS_DS2_en_csv_v2_35370.zip</t>
        </is>
      </c>
    </row>
    <row r="1556">
      <c r="A1556" s="7" t="inlineStr">
        <is>
          <t>LSO</t>
        </is>
      </c>
      <c r="B1556" s="7" t="inlineStr">
        <is>
          <t>Lesotho</t>
        </is>
      </c>
      <c r="C1556" s="7" t="inlineStr">
        <is>
          <t>Sub-Saharan Africa</t>
        </is>
      </c>
      <c r="D1556" s="7" t="inlineStr">
        <is>
          <t>Lower middle income</t>
        </is>
      </c>
      <c r="E1556" s="7" t="b">
        <v>0</v>
      </c>
      <c r="F1556" s="7" t="inlineStr">
        <is>
          <t>em_coal_mt</t>
        </is>
      </c>
      <c r="G1556" s="7" t="n">
        <v>0</v>
      </c>
      <c r="H1556" s="7" t="n">
        <v>2024</v>
      </c>
      <c r="I1556" s="7" t="inlineStr">
        <is>
          <t>release_generation_yearly_global.csv (Ember)</t>
        </is>
      </c>
    </row>
    <row r="1557">
      <c r="A1557" s="7" t="inlineStr">
        <is>
          <t>LSO</t>
        </is>
      </c>
      <c r="B1557" s="7" t="inlineStr">
        <is>
          <t>Lesotho</t>
        </is>
      </c>
      <c r="C1557" s="7" t="inlineStr">
        <is>
          <t>Sub-Saharan Africa</t>
        </is>
      </c>
      <c r="D1557" s="7" t="inlineStr">
        <is>
          <t>Lower middle income</t>
        </is>
      </c>
      <c r="E1557" s="7" t="b">
        <v>0</v>
      </c>
      <c r="F1557" s="7" t="inlineStr">
        <is>
          <t>em_gas_mt</t>
        </is>
      </c>
      <c r="G1557" s="7" t="n">
        <v>0</v>
      </c>
      <c r="H1557" s="7" t="n">
        <v>2024</v>
      </c>
      <c r="I1557" s="7" t="inlineStr">
        <is>
          <t>release_generation_yearly_global.csv (Ember)</t>
        </is>
      </c>
    </row>
    <row r="1558">
      <c r="A1558" s="7" t="inlineStr">
        <is>
          <t>LSO</t>
        </is>
      </c>
      <c r="B1558" s="7" t="inlineStr">
        <is>
          <t>Lesotho</t>
        </is>
      </c>
      <c r="C1558" s="7" t="inlineStr">
        <is>
          <t>Sub-Saharan Africa</t>
        </is>
      </c>
      <c r="D1558" s="7" t="inlineStr">
        <is>
          <t>Lower middle income</t>
        </is>
      </c>
      <c r="E1558" s="7" t="b">
        <v>0</v>
      </c>
      <c r="F1558" s="7" t="inlineStr">
        <is>
          <t>em_oil_mt</t>
        </is>
      </c>
      <c r="G1558" s="7" t="n">
        <v>0</v>
      </c>
      <c r="H1558" s="7" t="n">
        <v>2024</v>
      </c>
      <c r="I1558" s="7" t="inlineStr">
        <is>
          <t>release_generation_yearly_global.csv (Ember)</t>
        </is>
      </c>
    </row>
    <row r="1559">
      <c r="A1559" s="7" t="inlineStr">
        <is>
          <t>LSO</t>
        </is>
      </c>
      <c r="B1559" s="7" t="inlineStr">
        <is>
          <t>Lesotho</t>
        </is>
      </c>
      <c r="C1559" s="7" t="inlineStr">
        <is>
          <t>Sub-Saharan Africa</t>
        </is>
      </c>
      <c r="D1559" s="7" t="inlineStr">
        <is>
          <t>Lower middle income</t>
        </is>
      </c>
      <c r="E1559" s="7" t="b">
        <v>0</v>
      </c>
      <c r="F1559" s="7" t="inlineStr">
        <is>
          <t>ff_subsidy_explicit_pct_gdp</t>
        </is>
      </c>
      <c r="G1559" s="7" t="n">
        <v>0</v>
      </c>
      <c r="H1559" s="7" t="inlineStr">
        <is>
          <t>2024</t>
        </is>
      </c>
      <c r="I1559" s="7" t="inlineStr">
        <is>
          <t>imffossilfuelsubsidiesdata.xlsb</t>
        </is>
      </c>
    </row>
    <row r="1560">
      <c r="A1560" s="7" t="inlineStr">
        <is>
          <t>LSO</t>
        </is>
      </c>
      <c r="B1560" s="7" t="inlineStr">
        <is>
          <t>Lesotho</t>
        </is>
      </c>
      <c r="C1560" s="7" t="inlineStr">
        <is>
          <t>Sub-Saharan Africa</t>
        </is>
      </c>
      <c r="D1560" s="7" t="inlineStr">
        <is>
          <t>Lower middle income</t>
        </is>
      </c>
      <c r="E1560" s="7" t="b">
        <v>0</v>
      </c>
      <c r="F1560" s="7" t="inlineStr">
        <is>
          <t>fuel_exports_pct_merch</t>
        </is>
      </c>
      <c r="G1560" s="7" t="n">
        <v>0.02</v>
      </c>
      <c r="H1560" s="7" t="inlineStr">
        <is>
          <t>2024</t>
        </is>
      </c>
      <c r="I1560" s="7" t="inlineStr">
        <is>
          <t>API_TX_VAL_FUEL_ZS_UN_DS2_en_csv_v2_33055.zip</t>
        </is>
      </c>
    </row>
    <row r="1561">
      <c r="A1561" s="7" t="inlineStr">
        <is>
          <t>LSO</t>
        </is>
      </c>
      <c r="B1561" s="7" t="inlineStr">
        <is>
          <t>Lesotho</t>
        </is>
      </c>
      <c r="C1561" s="7" t="inlineStr">
        <is>
          <t>Sub-Saharan Africa</t>
        </is>
      </c>
      <c r="D1561" s="7" t="inlineStr">
        <is>
          <t>Lower middle income</t>
        </is>
      </c>
      <c r="E1561" s="7" t="b">
        <v>0</v>
      </c>
      <c r="F1561" s="7" t="inlineStr">
        <is>
          <t>gen_coal_twh</t>
        </is>
      </c>
      <c r="G1561" s="7" t="n">
        <v>0</v>
      </c>
      <c r="H1561" s="7" t="n">
        <v>2024</v>
      </c>
      <c r="I1561" s="7" t="inlineStr">
        <is>
          <t>release_generation_yearly_global.csv (Ember)</t>
        </is>
      </c>
    </row>
    <row r="1562">
      <c r="A1562" s="7" t="inlineStr">
        <is>
          <t>LSO</t>
        </is>
      </c>
      <c r="B1562" s="7" t="inlineStr">
        <is>
          <t>Lesotho</t>
        </is>
      </c>
      <c r="C1562" s="7" t="inlineStr">
        <is>
          <t>Sub-Saharan Africa</t>
        </is>
      </c>
      <c r="D1562" s="7" t="inlineStr">
        <is>
          <t>Lower middle income</t>
        </is>
      </c>
      <c r="E1562" s="7" t="b">
        <v>0</v>
      </c>
      <c r="F1562" s="7" t="inlineStr">
        <is>
          <t>gen_gas_twh</t>
        </is>
      </c>
      <c r="G1562" s="7" t="n">
        <v>0</v>
      </c>
      <c r="H1562" s="7" t="n">
        <v>2024</v>
      </c>
      <c r="I1562" s="7" t="inlineStr">
        <is>
          <t>release_generation_yearly_global.csv (Ember)</t>
        </is>
      </c>
    </row>
    <row r="1563">
      <c r="A1563" s="7" t="inlineStr">
        <is>
          <t>LSO</t>
        </is>
      </c>
      <c r="B1563" s="7" t="inlineStr">
        <is>
          <t>Lesotho</t>
        </is>
      </c>
      <c r="C1563" s="7" t="inlineStr">
        <is>
          <t>Sub-Saharan Africa</t>
        </is>
      </c>
      <c r="D1563" s="7" t="inlineStr">
        <is>
          <t>Lower middle income</t>
        </is>
      </c>
      <c r="E1563" s="7" t="b">
        <v>0</v>
      </c>
      <c r="F1563" s="7" t="inlineStr">
        <is>
          <t>gen_oil_twh</t>
        </is>
      </c>
      <c r="G1563" s="7" t="n">
        <v>0</v>
      </c>
      <c r="H1563" s="7" t="n">
        <v>2024</v>
      </c>
      <c r="I1563" s="7" t="inlineStr">
        <is>
          <t>release_generation_yearly_global.csv (Ember)</t>
        </is>
      </c>
    </row>
    <row r="1564">
      <c r="A1564" s="7" t="inlineStr">
        <is>
          <t>LSO</t>
        </is>
      </c>
      <c r="B1564" s="7" t="inlineStr">
        <is>
          <t>Lesotho</t>
        </is>
      </c>
      <c r="C1564" s="7" t="inlineStr">
        <is>
          <t>Sub-Saharan Africa</t>
        </is>
      </c>
      <c r="D1564" s="7" t="inlineStr">
        <is>
          <t>Lower middle income</t>
        </is>
      </c>
      <c r="E1564" s="7" t="b">
        <v>0</v>
      </c>
      <c r="F1564" s="7" t="inlineStr">
        <is>
          <t>gen_total_twh</t>
        </is>
      </c>
      <c r="G1564" s="7" t="n">
        <v>0</v>
      </c>
      <c r="H1564" s="7" t="n">
        <v>2024</v>
      </c>
      <c r="I1564" s="7" t="inlineStr">
        <is>
          <t>release_generation_yearly_global.csv (Ember)</t>
        </is>
      </c>
    </row>
    <row r="1565">
      <c r="A1565" s="7" t="inlineStr">
        <is>
          <t>LSO</t>
        </is>
      </c>
      <c r="B1565" s="7" t="inlineStr">
        <is>
          <t>Lesotho</t>
        </is>
      </c>
      <c r="C1565" s="7" t="inlineStr">
        <is>
          <t>Sub-Saharan Africa</t>
        </is>
      </c>
      <c r="D1565" s="7" t="inlineStr">
        <is>
          <t>Lower middle income</t>
        </is>
      </c>
      <c r="E1565" s="7" t="b">
        <v>0</v>
      </c>
      <c r="F1565" s="7" t="inlineStr">
        <is>
          <t>power_market_structure</t>
        </is>
      </c>
      <c r="G1565" s="7" t="n">
        <v>1</v>
      </c>
      <c r="H1565" s="7" t="inlineStr">
        <is>
          <t>2013</t>
        </is>
      </c>
      <c r="I1565" s="7" t="inlineStr">
        <is>
          <t>dataverse_files.zip</t>
        </is>
      </c>
    </row>
    <row r="1566">
      <c r="A1566" s="7" t="inlineStr">
        <is>
          <t>LSO</t>
        </is>
      </c>
      <c r="B1566" s="7" t="inlineStr">
        <is>
          <t>Lesotho</t>
        </is>
      </c>
      <c r="C1566" s="7" t="inlineStr">
        <is>
          <t>Sub-Saharan Africa</t>
        </is>
      </c>
      <c r="D1566" s="7" t="inlineStr">
        <is>
          <t>Lower middle income</t>
        </is>
      </c>
      <c r="E1566" s="7" t="b">
        <v>0</v>
      </c>
      <c r="F1566" s="7" t="inlineStr">
        <is>
          <t>price_coal_power_usd_gj</t>
        </is>
      </c>
      <c r="G1566" s="7" t="n">
        <v>5.575</v>
      </c>
      <c r="H1566" s="7" t="inlineStr">
        <is>
          <t>2024</t>
        </is>
      </c>
      <c r="I1566" s="7" t="inlineStr">
        <is>
          <t>imffossilfuelsubsidiesdata.xlsb</t>
        </is>
      </c>
    </row>
    <row r="1567">
      <c r="A1567" s="7" t="inlineStr">
        <is>
          <t>LSO</t>
        </is>
      </c>
      <c r="B1567" s="7" t="inlineStr">
        <is>
          <t>Lesotho</t>
        </is>
      </c>
      <c r="C1567" s="7" t="inlineStr">
        <is>
          <t>Sub-Saharan Africa</t>
        </is>
      </c>
      <c r="D1567" s="7" t="inlineStr">
        <is>
          <t>Lower middle income</t>
        </is>
      </c>
      <c r="E1567" s="7" t="b">
        <v>0</v>
      </c>
      <c r="F1567" s="7" t="inlineStr">
        <is>
          <t>price_electricity_residential_usd_kwh</t>
        </is>
      </c>
      <c r="G1567" s="7" t="n">
        <v>0.096</v>
      </c>
      <c r="H1567" s="7" t="inlineStr">
        <is>
          <t>2024</t>
        </is>
      </c>
      <c r="I1567" s="7" t="inlineStr">
        <is>
          <t>imffossilfuelsubsidiesdata.xlsb</t>
        </is>
      </c>
    </row>
    <row r="1568">
      <c r="A1568" s="7" t="inlineStr">
        <is>
          <t>LSO</t>
        </is>
      </c>
      <c r="B1568" s="7" t="inlineStr">
        <is>
          <t>Lesotho</t>
        </is>
      </c>
      <c r="C1568" s="7" t="inlineStr">
        <is>
          <t>Sub-Saharan Africa</t>
        </is>
      </c>
      <c r="D1568" s="7" t="inlineStr">
        <is>
          <t>Lower middle income</t>
        </is>
      </c>
      <c r="E1568" s="7" t="b">
        <v>0</v>
      </c>
      <c r="F1568" s="7" t="inlineStr">
        <is>
          <t>price_gas_industry_usd_gj</t>
        </is>
      </c>
      <c r="G1568" s="7" t="n">
        <v>12.815</v>
      </c>
      <c r="H1568" s="7" t="inlineStr">
        <is>
          <t>2024</t>
        </is>
      </c>
      <c r="I1568" s="7" t="inlineStr">
        <is>
          <t>imffossilfuelsubsidiesdata.xlsb</t>
        </is>
      </c>
    </row>
    <row r="1569">
      <c r="A1569" s="7" t="inlineStr">
        <is>
          <t>LSO</t>
        </is>
      </c>
      <c r="B1569" s="7" t="inlineStr">
        <is>
          <t>Lesotho</t>
        </is>
      </c>
      <c r="C1569" s="7" t="inlineStr">
        <is>
          <t>Sub-Saharan Africa</t>
        </is>
      </c>
      <c r="D1569" s="7" t="inlineStr">
        <is>
          <t>Lower middle income</t>
        </is>
      </c>
      <c r="E1569" s="7" t="b">
        <v>0</v>
      </c>
      <c r="F1569" s="7" t="inlineStr">
        <is>
          <t>price_gas_power_usd_gj</t>
        </is>
      </c>
      <c r="G1569" s="7" t="n">
        <v>11.491</v>
      </c>
      <c r="H1569" s="7" t="inlineStr">
        <is>
          <t>2024</t>
        </is>
      </c>
      <c r="I1569" s="7" t="inlineStr">
        <is>
          <t>imffossilfuelsubsidiesdata.xlsb</t>
        </is>
      </c>
    </row>
    <row r="1570">
      <c r="A1570" s="7" t="inlineStr">
        <is>
          <t>LTU</t>
        </is>
      </c>
      <c r="B1570" s="7" t="inlineStr">
        <is>
          <t>Lithuania</t>
        </is>
      </c>
      <c r="C1570" s="7" t="inlineStr">
        <is>
          <t>Europe &amp; Central Asia</t>
        </is>
      </c>
      <c r="D1570" s="7" t="inlineStr">
        <is>
          <t>High income</t>
        </is>
      </c>
      <c r="E1570" s="7" t="b">
        <v>0</v>
      </c>
      <c r="F1570" s="7" t="inlineStr">
        <is>
          <t>coal_rents_pct_gdp</t>
        </is>
      </c>
      <c r="G1570" s="7" t="n">
        <v>0</v>
      </c>
      <c r="H1570" s="7" t="inlineStr">
        <is>
          <t>2021</t>
        </is>
      </c>
      <c r="I1570" s="7" t="inlineStr">
        <is>
          <t>API_NY_GDP_COAL_RT_ZS_DS2_en_csv_v2_35370.zip</t>
        </is>
      </c>
    </row>
    <row r="1571">
      <c r="A1571" s="7" t="inlineStr">
        <is>
          <t>LTU</t>
        </is>
      </c>
      <c r="B1571" s="7" t="inlineStr">
        <is>
          <t>Lithuania</t>
        </is>
      </c>
      <c r="C1571" s="7" t="inlineStr">
        <is>
          <t>Europe &amp; Central Asia</t>
        </is>
      </c>
      <c r="D1571" s="7" t="inlineStr">
        <is>
          <t>High income</t>
        </is>
      </c>
      <c r="E1571" s="7" t="b">
        <v>0</v>
      </c>
      <c r="F1571" s="7" t="inlineStr">
        <is>
          <t>em_coal_mt</t>
        </is>
      </c>
      <c r="G1571" s="7" t="n">
        <v>0</v>
      </c>
      <c r="H1571" s="7" t="n">
        <v>2024</v>
      </c>
      <c r="I1571" s="7" t="inlineStr">
        <is>
          <t>release_generation_yearly_global.csv (Ember)</t>
        </is>
      </c>
    </row>
    <row r="1572">
      <c r="A1572" s="7" t="inlineStr">
        <is>
          <t>LTU</t>
        </is>
      </c>
      <c r="B1572" s="7" t="inlineStr">
        <is>
          <t>Lithuania</t>
        </is>
      </c>
      <c r="C1572" s="7" t="inlineStr">
        <is>
          <t>Europe &amp; Central Asia</t>
        </is>
      </c>
      <c r="D1572" s="7" t="inlineStr">
        <is>
          <t>High income</t>
        </is>
      </c>
      <c r="E1572" s="7" t="b">
        <v>0</v>
      </c>
      <c r="F1572" s="7" t="inlineStr">
        <is>
          <t>em_gas_mt</t>
        </is>
      </c>
      <c r="G1572" s="7" t="n">
        <v>0.318</v>
      </c>
      <c r="H1572" s="7" t="n">
        <v>2024</v>
      </c>
      <c r="I1572" s="7" t="inlineStr">
        <is>
          <t>release_generation_yearly_global.csv (Ember)</t>
        </is>
      </c>
    </row>
    <row r="1573">
      <c r="A1573" s="7" t="inlineStr">
        <is>
          <t>LTU</t>
        </is>
      </c>
      <c r="B1573" s="7" t="inlineStr">
        <is>
          <t>Lithuania</t>
        </is>
      </c>
      <c r="C1573" s="7" t="inlineStr">
        <is>
          <t>Europe &amp; Central Asia</t>
        </is>
      </c>
      <c r="D1573" s="7" t="inlineStr">
        <is>
          <t>High income</t>
        </is>
      </c>
      <c r="E1573" s="7" t="b">
        <v>0</v>
      </c>
      <c r="F1573" s="7" t="inlineStr">
        <is>
          <t>em_oil_mt</t>
        </is>
      </c>
      <c r="G1573" s="7" t="n">
        <v>0.211</v>
      </c>
      <c r="H1573" s="7" t="n">
        <v>2024</v>
      </c>
      <c r="I1573" s="7" t="inlineStr">
        <is>
          <t>release_generation_yearly_global.csv (Ember)</t>
        </is>
      </c>
    </row>
    <row r="1574">
      <c r="A1574" s="7" t="inlineStr">
        <is>
          <t>LTU</t>
        </is>
      </c>
      <c r="B1574" s="7" t="inlineStr">
        <is>
          <t>Lithuania</t>
        </is>
      </c>
      <c r="C1574" s="7" t="inlineStr">
        <is>
          <t>Europe &amp; Central Asia</t>
        </is>
      </c>
      <c r="D1574" s="7" t="inlineStr">
        <is>
          <t>High income</t>
        </is>
      </c>
      <c r="E1574" s="7" t="b">
        <v>0</v>
      </c>
      <c r="F1574" s="7" t="inlineStr">
        <is>
          <t>ff_subsidy_explicit_pct_gdp</t>
        </is>
      </c>
      <c r="G1574" s="7" t="n">
        <v>0.064</v>
      </c>
      <c r="H1574" s="7" t="inlineStr">
        <is>
          <t>2024</t>
        </is>
      </c>
      <c r="I1574" s="7" t="inlineStr">
        <is>
          <t>imffossilfuelsubsidiesdata.xlsb</t>
        </is>
      </c>
    </row>
    <row r="1575">
      <c r="A1575" s="7" t="inlineStr">
        <is>
          <t>LTU</t>
        </is>
      </c>
      <c r="B1575" s="7" t="inlineStr">
        <is>
          <t>Lithuania</t>
        </is>
      </c>
      <c r="C1575" s="7" t="inlineStr">
        <is>
          <t>Europe &amp; Central Asia</t>
        </is>
      </c>
      <c r="D1575" s="7" t="inlineStr">
        <is>
          <t>High income</t>
        </is>
      </c>
      <c r="E1575" s="7" t="b">
        <v>0</v>
      </c>
      <c r="F1575" s="7" t="inlineStr">
        <is>
          <t>fuel_exports_pct_merch</t>
        </is>
      </c>
      <c r="G1575" s="7" t="n">
        <v>13.599</v>
      </c>
      <c r="H1575" s="7" t="inlineStr">
        <is>
          <t>2025</t>
        </is>
      </c>
      <c r="I1575" s="7" t="inlineStr">
        <is>
          <t>API_TX_VAL_FUEL_ZS_UN_DS2_en_csv_v2_33055.zip</t>
        </is>
      </c>
    </row>
    <row r="1576">
      <c r="A1576" s="7" t="inlineStr">
        <is>
          <t>LTU</t>
        </is>
      </c>
      <c r="B1576" s="7" t="inlineStr">
        <is>
          <t>Lithuania</t>
        </is>
      </c>
      <c r="C1576" s="7" t="inlineStr">
        <is>
          <t>Europe &amp; Central Asia</t>
        </is>
      </c>
      <c r="D1576" s="7" t="inlineStr">
        <is>
          <t>High income</t>
        </is>
      </c>
      <c r="E1576" s="7" t="b">
        <v>0</v>
      </c>
      <c r="F1576" s="7" t="inlineStr">
        <is>
          <t>gen_coal_twh</t>
        </is>
      </c>
      <c r="G1576" s="7" t="n">
        <v>0</v>
      </c>
      <c r="H1576" s="7" t="n">
        <v>2024</v>
      </c>
      <c r="I1576" s="7" t="inlineStr">
        <is>
          <t>release_generation_yearly_global.csv (Ember)</t>
        </is>
      </c>
    </row>
    <row r="1577">
      <c r="A1577" s="7" t="inlineStr">
        <is>
          <t>LTU</t>
        </is>
      </c>
      <c r="B1577" s="7" t="inlineStr">
        <is>
          <t>Lithuania</t>
        </is>
      </c>
      <c r="C1577" s="7" t="inlineStr">
        <is>
          <t>Europe &amp; Central Asia</t>
        </is>
      </c>
      <c r="D1577" s="7" t="inlineStr">
        <is>
          <t>High income</t>
        </is>
      </c>
      <c r="E1577" s="7" t="b">
        <v>0</v>
      </c>
      <c r="F1577" s="7" t="inlineStr">
        <is>
          <t>gen_gas_twh</t>
        </is>
      </c>
      <c r="G1577" s="7" t="n">
        <v>0.84</v>
      </c>
      <c r="H1577" s="7" t="n">
        <v>2024</v>
      </c>
      <c r="I1577" s="7" t="inlineStr">
        <is>
          <t>release_generation_yearly_global.csv (Ember)</t>
        </is>
      </c>
    </row>
    <row r="1578">
      <c r="A1578" s="7" t="inlineStr">
        <is>
          <t>LTU</t>
        </is>
      </c>
      <c r="B1578" s="7" t="inlineStr">
        <is>
          <t>Lithuania</t>
        </is>
      </c>
      <c r="C1578" s="7" t="inlineStr">
        <is>
          <t>Europe &amp; Central Asia</t>
        </is>
      </c>
      <c r="D1578" s="7" t="inlineStr">
        <is>
          <t>High income</t>
        </is>
      </c>
      <c r="E1578" s="7" t="b">
        <v>0</v>
      </c>
      <c r="F1578" s="7" t="inlineStr">
        <is>
          <t>gen_oil_twh</t>
        </is>
      </c>
      <c r="G1578" s="7" t="n">
        <v>0.32</v>
      </c>
      <c r="H1578" s="7" t="n">
        <v>2024</v>
      </c>
      <c r="I1578" s="7" t="inlineStr">
        <is>
          <t>release_generation_yearly_global.csv (Ember)</t>
        </is>
      </c>
    </row>
    <row r="1579">
      <c r="A1579" s="7" t="inlineStr">
        <is>
          <t>LTU</t>
        </is>
      </c>
      <c r="B1579" s="7" t="inlineStr">
        <is>
          <t>Lithuania</t>
        </is>
      </c>
      <c r="C1579" s="7" t="inlineStr">
        <is>
          <t>Europe &amp; Central Asia</t>
        </is>
      </c>
      <c r="D1579" s="7" t="inlineStr">
        <is>
          <t>High income</t>
        </is>
      </c>
      <c r="E1579" s="7" t="b">
        <v>0</v>
      </c>
      <c r="F1579" s="7" t="inlineStr">
        <is>
          <t>gen_total_twh</t>
        </is>
      </c>
      <c r="G1579" s="7" t="n">
        <v>7.39</v>
      </c>
      <c r="H1579" s="7" t="n">
        <v>2024</v>
      </c>
      <c r="I1579" s="7" t="inlineStr">
        <is>
          <t>release_generation_yearly_global.csv (Ember)</t>
        </is>
      </c>
    </row>
    <row r="1580">
      <c r="A1580" s="7" t="inlineStr">
        <is>
          <t>LTU</t>
        </is>
      </c>
      <c r="B1580" s="7" t="inlineStr">
        <is>
          <t>Lithuania</t>
        </is>
      </c>
      <c r="C1580" s="7" t="inlineStr">
        <is>
          <t>Europe &amp; Central Asia</t>
        </is>
      </c>
      <c r="D1580" s="7" t="inlineStr">
        <is>
          <t>High income</t>
        </is>
      </c>
      <c r="E1580" s="7" t="b">
        <v>0</v>
      </c>
      <c r="F1580" s="7" t="inlineStr">
        <is>
          <t>power_market_structure</t>
        </is>
      </c>
      <c r="G1580" s="7" t="n">
        <v>3</v>
      </c>
      <c r="H1580" s="7" t="inlineStr">
        <is>
          <t>2013</t>
        </is>
      </c>
      <c r="I1580" s="7" t="inlineStr">
        <is>
          <t>dataverse_files.zip</t>
        </is>
      </c>
    </row>
    <row r="1581">
      <c r="A1581" s="7" t="inlineStr">
        <is>
          <t>LTU</t>
        </is>
      </c>
      <c r="B1581" s="7" t="inlineStr">
        <is>
          <t>Lithuania</t>
        </is>
      </c>
      <c r="C1581" s="7" t="inlineStr">
        <is>
          <t>Europe &amp; Central Asia</t>
        </is>
      </c>
      <c r="D1581" s="7" t="inlineStr">
        <is>
          <t>High income</t>
        </is>
      </c>
      <c r="E1581" s="7" t="b">
        <v>0</v>
      </c>
      <c r="F1581" s="7" t="inlineStr">
        <is>
          <t>price_coal_power_usd_gj</t>
        </is>
      </c>
      <c r="G1581" s="7" t="n">
        <v>12.069</v>
      </c>
      <c r="H1581" s="7" t="inlineStr">
        <is>
          <t>2024</t>
        </is>
      </c>
      <c r="I1581" s="7" t="inlineStr">
        <is>
          <t>imffossilfuelsubsidiesdata.xlsb</t>
        </is>
      </c>
    </row>
    <row r="1582">
      <c r="A1582" s="7" t="inlineStr">
        <is>
          <t>LTU</t>
        </is>
      </c>
      <c r="B1582" s="7" t="inlineStr">
        <is>
          <t>Lithuania</t>
        </is>
      </c>
      <c r="C1582" s="7" t="inlineStr">
        <is>
          <t>Europe &amp; Central Asia</t>
        </is>
      </c>
      <c r="D1582" s="7" t="inlineStr">
        <is>
          <t>High income</t>
        </is>
      </c>
      <c r="E1582" s="7" t="b">
        <v>0</v>
      </c>
      <c r="F1582" s="7" t="inlineStr">
        <is>
          <t>price_electricity_residential_usd_kwh</t>
        </is>
      </c>
      <c r="G1582" s="7" t="n">
        <v>0.241</v>
      </c>
      <c r="H1582" s="7" t="inlineStr">
        <is>
          <t>2024</t>
        </is>
      </c>
      <c r="I1582" s="7" t="inlineStr">
        <is>
          <t>imffossilfuelsubsidiesdata.xlsb</t>
        </is>
      </c>
    </row>
    <row r="1583">
      <c r="A1583" s="7" t="inlineStr">
        <is>
          <t>LTU</t>
        </is>
      </c>
      <c r="B1583" s="7" t="inlineStr">
        <is>
          <t>Lithuania</t>
        </is>
      </c>
      <c r="C1583" s="7" t="inlineStr">
        <is>
          <t>Europe &amp; Central Asia</t>
        </is>
      </c>
      <c r="D1583" s="7" t="inlineStr">
        <is>
          <t>High income</t>
        </is>
      </c>
      <c r="E1583" s="7" t="b">
        <v>0</v>
      </c>
      <c r="F1583" s="7" t="inlineStr">
        <is>
          <t>price_gas_industry_usd_gj</t>
        </is>
      </c>
      <c r="G1583" s="7" t="n">
        <v>17.06</v>
      </c>
      <c r="H1583" s="7" t="inlineStr">
        <is>
          <t>2024</t>
        </is>
      </c>
      <c r="I1583" s="7" t="inlineStr">
        <is>
          <t>imffossilfuelsubsidiesdata.xlsb</t>
        </is>
      </c>
    </row>
    <row r="1584">
      <c r="A1584" s="7" t="inlineStr">
        <is>
          <t>LTU</t>
        </is>
      </c>
      <c r="B1584" s="7" t="inlineStr">
        <is>
          <t>Lithuania</t>
        </is>
      </c>
      <c r="C1584" s="7" t="inlineStr">
        <is>
          <t>Europe &amp; Central Asia</t>
        </is>
      </c>
      <c r="D1584" s="7" t="inlineStr">
        <is>
          <t>High income</t>
        </is>
      </c>
      <c r="E1584" s="7" t="b">
        <v>0</v>
      </c>
      <c r="F1584" s="7" t="inlineStr">
        <is>
          <t>price_gas_power_usd_gj</t>
        </is>
      </c>
      <c r="G1584" s="7" t="n">
        <v>17.06</v>
      </c>
      <c r="H1584" s="7" t="inlineStr">
        <is>
          <t>2024</t>
        </is>
      </c>
      <c r="I1584" s="7" t="inlineStr">
        <is>
          <t>imffossilfuelsubsidiesdata.xlsb</t>
        </is>
      </c>
    </row>
    <row r="1585">
      <c r="A1585" s="7" t="inlineStr">
        <is>
          <t>LUX</t>
        </is>
      </c>
      <c r="B1585" s="7" t="inlineStr">
        <is>
          <t>Luxembourg</t>
        </is>
      </c>
      <c r="C1585" s="7" t="inlineStr">
        <is>
          <t>Europe &amp; Central Asia</t>
        </is>
      </c>
      <c r="D1585" s="7" t="inlineStr">
        <is>
          <t>High income</t>
        </is>
      </c>
      <c r="E1585" s="7" t="b">
        <v>0</v>
      </c>
      <c r="F1585" s="7" t="inlineStr">
        <is>
          <t>coal_rents_pct_gdp</t>
        </is>
      </c>
      <c r="G1585" s="7" t="n">
        <v>0</v>
      </c>
      <c r="H1585" s="7" t="inlineStr">
        <is>
          <t>2021</t>
        </is>
      </c>
      <c r="I1585" s="7" t="inlineStr">
        <is>
          <t>API_NY_GDP_COAL_RT_ZS_DS2_en_csv_v2_35370.zip</t>
        </is>
      </c>
    </row>
    <row r="1586">
      <c r="A1586" s="7" t="inlineStr">
        <is>
          <t>LUX</t>
        </is>
      </c>
      <c r="B1586" s="7" t="inlineStr">
        <is>
          <t>Luxembourg</t>
        </is>
      </c>
      <c r="C1586" s="7" t="inlineStr">
        <is>
          <t>Europe &amp; Central Asia</t>
        </is>
      </c>
      <c r="D1586" s="7" t="inlineStr">
        <is>
          <t>High income</t>
        </is>
      </c>
      <c r="E1586" s="7" t="b">
        <v>0</v>
      </c>
      <c r="F1586" s="7" t="inlineStr">
        <is>
          <t>em_coal_mt</t>
        </is>
      </c>
      <c r="G1586" s="7" t="n">
        <v>0</v>
      </c>
      <c r="H1586" s="7" t="n">
        <v>2024</v>
      </c>
      <c r="I1586" s="7" t="inlineStr">
        <is>
          <t>release_generation_yearly_global.csv (Ember)</t>
        </is>
      </c>
    </row>
    <row r="1587">
      <c r="A1587" s="7" t="inlineStr">
        <is>
          <t>LUX</t>
        </is>
      </c>
      <c r="B1587" s="7" t="inlineStr">
        <is>
          <t>Luxembourg</t>
        </is>
      </c>
      <c r="C1587" s="7" t="inlineStr">
        <is>
          <t>Europe &amp; Central Asia</t>
        </is>
      </c>
      <c r="D1587" s="7" t="inlineStr">
        <is>
          <t>High income</t>
        </is>
      </c>
      <c r="E1587" s="7" t="b">
        <v>0</v>
      </c>
      <c r="F1587" s="7" t="inlineStr">
        <is>
          <t>em_gas_mt</t>
        </is>
      </c>
      <c r="G1587" s="7" t="n">
        <v>0.023</v>
      </c>
      <c r="H1587" s="7" t="n">
        <v>2024</v>
      </c>
      <c r="I1587" s="7" t="inlineStr">
        <is>
          <t>release_generation_yearly_global.csv (Ember)</t>
        </is>
      </c>
    </row>
    <row r="1588">
      <c r="A1588" s="7" t="inlineStr">
        <is>
          <t>LUX</t>
        </is>
      </c>
      <c r="B1588" s="7" t="inlineStr">
        <is>
          <t>Luxembourg</t>
        </is>
      </c>
      <c r="C1588" s="7" t="inlineStr">
        <is>
          <t>Europe &amp; Central Asia</t>
        </is>
      </c>
      <c r="D1588" s="7" t="inlineStr">
        <is>
          <t>High income</t>
        </is>
      </c>
      <c r="E1588" s="7" t="b">
        <v>0</v>
      </c>
      <c r="F1588" s="7" t="inlineStr">
        <is>
          <t>em_oil_mt</t>
        </is>
      </c>
      <c r="G1588" s="7" t="n">
        <v>0.046</v>
      </c>
      <c r="H1588" s="7" t="n">
        <v>2024</v>
      </c>
      <c r="I1588" s="7" t="inlineStr">
        <is>
          <t>release_generation_yearly_global.csv (Ember)</t>
        </is>
      </c>
    </row>
    <row r="1589">
      <c r="A1589" s="7" t="inlineStr">
        <is>
          <t>LUX</t>
        </is>
      </c>
      <c r="B1589" s="7" t="inlineStr">
        <is>
          <t>Luxembourg</t>
        </is>
      </c>
      <c r="C1589" s="7" t="inlineStr">
        <is>
          <t>Europe &amp; Central Asia</t>
        </is>
      </c>
      <c r="D1589" s="7" t="inlineStr">
        <is>
          <t>High income</t>
        </is>
      </c>
      <c r="E1589" s="7" t="b">
        <v>0</v>
      </c>
      <c r="F1589" s="7" t="inlineStr">
        <is>
          <t>ff_subsidy_explicit_pct_gdp</t>
        </is>
      </c>
      <c r="G1589" s="7" t="n">
        <v>0.103</v>
      </c>
      <c r="H1589" s="7" t="inlineStr">
        <is>
          <t>2024</t>
        </is>
      </c>
      <c r="I1589" s="7" t="inlineStr">
        <is>
          <t>imffossilfuelsubsidiesdata.xlsb</t>
        </is>
      </c>
    </row>
    <row r="1590">
      <c r="A1590" s="7" t="inlineStr">
        <is>
          <t>LUX</t>
        </is>
      </c>
      <c r="B1590" s="7" t="inlineStr">
        <is>
          <t>Luxembourg</t>
        </is>
      </c>
      <c r="C1590" s="7" t="inlineStr">
        <is>
          <t>Europe &amp; Central Asia</t>
        </is>
      </c>
      <c r="D1590" s="7" t="inlineStr">
        <is>
          <t>High income</t>
        </is>
      </c>
      <c r="E1590" s="7" t="b">
        <v>0</v>
      </c>
      <c r="F1590" s="7" t="inlineStr">
        <is>
          <t>fuel_exports_pct_merch</t>
        </is>
      </c>
      <c r="G1590" s="7" t="n">
        <v>0.123</v>
      </c>
      <c r="H1590" s="7" t="inlineStr">
        <is>
          <t>2024</t>
        </is>
      </c>
      <c r="I1590" s="7" t="inlineStr">
        <is>
          <t>API_TX_VAL_FUEL_ZS_UN_DS2_en_csv_v2_33055.zip</t>
        </is>
      </c>
    </row>
    <row r="1591">
      <c r="A1591" s="7" t="inlineStr">
        <is>
          <t>LUX</t>
        </is>
      </c>
      <c r="B1591" s="7" t="inlineStr">
        <is>
          <t>Luxembourg</t>
        </is>
      </c>
      <c r="C1591" s="7" t="inlineStr">
        <is>
          <t>Europe &amp; Central Asia</t>
        </is>
      </c>
      <c r="D1591" s="7" t="inlineStr">
        <is>
          <t>High income</t>
        </is>
      </c>
      <c r="E1591" s="7" t="b">
        <v>0</v>
      </c>
      <c r="F1591" s="7" t="inlineStr">
        <is>
          <t>gen_coal_twh</t>
        </is>
      </c>
      <c r="G1591" s="7" t="n">
        <v>0</v>
      </c>
      <c r="H1591" s="7" t="n">
        <v>2024</v>
      </c>
      <c r="I1591" s="7" t="inlineStr">
        <is>
          <t>release_generation_yearly_global.csv (Ember)</t>
        </is>
      </c>
    </row>
    <row r="1592">
      <c r="A1592" s="7" t="inlineStr">
        <is>
          <t>LUX</t>
        </is>
      </c>
      <c r="B1592" s="7" t="inlineStr">
        <is>
          <t>Luxembourg</t>
        </is>
      </c>
      <c r="C1592" s="7" t="inlineStr">
        <is>
          <t>Europe &amp; Central Asia</t>
        </is>
      </c>
      <c r="D1592" s="7" t="inlineStr">
        <is>
          <t>High income</t>
        </is>
      </c>
      <c r="E1592" s="7" t="b">
        <v>0</v>
      </c>
      <c r="F1592" s="7" t="inlineStr">
        <is>
          <t>gen_gas_twh</t>
        </is>
      </c>
      <c r="G1592" s="7" t="n">
        <v>0.07000000000000001</v>
      </c>
      <c r="H1592" s="7" t="n">
        <v>2024</v>
      </c>
      <c r="I1592" s="7" t="inlineStr">
        <is>
          <t>release_generation_yearly_global.csv (Ember)</t>
        </is>
      </c>
    </row>
    <row r="1593">
      <c r="A1593" s="7" t="inlineStr">
        <is>
          <t>LUX</t>
        </is>
      </c>
      <c r="B1593" s="7" t="inlineStr">
        <is>
          <t>Luxembourg</t>
        </is>
      </c>
      <c r="C1593" s="7" t="inlineStr">
        <is>
          <t>Europe &amp; Central Asia</t>
        </is>
      </c>
      <c r="D1593" s="7" t="inlineStr">
        <is>
          <t>High income</t>
        </is>
      </c>
      <c r="E1593" s="7" t="b">
        <v>0</v>
      </c>
      <c r="F1593" s="7" t="inlineStr">
        <is>
          <t>gen_oil_twh</t>
        </is>
      </c>
      <c r="G1593" s="7" t="n">
        <v>0.07000000000000001</v>
      </c>
      <c r="H1593" s="7" t="n">
        <v>2024</v>
      </c>
      <c r="I1593" s="7" t="inlineStr">
        <is>
          <t>release_generation_yearly_global.csv (Ember)</t>
        </is>
      </c>
    </row>
    <row r="1594">
      <c r="A1594" s="7" t="inlineStr">
        <is>
          <t>LUX</t>
        </is>
      </c>
      <c r="B1594" s="7" t="inlineStr">
        <is>
          <t>Luxembourg</t>
        </is>
      </c>
      <c r="C1594" s="7" t="inlineStr">
        <is>
          <t>Europe &amp; Central Asia</t>
        </is>
      </c>
      <c r="D1594" s="7" t="inlineStr">
        <is>
          <t>High income</t>
        </is>
      </c>
      <c r="E1594" s="7" t="b">
        <v>0</v>
      </c>
      <c r="F1594" s="7" t="inlineStr">
        <is>
          <t>gen_total_twh</t>
        </is>
      </c>
      <c r="G1594" s="7" t="n">
        <v>1.51</v>
      </c>
      <c r="H1594" s="7" t="n">
        <v>2024</v>
      </c>
      <c r="I1594" s="7" t="inlineStr">
        <is>
          <t>release_generation_yearly_global.csv (Ember)</t>
        </is>
      </c>
    </row>
    <row r="1595">
      <c r="A1595" s="7" t="inlineStr">
        <is>
          <t>LUX</t>
        </is>
      </c>
      <c r="B1595" s="7" t="inlineStr">
        <is>
          <t>Luxembourg</t>
        </is>
      </c>
      <c r="C1595" s="7" t="inlineStr">
        <is>
          <t>Europe &amp; Central Asia</t>
        </is>
      </c>
      <c r="D1595" s="7" t="inlineStr">
        <is>
          <t>High income</t>
        </is>
      </c>
      <c r="E1595" s="7" t="b">
        <v>0</v>
      </c>
      <c r="F1595" s="7" t="inlineStr">
        <is>
          <t>price_coal_power_usd_gj</t>
        </is>
      </c>
      <c r="G1595" s="7" t="n">
        <v>26.498</v>
      </c>
      <c r="H1595" s="7" t="inlineStr">
        <is>
          <t>2024</t>
        </is>
      </c>
      <c r="I1595" s="7" t="inlineStr">
        <is>
          <t>imffossilfuelsubsidiesdata.xlsb</t>
        </is>
      </c>
    </row>
    <row r="1596">
      <c r="A1596" s="7" t="inlineStr">
        <is>
          <t>LUX</t>
        </is>
      </c>
      <c r="B1596" s="7" t="inlineStr">
        <is>
          <t>Luxembourg</t>
        </is>
      </c>
      <c r="C1596" s="7" t="inlineStr">
        <is>
          <t>Europe &amp; Central Asia</t>
        </is>
      </c>
      <c r="D1596" s="7" t="inlineStr">
        <is>
          <t>High income</t>
        </is>
      </c>
      <c r="E1596" s="7" t="b">
        <v>0</v>
      </c>
      <c r="F1596" s="7" t="inlineStr">
        <is>
          <t>price_electricity_residential_usd_kwh</t>
        </is>
      </c>
      <c r="G1596" s="7" t="n">
        <v>0.219</v>
      </c>
      <c r="H1596" s="7" t="inlineStr">
        <is>
          <t>2024</t>
        </is>
      </c>
      <c r="I1596" s="7" t="inlineStr">
        <is>
          <t>imffossilfuelsubsidiesdata.xlsb</t>
        </is>
      </c>
    </row>
    <row r="1597">
      <c r="A1597" s="7" t="inlineStr">
        <is>
          <t>LUX</t>
        </is>
      </c>
      <c r="B1597" s="7" t="inlineStr">
        <is>
          <t>Luxembourg</t>
        </is>
      </c>
      <c r="C1597" s="7" t="inlineStr">
        <is>
          <t>Europe &amp; Central Asia</t>
        </is>
      </c>
      <c r="D1597" s="7" t="inlineStr">
        <is>
          <t>High income</t>
        </is>
      </c>
      <c r="E1597" s="7" t="b">
        <v>0</v>
      </c>
      <c r="F1597" s="7" t="inlineStr">
        <is>
          <t>price_gas_industry_usd_gj</t>
        </is>
      </c>
      <c r="G1597" s="7" t="n">
        <v>25.196</v>
      </c>
      <c r="H1597" s="7" t="inlineStr">
        <is>
          <t>2024</t>
        </is>
      </c>
      <c r="I1597" s="7" t="inlineStr">
        <is>
          <t>imffossilfuelsubsidiesdata.xlsb</t>
        </is>
      </c>
    </row>
    <row r="1598">
      <c r="A1598" s="7" t="inlineStr">
        <is>
          <t>LUX</t>
        </is>
      </c>
      <c r="B1598" s="7" t="inlineStr">
        <is>
          <t>Luxembourg</t>
        </is>
      </c>
      <c r="C1598" s="7" t="inlineStr">
        <is>
          <t>Europe &amp; Central Asia</t>
        </is>
      </c>
      <c r="D1598" s="7" t="inlineStr">
        <is>
          <t>High income</t>
        </is>
      </c>
      <c r="E1598" s="7" t="b">
        <v>0</v>
      </c>
      <c r="F1598" s="7" t="inlineStr">
        <is>
          <t>price_gas_power_usd_gj</t>
        </is>
      </c>
      <c r="G1598" s="7" t="n">
        <v>25.196</v>
      </c>
      <c r="H1598" s="7" t="inlineStr">
        <is>
          <t>2024</t>
        </is>
      </c>
      <c r="I1598" s="7" t="inlineStr">
        <is>
          <t>imffossilfuelsubsidiesdata.xlsb</t>
        </is>
      </c>
    </row>
    <row r="1599">
      <c r="A1599" s="7" t="inlineStr">
        <is>
          <t>LVA</t>
        </is>
      </c>
      <c r="B1599" s="7" t="inlineStr">
        <is>
          <t>Latvia</t>
        </is>
      </c>
      <c r="C1599" s="7" t="inlineStr">
        <is>
          <t>Europe &amp; Central Asia</t>
        </is>
      </c>
      <c r="D1599" s="7" t="inlineStr">
        <is>
          <t>High income</t>
        </is>
      </c>
      <c r="E1599" s="7" t="b">
        <v>0</v>
      </c>
      <c r="F1599" s="7" t="inlineStr">
        <is>
          <t>coal_rents_pct_gdp</t>
        </is>
      </c>
      <c r="G1599" s="7" t="n">
        <v>0</v>
      </c>
      <c r="H1599" s="7" t="inlineStr">
        <is>
          <t>2021</t>
        </is>
      </c>
      <c r="I1599" s="7" t="inlineStr">
        <is>
          <t>API_NY_GDP_COAL_RT_ZS_DS2_en_csv_v2_35370.zip</t>
        </is>
      </c>
    </row>
    <row r="1600">
      <c r="A1600" s="7" t="inlineStr">
        <is>
          <t>LVA</t>
        </is>
      </c>
      <c r="B1600" s="7" t="inlineStr">
        <is>
          <t>Latvia</t>
        </is>
      </c>
      <c r="C1600" s="7" t="inlineStr">
        <is>
          <t>Europe &amp; Central Asia</t>
        </is>
      </c>
      <c r="D1600" s="7" t="inlineStr">
        <is>
          <t>High income</t>
        </is>
      </c>
      <c r="E1600" s="7" t="b">
        <v>0</v>
      </c>
      <c r="F1600" s="7" t="inlineStr">
        <is>
          <t>em_coal_mt</t>
        </is>
      </c>
      <c r="G1600" s="7" t="n">
        <v>0</v>
      </c>
      <c r="H1600" s="7" t="n">
        <v>2024</v>
      </c>
      <c r="I1600" s="7" t="inlineStr">
        <is>
          <t>release_generation_yearly_global.csv (Ember)</t>
        </is>
      </c>
    </row>
    <row r="1601">
      <c r="A1601" s="7" t="inlineStr">
        <is>
          <t>LVA</t>
        </is>
      </c>
      <c r="B1601" s="7" t="inlineStr">
        <is>
          <t>Latvia</t>
        </is>
      </c>
      <c r="C1601" s="7" t="inlineStr">
        <is>
          <t>Europe &amp; Central Asia</t>
        </is>
      </c>
      <c r="D1601" s="7" t="inlineStr">
        <is>
          <t>High income</t>
        </is>
      </c>
      <c r="E1601" s="7" t="b">
        <v>0</v>
      </c>
      <c r="F1601" s="7" t="inlineStr">
        <is>
          <t>em_gas_mt</t>
        </is>
      </c>
      <c r="G1601" s="7" t="n">
        <v>0.613</v>
      </c>
      <c r="H1601" s="7" t="n">
        <v>2024</v>
      </c>
      <c r="I1601" s="7" t="inlineStr">
        <is>
          <t>release_generation_yearly_global.csv (Ember)</t>
        </is>
      </c>
    </row>
    <row r="1602">
      <c r="A1602" s="7" t="inlineStr">
        <is>
          <t>LVA</t>
        </is>
      </c>
      <c r="B1602" s="7" t="inlineStr">
        <is>
          <t>Latvia</t>
        </is>
      </c>
      <c r="C1602" s="7" t="inlineStr">
        <is>
          <t>Europe &amp; Central Asia</t>
        </is>
      </c>
      <c r="D1602" s="7" t="inlineStr">
        <is>
          <t>High income</t>
        </is>
      </c>
      <c r="E1602" s="7" t="b">
        <v>0</v>
      </c>
      <c r="F1602" s="7" t="inlineStr">
        <is>
          <t>em_oil_mt</t>
        </is>
      </c>
      <c r="G1602" s="7" t="n">
        <v>0</v>
      </c>
      <c r="H1602" s="7" t="n">
        <v>2024</v>
      </c>
      <c r="I1602" s="7" t="inlineStr">
        <is>
          <t>release_generation_yearly_global.csv (Ember)</t>
        </is>
      </c>
    </row>
    <row r="1603">
      <c r="A1603" s="7" t="inlineStr">
        <is>
          <t>LVA</t>
        </is>
      </c>
      <c r="B1603" s="7" t="inlineStr">
        <is>
          <t>Latvia</t>
        </is>
      </c>
      <c r="C1603" s="7" t="inlineStr">
        <is>
          <t>Europe &amp; Central Asia</t>
        </is>
      </c>
      <c r="D1603" s="7" t="inlineStr">
        <is>
          <t>High income</t>
        </is>
      </c>
      <c r="E1603" s="7" t="b">
        <v>0</v>
      </c>
      <c r="F1603" s="7" t="inlineStr">
        <is>
          <t>ff_subsidy_explicit_pct_gdp</t>
        </is>
      </c>
      <c r="G1603" s="7" t="n">
        <v>0.346</v>
      </c>
      <c r="H1603" s="7" t="inlineStr">
        <is>
          <t>2024</t>
        </is>
      </c>
      <c r="I1603" s="7" t="inlineStr">
        <is>
          <t>imffossilfuelsubsidiesdata.xlsb</t>
        </is>
      </c>
    </row>
    <row r="1604">
      <c r="A1604" s="7" t="inlineStr">
        <is>
          <t>LVA</t>
        </is>
      </c>
      <c r="B1604" s="7" t="inlineStr">
        <is>
          <t>Latvia</t>
        </is>
      </c>
      <c r="C1604" s="7" t="inlineStr">
        <is>
          <t>Europe &amp; Central Asia</t>
        </is>
      </c>
      <c r="D1604" s="7" t="inlineStr">
        <is>
          <t>High income</t>
        </is>
      </c>
      <c r="E1604" s="7" t="b">
        <v>0</v>
      </c>
      <c r="F1604" s="7" t="inlineStr">
        <is>
          <t>fuel_exports_pct_merch</t>
        </is>
      </c>
      <c r="G1604" s="7" t="n">
        <v>8.231999999999999</v>
      </c>
      <c r="H1604" s="7" t="inlineStr">
        <is>
          <t>2025</t>
        </is>
      </c>
      <c r="I1604" s="7" t="inlineStr">
        <is>
          <t>API_TX_VAL_FUEL_ZS_UN_DS2_en_csv_v2_33055.zip</t>
        </is>
      </c>
    </row>
    <row r="1605">
      <c r="A1605" s="7" t="inlineStr">
        <is>
          <t>LVA</t>
        </is>
      </c>
      <c r="B1605" s="7" t="inlineStr">
        <is>
          <t>Latvia</t>
        </is>
      </c>
      <c r="C1605" s="7" t="inlineStr">
        <is>
          <t>Europe &amp; Central Asia</t>
        </is>
      </c>
      <c r="D1605" s="7" t="inlineStr">
        <is>
          <t>High income</t>
        </is>
      </c>
      <c r="E1605" s="7" t="b">
        <v>0</v>
      </c>
      <c r="F1605" s="7" t="inlineStr">
        <is>
          <t>gen_coal_twh</t>
        </is>
      </c>
      <c r="G1605" s="7" t="n">
        <v>0</v>
      </c>
      <c r="H1605" s="7" t="n">
        <v>2024</v>
      </c>
      <c r="I1605" s="7" t="inlineStr">
        <is>
          <t>release_generation_yearly_global.csv (Ember)</t>
        </is>
      </c>
    </row>
    <row r="1606">
      <c r="A1606" s="7" t="inlineStr">
        <is>
          <t>LVA</t>
        </is>
      </c>
      <c r="B1606" s="7" t="inlineStr">
        <is>
          <t>Latvia</t>
        </is>
      </c>
      <c r="C1606" s="7" t="inlineStr">
        <is>
          <t>Europe &amp; Central Asia</t>
        </is>
      </c>
      <c r="D1606" s="7" t="inlineStr">
        <is>
          <t>High income</t>
        </is>
      </c>
      <c r="E1606" s="7" t="b">
        <v>0</v>
      </c>
      <c r="F1606" s="7" t="inlineStr">
        <is>
          <t>gen_gas_twh</t>
        </is>
      </c>
      <c r="G1606" s="7" t="n">
        <v>1.68</v>
      </c>
      <c r="H1606" s="7" t="n">
        <v>2024</v>
      </c>
      <c r="I1606" s="7" t="inlineStr">
        <is>
          <t>release_generation_yearly_global.csv (Ember)</t>
        </is>
      </c>
    </row>
    <row r="1607">
      <c r="A1607" s="7" t="inlineStr">
        <is>
          <t>LVA</t>
        </is>
      </c>
      <c r="B1607" s="7" t="inlineStr">
        <is>
          <t>Latvia</t>
        </is>
      </c>
      <c r="C1607" s="7" t="inlineStr">
        <is>
          <t>Europe &amp; Central Asia</t>
        </is>
      </c>
      <c r="D1607" s="7" t="inlineStr">
        <is>
          <t>High income</t>
        </is>
      </c>
      <c r="E1607" s="7" t="b">
        <v>0</v>
      </c>
      <c r="F1607" s="7" t="inlineStr">
        <is>
          <t>gen_oil_twh</t>
        </is>
      </c>
      <c r="G1607" s="7" t="n">
        <v>0</v>
      </c>
      <c r="H1607" s="7" t="n">
        <v>2024</v>
      </c>
      <c r="I1607" s="7" t="inlineStr">
        <is>
          <t>release_generation_yearly_global.csv (Ember)</t>
        </is>
      </c>
    </row>
    <row r="1608">
      <c r="A1608" s="7" t="inlineStr">
        <is>
          <t>LVA</t>
        </is>
      </c>
      <c r="B1608" s="7" t="inlineStr">
        <is>
          <t>Latvia</t>
        </is>
      </c>
      <c r="C1608" s="7" t="inlineStr">
        <is>
          <t>Europe &amp; Central Asia</t>
        </is>
      </c>
      <c r="D1608" s="7" t="inlineStr">
        <is>
          <t>High income</t>
        </is>
      </c>
      <c r="E1608" s="7" t="b">
        <v>0</v>
      </c>
      <c r="F1608" s="7" t="inlineStr">
        <is>
          <t>gen_total_twh</t>
        </is>
      </c>
      <c r="G1608" s="7" t="n">
        <v>6.33</v>
      </c>
      <c r="H1608" s="7" t="n">
        <v>2024</v>
      </c>
      <c r="I1608" s="7" t="inlineStr">
        <is>
          <t>release_generation_yearly_global.csv (Ember)</t>
        </is>
      </c>
    </row>
    <row r="1609">
      <c r="A1609" s="7" t="inlineStr">
        <is>
          <t>LVA</t>
        </is>
      </c>
      <c r="B1609" s="7" t="inlineStr">
        <is>
          <t>Latvia</t>
        </is>
      </c>
      <c r="C1609" s="7" t="inlineStr">
        <is>
          <t>Europe &amp; Central Asia</t>
        </is>
      </c>
      <c r="D1609" s="7" t="inlineStr">
        <is>
          <t>High income</t>
        </is>
      </c>
      <c r="E1609" s="7" t="b">
        <v>0</v>
      </c>
      <c r="F1609" s="7" t="inlineStr">
        <is>
          <t>power_market_structure</t>
        </is>
      </c>
      <c r="G1609" s="7" t="n">
        <v>3</v>
      </c>
      <c r="H1609" s="7" t="inlineStr">
        <is>
          <t>2013</t>
        </is>
      </c>
      <c r="I1609" s="7" t="inlineStr">
        <is>
          <t>dataverse_files.zip</t>
        </is>
      </c>
    </row>
    <row r="1610">
      <c r="A1610" s="7" t="inlineStr">
        <is>
          <t>LVA</t>
        </is>
      </c>
      <c r="B1610" s="7" t="inlineStr">
        <is>
          <t>Latvia</t>
        </is>
      </c>
      <c r="C1610" s="7" t="inlineStr">
        <is>
          <t>Europe &amp; Central Asia</t>
        </is>
      </c>
      <c r="D1610" s="7" t="inlineStr">
        <is>
          <t>High income</t>
        </is>
      </c>
      <c r="E1610" s="7" t="b">
        <v>0</v>
      </c>
      <c r="F1610" s="7" t="inlineStr">
        <is>
          <t>price_coal_power_usd_gj</t>
        </is>
      </c>
      <c r="G1610" s="7" t="n">
        <v>17.762</v>
      </c>
      <c r="H1610" s="7" t="inlineStr">
        <is>
          <t>2024</t>
        </is>
      </c>
      <c r="I1610" s="7" t="inlineStr">
        <is>
          <t>imffossilfuelsubsidiesdata.xlsb</t>
        </is>
      </c>
    </row>
    <row r="1611">
      <c r="A1611" s="7" t="inlineStr">
        <is>
          <t>LVA</t>
        </is>
      </c>
      <c r="B1611" s="7" t="inlineStr">
        <is>
          <t>Latvia</t>
        </is>
      </c>
      <c r="C1611" s="7" t="inlineStr">
        <is>
          <t>Europe &amp; Central Asia</t>
        </is>
      </c>
      <c r="D1611" s="7" t="inlineStr">
        <is>
          <t>High income</t>
        </is>
      </c>
      <c r="E1611" s="7" t="b">
        <v>0</v>
      </c>
      <c r="F1611" s="7" t="inlineStr">
        <is>
          <t>price_electricity_residential_usd_kwh</t>
        </is>
      </c>
      <c r="G1611" s="7" t="n">
        <v>0.266</v>
      </c>
      <c r="H1611" s="7" t="inlineStr">
        <is>
          <t>2024</t>
        </is>
      </c>
      <c r="I1611" s="7" t="inlineStr">
        <is>
          <t>imffossilfuelsubsidiesdata.xlsb</t>
        </is>
      </c>
    </row>
    <row r="1612">
      <c r="A1612" s="7" t="inlineStr">
        <is>
          <t>LVA</t>
        </is>
      </c>
      <c r="B1612" s="7" t="inlineStr">
        <is>
          <t>Latvia</t>
        </is>
      </c>
      <c r="C1612" s="7" t="inlineStr">
        <is>
          <t>Europe &amp; Central Asia</t>
        </is>
      </c>
      <c r="D1612" s="7" t="inlineStr">
        <is>
          <t>High income</t>
        </is>
      </c>
      <c r="E1612" s="7" t="b">
        <v>0</v>
      </c>
      <c r="F1612" s="7" t="inlineStr">
        <is>
          <t>price_gas_industry_usd_gj</t>
        </is>
      </c>
      <c r="G1612" s="7" t="n">
        <v>29.911</v>
      </c>
      <c r="H1612" s="7" t="inlineStr">
        <is>
          <t>2024</t>
        </is>
      </c>
      <c r="I1612" s="7" t="inlineStr">
        <is>
          <t>imffossilfuelsubsidiesdata.xlsb</t>
        </is>
      </c>
    </row>
    <row r="1613">
      <c r="A1613" s="7" t="inlineStr">
        <is>
          <t>LVA</t>
        </is>
      </c>
      <c r="B1613" s="7" t="inlineStr">
        <is>
          <t>Latvia</t>
        </is>
      </c>
      <c r="C1613" s="7" t="inlineStr">
        <is>
          <t>Europe &amp; Central Asia</t>
        </is>
      </c>
      <c r="D1613" s="7" t="inlineStr">
        <is>
          <t>High income</t>
        </is>
      </c>
      <c r="E1613" s="7" t="b">
        <v>0</v>
      </c>
      <c r="F1613" s="7" t="inlineStr">
        <is>
          <t>price_gas_power_usd_gj</t>
        </is>
      </c>
      <c r="G1613" s="7" t="n">
        <v>29.911</v>
      </c>
      <c r="H1613" s="7" t="inlineStr">
        <is>
          <t>2024</t>
        </is>
      </c>
      <c r="I1613" s="7" t="inlineStr">
        <is>
          <t>imffossilfuelsubsidiesdata.xlsb</t>
        </is>
      </c>
    </row>
    <row r="1614">
      <c r="A1614" s="7" t="inlineStr">
        <is>
          <t>MAC</t>
        </is>
      </c>
      <c r="B1614" s="7" t="inlineStr">
        <is>
          <t>Macao SAR, China</t>
        </is>
      </c>
      <c r="C1614" s="7" t="inlineStr">
        <is>
          <t>East Asia &amp; Pacific</t>
        </is>
      </c>
      <c r="D1614" s="7" t="inlineStr">
        <is>
          <t>High income</t>
        </is>
      </c>
      <c r="E1614" s="7" t="b">
        <v>0</v>
      </c>
      <c r="F1614" s="7" t="inlineStr">
        <is>
          <t>coal_rents_pct_gdp</t>
        </is>
      </c>
      <c r="G1614" s="7" t="n">
        <v>0</v>
      </c>
      <c r="H1614" s="7" t="inlineStr">
        <is>
          <t>2021</t>
        </is>
      </c>
      <c r="I1614" s="7" t="inlineStr">
        <is>
          <t>API_NY_GDP_COAL_RT_ZS_DS2_en_csv_v2_35370.zip</t>
        </is>
      </c>
    </row>
    <row r="1615">
      <c r="A1615" s="7" t="inlineStr">
        <is>
          <t>MAC</t>
        </is>
      </c>
      <c r="B1615" s="7" t="inlineStr">
        <is>
          <t>Macao SAR, China</t>
        </is>
      </c>
      <c r="C1615" s="7" t="inlineStr">
        <is>
          <t>East Asia &amp; Pacific</t>
        </is>
      </c>
      <c r="D1615" s="7" t="inlineStr">
        <is>
          <t>High income</t>
        </is>
      </c>
      <c r="E1615" s="7" t="b">
        <v>0</v>
      </c>
      <c r="F1615" s="7" t="inlineStr">
        <is>
          <t>em_coal_mt</t>
        </is>
      </c>
      <c r="G1615" s="7" t="n">
        <v>0</v>
      </c>
      <c r="H1615" s="7" t="n">
        <v>2024</v>
      </c>
      <c r="I1615" s="7" t="inlineStr">
        <is>
          <t>release_generation_yearly_global.csv (Ember)</t>
        </is>
      </c>
    </row>
    <row r="1616">
      <c r="A1616" s="7" t="inlineStr">
        <is>
          <t>MAC</t>
        </is>
      </c>
      <c r="B1616" s="7" t="inlineStr">
        <is>
          <t>Macao SAR, China</t>
        </is>
      </c>
      <c r="C1616" s="7" t="inlineStr">
        <is>
          <t>East Asia &amp; Pacific</t>
        </is>
      </c>
      <c r="D1616" s="7" t="inlineStr">
        <is>
          <t>High income</t>
        </is>
      </c>
      <c r="E1616" s="7" t="b">
        <v>0</v>
      </c>
      <c r="F1616" s="7" t="inlineStr">
        <is>
          <t>em_gas_mt</t>
        </is>
      </c>
      <c r="G1616" s="7" t="n">
        <v>0.285</v>
      </c>
      <c r="H1616" s="7" t="n">
        <v>2024</v>
      </c>
      <c r="I1616" s="7" t="inlineStr">
        <is>
          <t>release_generation_yearly_global.csv (Ember)</t>
        </is>
      </c>
    </row>
    <row r="1617">
      <c r="A1617" s="7" t="inlineStr">
        <is>
          <t>MAC</t>
        </is>
      </c>
      <c r="B1617" s="7" t="inlineStr">
        <is>
          <t>Macao SAR, China</t>
        </is>
      </c>
      <c r="C1617" s="7" t="inlineStr">
        <is>
          <t>East Asia &amp; Pacific</t>
        </is>
      </c>
      <c r="D1617" s="7" t="inlineStr">
        <is>
          <t>High income</t>
        </is>
      </c>
      <c r="E1617" s="7" t="b">
        <v>0</v>
      </c>
      <c r="F1617" s="7" t="inlineStr">
        <is>
          <t>em_oil_mt</t>
        </is>
      </c>
      <c r="G1617" s="7" t="n">
        <v>0.033</v>
      </c>
      <c r="H1617" s="7" t="n">
        <v>2024</v>
      </c>
      <c r="I1617" s="7" t="inlineStr">
        <is>
          <t>release_generation_yearly_global.csv (Ember)</t>
        </is>
      </c>
    </row>
    <row r="1618">
      <c r="A1618" s="7" t="inlineStr">
        <is>
          <t>MAC</t>
        </is>
      </c>
      <c r="B1618" s="7" t="inlineStr">
        <is>
          <t>Macao SAR, China</t>
        </is>
      </c>
      <c r="C1618" s="7" t="inlineStr">
        <is>
          <t>East Asia &amp; Pacific</t>
        </is>
      </c>
      <c r="D1618" s="7" t="inlineStr">
        <is>
          <t>High income</t>
        </is>
      </c>
      <c r="E1618" s="7" t="b">
        <v>0</v>
      </c>
      <c r="F1618" s="7" t="inlineStr">
        <is>
          <t>ff_subsidy_explicit_pct_gdp</t>
        </is>
      </c>
      <c r="G1618" s="7" t="n">
        <v>0.388</v>
      </c>
      <c r="H1618" s="7" t="inlineStr">
        <is>
          <t>2024</t>
        </is>
      </c>
      <c r="I1618" s="7" t="inlineStr">
        <is>
          <t>imffossilfuelsubsidiesdata.xlsb</t>
        </is>
      </c>
    </row>
    <row r="1619">
      <c r="A1619" s="7" t="inlineStr">
        <is>
          <t>MAC</t>
        </is>
      </c>
      <c r="B1619" s="7" t="inlineStr">
        <is>
          <t>Macao SAR, China</t>
        </is>
      </c>
      <c r="C1619" s="7" t="inlineStr">
        <is>
          <t>East Asia &amp; Pacific</t>
        </is>
      </c>
      <c r="D1619" s="7" t="inlineStr">
        <is>
          <t>High income</t>
        </is>
      </c>
      <c r="E1619" s="7" t="b">
        <v>0</v>
      </c>
      <c r="F1619" s="7" t="inlineStr">
        <is>
          <t>fuel_exports_pct_merch</t>
        </is>
      </c>
      <c r="G1619" s="7" t="n">
        <v>0</v>
      </c>
      <c r="H1619" s="7" t="inlineStr">
        <is>
          <t>2023</t>
        </is>
      </c>
      <c r="I1619" s="7" t="inlineStr">
        <is>
          <t>API_TX_VAL_FUEL_ZS_UN_DS2_en_csv_v2_33055.zip</t>
        </is>
      </c>
    </row>
    <row r="1620">
      <c r="A1620" s="7" t="inlineStr">
        <is>
          <t>MAC</t>
        </is>
      </c>
      <c r="B1620" s="7" t="inlineStr">
        <is>
          <t>Macao SAR, China</t>
        </is>
      </c>
      <c r="C1620" s="7" t="inlineStr">
        <is>
          <t>East Asia &amp; Pacific</t>
        </is>
      </c>
      <c r="D1620" s="7" t="inlineStr">
        <is>
          <t>High income</t>
        </is>
      </c>
      <c r="E1620" s="7" t="b">
        <v>0</v>
      </c>
      <c r="F1620" s="7" t="inlineStr">
        <is>
          <t>gen_coal_twh</t>
        </is>
      </c>
      <c r="G1620" s="7" t="n">
        <v>0</v>
      </c>
      <c r="H1620" s="7" t="n">
        <v>2024</v>
      </c>
      <c r="I1620" s="7" t="inlineStr">
        <is>
          <t>release_generation_yearly_global.csv (Ember)</t>
        </is>
      </c>
    </row>
    <row r="1621">
      <c r="A1621" s="7" t="inlineStr">
        <is>
          <t>MAC</t>
        </is>
      </c>
      <c r="B1621" s="7" t="inlineStr">
        <is>
          <t>Macao SAR, China</t>
        </is>
      </c>
      <c r="C1621" s="7" t="inlineStr">
        <is>
          <t>East Asia &amp; Pacific</t>
        </is>
      </c>
      <c r="D1621" s="7" t="inlineStr">
        <is>
          <t>High income</t>
        </is>
      </c>
      <c r="E1621" s="7" t="b">
        <v>0</v>
      </c>
      <c r="F1621" s="7" t="inlineStr">
        <is>
          <t>gen_gas_twh</t>
        </is>
      </c>
      <c r="G1621" s="7" t="n">
        <v>0.49</v>
      </c>
      <c r="H1621" s="7" t="n">
        <v>2024</v>
      </c>
      <c r="I1621" s="7" t="inlineStr">
        <is>
          <t>release_generation_yearly_global.csv (Ember)</t>
        </is>
      </c>
    </row>
    <row r="1622">
      <c r="A1622" s="7" t="inlineStr">
        <is>
          <t>MAC</t>
        </is>
      </c>
      <c r="B1622" s="7" t="inlineStr">
        <is>
          <t>Macao SAR, China</t>
        </is>
      </c>
      <c r="C1622" s="7" t="inlineStr">
        <is>
          <t>East Asia &amp; Pacific</t>
        </is>
      </c>
      <c r="D1622" s="7" t="inlineStr">
        <is>
          <t>High income</t>
        </is>
      </c>
      <c r="E1622" s="7" t="b">
        <v>0</v>
      </c>
      <c r="F1622" s="7" t="inlineStr">
        <is>
          <t>gen_oil_twh</t>
        </is>
      </c>
      <c r="G1622" s="7" t="n">
        <v>0.05</v>
      </c>
      <c r="H1622" s="7" t="n">
        <v>2024</v>
      </c>
      <c r="I1622" s="7" t="inlineStr">
        <is>
          <t>release_generation_yearly_global.csv (Ember)</t>
        </is>
      </c>
    </row>
    <row r="1623">
      <c r="A1623" s="7" t="inlineStr">
        <is>
          <t>MAC</t>
        </is>
      </c>
      <c r="B1623" s="7" t="inlineStr">
        <is>
          <t>Macao SAR, China</t>
        </is>
      </c>
      <c r="C1623" s="7" t="inlineStr">
        <is>
          <t>East Asia &amp; Pacific</t>
        </is>
      </c>
      <c r="D1623" s="7" t="inlineStr">
        <is>
          <t>High income</t>
        </is>
      </c>
      <c r="E1623" s="7" t="b">
        <v>0</v>
      </c>
      <c r="F1623" s="7" t="inlineStr">
        <is>
          <t>gen_total_twh</t>
        </is>
      </c>
      <c r="G1623" s="7" t="n">
        <v>0.78</v>
      </c>
      <c r="H1623" s="7" t="n">
        <v>2024</v>
      </c>
      <c r="I1623" s="7" t="inlineStr">
        <is>
          <t>release_generation_yearly_global.csv (Ember)</t>
        </is>
      </c>
    </row>
    <row r="1624">
      <c r="A1624" s="7" t="inlineStr">
        <is>
          <t>MAC</t>
        </is>
      </c>
      <c r="B1624" s="7" t="inlineStr">
        <is>
          <t>Macao SAR, China</t>
        </is>
      </c>
      <c r="C1624" s="7" t="inlineStr">
        <is>
          <t>East Asia &amp; Pacific</t>
        </is>
      </c>
      <c r="D1624" s="7" t="inlineStr">
        <is>
          <t>High income</t>
        </is>
      </c>
      <c r="E1624" s="7" t="b">
        <v>0</v>
      </c>
      <c r="F1624" s="7" t="inlineStr">
        <is>
          <t>price_coal_power_usd_gj</t>
        </is>
      </c>
      <c r="G1624" s="7" t="n">
        <v>4.833</v>
      </c>
      <c r="H1624" s="7" t="inlineStr">
        <is>
          <t>2024</t>
        </is>
      </c>
      <c r="I1624" s="7" t="inlineStr">
        <is>
          <t>imffossilfuelsubsidiesdata.xlsb</t>
        </is>
      </c>
    </row>
    <row r="1625">
      <c r="A1625" s="7" t="inlineStr">
        <is>
          <t>MAC</t>
        </is>
      </c>
      <c r="B1625" s="7" t="inlineStr">
        <is>
          <t>Macao SAR, China</t>
        </is>
      </c>
      <c r="C1625" s="7" t="inlineStr">
        <is>
          <t>East Asia &amp; Pacific</t>
        </is>
      </c>
      <c r="D1625" s="7" t="inlineStr">
        <is>
          <t>High income</t>
        </is>
      </c>
      <c r="E1625" s="7" t="b">
        <v>0</v>
      </c>
      <c r="F1625" s="7" t="inlineStr">
        <is>
          <t>price_electricity_residential_usd_kwh</t>
        </is>
      </c>
      <c r="G1625" s="7" t="n">
        <v>0.157</v>
      </c>
      <c r="H1625" s="7" t="inlineStr">
        <is>
          <t>2024</t>
        </is>
      </c>
      <c r="I1625" s="7" t="inlineStr">
        <is>
          <t>imffossilfuelsubsidiesdata.xlsb</t>
        </is>
      </c>
    </row>
    <row r="1626">
      <c r="A1626" s="7" t="inlineStr">
        <is>
          <t>MAC</t>
        </is>
      </c>
      <c r="B1626" s="7" t="inlineStr">
        <is>
          <t>Macao SAR, China</t>
        </is>
      </c>
      <c r="C1626" s="7" t="inlineStr">
        <is>
          <t>East Asia &amp; Pacific</t>
        </is>
      </c>
      <c r="D1626" s="7" t="inlineStr">
        <is>
          <t>High income</t>
        </is>
      </c>
      <c r="E1626" s="7" t="b">
        <v>0</v>
      </c>
      <c r="F1626" s="7" t="inlineStr">
        <is>
          <t>price_gas_industry_usd_gj</t>
        </is>
      </c>
      <c r="G1626" s="7" t="n">
        <v>13.543</v>
      </c>
      <c r="H1626" s="7" t="inlineStr">
        <is>
          <t>2024</t>
        </is>
      </c>
      <c r="I1626" s="7" t="inlineStr">
        <is>
          <t>imffossilfuelsubsidiesdata.xlsb</t>
        </is>
      </c>
    </row>
    <row r="1627">
      <c r="A1627" s="7" t="inlineStr">
        <is>
          <t>MAC</t>
        </is>
      </c>
      <c r="B1627" s="7" t="inlineStr">
        <is>
          <t>Macao SAR, China</t>
        </is>
      </c>
      <c r="C1627" s="7" t="inlineStr">
        <is>
          <t>East Asia &amp; Pacific</t>
        </is>
      </c>
      <c r="D1627" s="7" t="inlineStr">
        <is>
          <t>High income</t>
        </is>
      </c>
      <c r="E1627" s="7" t="b">
        <v>0</v>
      </c>
      <c r="F1627" s="7" t="inlineStr">
        <is>
          <t>price_gas_power_usd_gj</t>
        </is>
      </c>
      <c r="G1627" s="7" t="n">
        <v>12.219</v>
      </c>
      <c r="H1627" s="7" t="inlineStr">
        <is>
          <t>2024</t>
        </is>
      </c>
      <c r="I1627" s="7" t="inlineStr">
        <is>
          <t>imffossilfuelsubsidiesdata.xlsb</t>
        </is>
      </c>
    </row>
    <row r="1628">
      <c r="A1628" s="7" t="inlineStr">
        <is>
          <t>MAR</t>
        </is>
      </c>
      <c r="B1628" s="7" t="inlineStr">
        <is>
          <t>Morocco</t>
        </is>
      </c>
      <c r="C1628" s="7" t="inlineStr">
        <is>
          <t>Middle East &amp; North Africa</t>
        </is>
      </c>
      <c r="D1628" s="7" t="inlineStr">
        <is>
          <t>Lower middle income</t>
        </is>
      </c>
      <c r="E1628" s="7" t="b">
        <v>1</v>
      </c>
      <c r="F1628" s="7" t="inlineStr">
        <is>
          <t>coal_rents_pct_gdp</t>
        </is>
      </c>
      <c r="G1628" s="7" t="n">
        <v>0</v>
      </c>
      <c r="H1628" s="7" t="inlineStr">
        <is>
          <t>2021</t>
        </is>
      </c>
      <c r="I1628" s="7" t="inlineStr">
        <is>
          <t>API_NY_GDP_COAL_RT_ZS_DS2_en_csv_v2_35370.zip</t>
        </is>
      </c>
    </row>
    <row r="1629">
      <c r="A1629" s="7" t="inlineStr">
        <is>
          <t>MAR</t>
        </is>
      </c>
      <c r="B1629" s="7" t="inlineStr">
        <is>
          <t>Morocco</t>
        </is>
      </c>
      <c r="C1629" s="7" t="inlineStr">
        <is>
          <t>Middle East &amp; North Africa</t>
        </is>
      </c>
      <c r="D1629" s="7" t="inlineStr">
        <is>
          <t>Lower middle income</t>
        </is>
      </c>
      <c r="E1629" s="7" t="b">
        <v>1</v>
      </c>
      <c r="F1629" s="7" t="inlineStr">
        <is>
          <t>em_coal_mt</t>
        </is>
      </c>
      <c r="G1629" s="7" t="n">
        <v>21.817</v>
      </c>
      <c r="H1629" s="7" t="n">
        <v>2024</v>
      </c>
      <c r="I1629" s="7" t="inlineStr">
        <is>
          <t>release_generation_yearly_global.csv (Ember)</t>
        </is>
      </c>
    </row>
    <row r="1630">
      <c r="A1630" s="7" t="inlineStr">
        <is>
          <t>MAR</t>
        </is>
      </c>
      <c r="B1630" s="7" t="inlineStr">
        <is>
          <t>Morocco</t>
        </is>
      </c>
      <c r="C1630" s="7" t="inlineStr">
        <is>
          <t>Middle East &amp; North Africa</t>
        </is>
      </c>
      <c r="D1630" s="7" t="inlineStr">
        <is>
          <t>Lower middle income</t>
        </is>
      </c>
      <c r="E1630" s="7" t="b">
        <v>1</v>
      </c>
      <c r="F1630" s="7" t="inlineStr">
        <is>
          <t>em_gas_mt</t>
        </is>
      </c>
      <c r="G1630" s="7" t="n">
        <v>2.201</v>
      </c>
      <c r="H1630" s="7" t="n">
        <v>2024</v>
      </c>
      <c r="I1630" s="7" t="inlineStr">
        <is>
          <t>release_generation_yearly_global.csv (Ember)</t>
        </is>
      </c>
    </row>
    <row r="1631">
      <c r="A1631" s="7" t="inlineStr">
        <is>
          <t>MAR</t>
        </is>
      </c>
      <c r="B1631" s="7" t="inlineStr">
        <is>
          <t>Morocco</t>
        </is>
      </c>
      <c r="C1631" s="7" t="inlineStr">
        <is>
          <t>Middle East &amp; North Africa</t>
        </is>
      </c>
      <c r="D1631" s="7" t="inlineStr">
        <is>
          <t>Lower middle income</t>
        </is>
      </c>
      <c r="E1631" s="7" t="b">
        <v>1</v>
      </c>
      <c r="F1631" s="7" t="inlineStr">
        <is>
          <t>em_oil_mt</t>
        </is>
      </c>
      <c r="G1631" s="7" t="n">
        <v>1.013</v>
      </c>
      <c r="H1631" s="7" t="n">
        <v>2024</v>
      </c>
      <c r="I1631" s="7" t="inlineStr">
        <is>
          <t>release_generation_yearly_global.csv (Ember)</t>
        </is>
      </c>
    </row>
    <row r="1632">
      <c r="A1632" s="7" t="inlineStr">
        <is>
          <t>MAR</t>
        </is>
      </c>
      <c r="B1632" s="7" t="inlineStr">
        <is>
          <t>Morocco</t>
        </is>
      </c>
      <c r="C1632" s="7" t="inlineStr">
        <is>
          <t>Middle East &amp; North Africa</t>
        </is>
      </c>
      <c r="D1632" s="7" t="inlineStr">
        <is>
          <t>Lower middle income</t>
        </is>
      </c>
      <c r="E1632" s="7" t="b">
        <v>1</v>
      </c>
      <c r="F1632" s="7" t="inlineStr">
        <is>
          <t>ff_subsidy_explicit_pct_gdp</t>
        </is>
      </c>
      <c r="G1632" s="7" t="n">
        <v>1.869</v>
      </c>
      <c r="H1632" s="7" t="inlineStr">
        <is>
          <t>2024</t>
        </is>
      </c>
      <c r="I1632" s="7" t="inlineStr">
        <is>
          <t>imffossilfuelsubsidiesdata.xlsb</t>
        </is>
      </c>
    </row>
    <row r="1633">
      <c r="A1633" s="7" t="inlineStr">
        <is>
          <t>MAR</t>
        </is>
      </c>
      <c r="B1633" s="7" t="inlineStr">
        <is>
          <t>Morocco</t>
        </is>
      </c>
      <c r="C1633" s="7" t="inlineStr">
        <is>
          <t>Middle East &amp; North Africa</t>
        </is>
      </c>
      <c r="D1633" s="7" t="inlineStr">
        <is>
          <t>Lower middle income</t>
        </is>
      </c>
      <c r="E1633" s="7" t="b">
        <v>1</v>
      </c>
      <c r="F1633" s="7" t="inlineStr">
        <is>
          <t>fuel_exports_pct_merch</t>
        </is>
      </c>
      <c r="G1633" s="7" t="n">
        <v>0.759</v>
      </c>
      <c r="H1633" s="7" t="inlineStr">
        <is>
          <t>2024</t>
        </is>
      </c>
      <c r="I1633" s="7" t="inlineStr">
        <is>
          <t>API_TX_VAL_FUEL_ZS_UN_DS2_en_csv_v2_33055.zip</t>
        </is>
      </c>
    </row>
    <row r="1634">
      <c r="A1634" s="7" t="inlineStr">
        <is>
          <t>MAR</t>
        </is>
      </c>
      <c r="B1634" s="7" t="inlineStr">
        <is>
          <t>Morocco</t>
        </is>
      </c>
      <c r="C1634" s="7" t="inlineStr">
        <is>
          <t>Middle East &amp; North Africa</t>
        </is>
      </c>
      <c r="D1634" s="7" t="inlineStr">
        <is>
          <t>Lower middle income</t>
        </is>
      </c>
      <c r="E1634" s="7" t="b">
        <v>1</v>
      </c>
      <c r="F1634" s="7" t="inlineStr">
        <is>
          <t>gen_coal_twh</t>
        </is>
      </c>
      <c r="G1634" s="7" t="n">
        <v>26.18</v>
      </c>
      <c r="H1634" s="7" t="n">
        <v>2024</v>
      </c>
      <c r="I1634" s="7" t="inlineStr">
        <is>
          <t>release_generation_yearly_global.csv (Ember)</t>
        </is>
      </c>
    </row>
    <row r="1635">
      <c r="A1635" s="7" t="inlineStr">
        <is>
          <t>MAR</t>
        </is>
      </c>
      <c r="B1635" s="7" t="inlineStr">
        <is>
          <t>Morocco</t>
        </is>
      </c>
      <c r="C1635" s="7" t="inlineStr">
        <is>
          <t>Middle East &amp; North Africa</t>
        </is>
      </c>
      <c r="D1635" s="7" t="inlineStr">
        <is>
          <t>Lower middle income</t>
        </is>
      </c>
      <c r="E1635" s="7" t="b">
        <v>1</v>
      </c>
      <c r="F1635" s="7" t="inlineStr">
        <is>
          <t>gen_gas_twh</t>
        </is>
      </c>
      <c r="G1635" s="7" t="n">
        <v>4.33</v>
      </c>
      <c r="H1635" s="7" t="n">
        <v>2024</v>
      </c>
      <c r="I1635" s="7" t="inlineStr">
        <is>
          <t>release_generation_yearly_global.csv (Ember)</t>
        </is>
      </c>
    </row>
    <row r="1636">
      <c r="A1636" s="7" t="inlineStr">
        <is>
          <t>MAR</t>
        </is>
      </c>
      <c r="B1636" s="7" t="inlineStr">
        <is>
          <t>Morocco</t>
        </is>
      </c>
      <c r="C1636" s="7" t="inlineStr">
        <is>
          <t>Middle East &amp; North Africa</t>
        </is>
      </c>
      <c r="D1636" s="7" t="inlineStr">
        <is>
          <t>Lower middle income</t>
        </is>
      </c>
      <c r="E1636" s="7" t="b">
        <v>1</v>
      </c>
      <c r="F1636" s="7" t="inlineStr">
        <is>
          <t>gen_oil_twh</t>
        </is>
      </c>
      <c r="G1636" s="7" t="n">
        <v>1.54</v>
      </c>
      <c r="H1636" s="7" t="n">
        <v>2024</v>
      </c>
      <c r="I1636" s="7" t="inlineStr">
        <is>
          <t>release_generation_yearly_global.csv (Ember)</t>
        </is>
      </c>
    </row>
    <row r="1637">
      <c r="A1637" s="7" t="inlineStr">
        <is>
          <t>MAR</t>
        </is>
      </c>
      <c r="B1637" s="7" t="inlineStr">
        <is>
          <t>Morocco</t>
        </is>
      </c>
      <c r="C1637" s="7" t="inlineStr">
        <is>
          <t>Middle East &amp; North Africa</t>
        </is>
      </c>
      <c r="D1637" s="7" t="inlineStr">
        <is>
          <t>Lower middle income</t>
        </is>
      </c>
      <c r="E1637" s="7" t="b">
        <v>1</v>
      </c>
      <c r="F1637" s="7" t="inlineStr">
        <is>
          <t>gen_total_twh</t>
        </is>
      </c>
      <c r="G1637" s="7" t="n">
        <v>42.4</v>
      </c>
      <c r="H1637" s="7" t="n">
        <v>2024</v>
      </c>
      <c r="I1637" s="7" t="inlineStr">
        <is>
          <t>release_generation_yearly_global.csv (Ember)</t>
        </is>
      </c>
    </row>
    <row r="1638">
      <c r="A1638" s="7" t="inlineStr">
        <is>
          <t>MAR</t>
        </is>
      </c>
      <c r="B1638" s="7" t="inlineStr">
        <is>
          <t>Morocco</t>
        </is>
      </c>
      <c r="C1638" s="7" t="inlineStr">
        <is>
          <t>Middle East &amp; North Africa</t>
        </is>
      </c>
      <c r="D1638" s="7" t="inlineStr">
        <is>
          <t>Lower middle income</t>
        </is>
      </c>
      <c r="E1638" s="7" t="b">
        <v>1</v>
      </c>
      <c r="F1638" s="7" t="inlineStr">
        <is>
          <t>power_market_structure</t>
        </is>
      </c>
      <c r="G1638" s="7" t="n">
        <v>2</v>
      </c>
      <c r="H1638" s="7" t="inlineStr">
        <is>
          <t>2013</t>
        </is>
      </c>
      <c r="I1638" s="7" t="inlineStr">
        <is>
          <t>dataverse_files.zip</t>
        </is>
      </c>
    </row>
    <row r="1639">
      <c r="A1639" s="7" t="inlineStr">
        <is>
          <t>MAR</t>
        </is>
      </c>
      <c r="B1639" s="7" t="inlineStr">
        <is>
          <t>Morocco</t>
        </is>
      </c>
      <c r="C1639" s="7" t="inlineStr">
        <is>
          <t>Middle East &amp; North Africa</t>
        </is>
      </c>
      <c r="D1639" s="7" t="inlineStr">
        <is>
          <t>Lower middle income</t>
        </is>
      </c>
      <c r="E1639" s="7" t="b">
        <v>1</v>
      </c>
      <c r="F1639" s="7" t="inlineStr">
        <is>
          <t>price_coal_power_usd_gj</t>
        </is>
      </c>
      <c r="G1639" s="7" t="n">
        <v>6.975</v>
      </c>
      <c r="H1639" s="7" t="inlineStr">
        <is>
          <t>2024</t>
        </is>
      </c>
      <c r="I1639" s="7" t="inlineStr">
        <is>
          <t>imffossilfuelsubsidiesdata.xlsb</t>
        </is>
      </c>
    </row>
    <row r="1640">
      <c r="A1640" s="7" t="inlineStr">
        <is>
          <t>MAR</t>
        </is>
      </c>
      <c r="B1640" s="7" t="inlineStr">
        <is>
          <t>Morocco</t>
        </is>
      </c>
      <c r="C1640" s="7" t="inlineStr">
        <is>
          <t>Middle East &amp; North Africa</t>
        </is>
      </c>
      <c r="D1640" s="7" t="inlineStr">
        <is>
          <t>Lower middle income</t>
        </is>
      </c>
      <c r="E1640" s="7" t="b">
        <v>1</v>
      </c>
      <c r="F1640" s="7" t="inlineStr">
        <is>
          <t>price_electricity_residential_usd_kwh</t>
        </is>
      </c>
      <c r="G1640" s="7" t="n">
        <v>0.09</v>
      </c>
      <c r="H1640" s="7" t="inlineStr">
        <is>
          <t>2024</t>
        </is>
      </c>
      <c r="I1640" s="7" t="inlineStr">
        <is>
          <t>imffossilfuelsubsidiesdata.xlsb</t>
        </is>
      </c>
    </row>
    <row r="1641">
      <c r="A1641" s="7" t="inlineStr">
        <is>
          <t>MAR</t>
        </is>
      </c>
      <c r="B1641" s="7" t="inlineStr">
        <is>
          <t>Morocco</t>
        </is>
      </c>
      <c r="C1641" s="7" t="inlineStr">
        <is>
          <t>Middle East &amp; North Africa</t>
        </is>
      </c>
      <c r="D1641" s="7" t="inlineStr">
        <is>
          <t>Lower middle income</t>
        </is>
      </c>
      <c r="E1641" s="7" t="b">
        <v>1</v>
      </c>
      <c r="F1641" s="7" t="inlineStr">
        <is>
          <t>price_gas_industry_usd_gj</t>
        </is>
      </c>
      <c r="G1641" s="7" t="n">
        <v>5.506</v>
      </c>
      <c r="H1641" s="7" t="inlineStr">
        <is>
          <t>2024</t>
        </is>
      </c>
      <c r="I1641" s="7" t="inlineStr">
        <is>
          <t>imffossilfuelsubsidiesdata.xlsb</t>
        </is>
      </c>
    </row>
    <row r="1642">
      <c r="A1642" s="7" t="inlineStr">
        <is>
          <t>MAR</t>
        </is>
      </c>
      <c r="B1642" s="7" t="inlineStr">
        <is>
          <t>Morocco</t>
        </is>
      </c>
      <c r="C1642" s="7" t="inlineStr">
        <is>
          <t>Middle East &amp; North Africa</t>
        </is>
      </c>
      <c r="D1642" s="7" t="inlineStr">
        <is>
          <t>Lower middle income</t>
        </is>
      </c>
      <c r="E1642" s="7" t="b">
        <v>1</v>
      </c>
      <c r="F1642" s="7" t="inlineStr">
        <is>
          <t>price_gas_power_usd_gj</t>
        </is>
      </c>
      <c r="G1642" s="7" t="n">
        <v>4.216</v>
      </c>
      <c r="H1642" s="7" t="inlineStr">
        <is>
          <t>2024</t>
        </is>
      </c>
      <c r="I1642" s="7" t="inlineStr">
        <is>
          <t>imffossilfuelsubsidiesdata.xlsb</t>
        </is>
      </c>
    </row>
    <row r="1643">
      <c r="A1643" s="7" t="inlineStr">
        <is>
          <t>MAR</t>
        </is>
      </c>
      <c r="B1643" s="7" t="inlineStr">
        <is>
          <t>Morocco</t>
        </is>
      </c>
      <c r="C1643" s="7" t="inlineStr">
        <is>
          <t>Middle East &amp; North Africa</t>
        </is>
      </c>
      <c r="D1643" s="7" t="inlineStr">
        <is>
          <t>Lower middle income</t>
        </is>
      </c>
      <c r="E1643" s="7" t="b">
        <v>1</v>
      </c>
      <c r="F1643" s="7" t="inlineStr">
        <is>
          <t>rise_renewable_energy_score</t>
        </is>
      </c>
      <c r="G1643" s="7" t="n">
        <v>41.172</v>
      </c>
      <c r="H1643" s="7" t="inlineStr">
        <is>
          <t>2023</t>
        </is>
      </c>
      <c r="I1643" s="7" t="inlineStr">
        <is>
          <t>WB_RISE_WIDEF.csv</t>
        </is>
      </c>
    </row>
    <row r="1644">
      <c r="A1644" s="7" t="inlineStr">
        <is>
          <t>MDA</t>
        </is>
      </c>
      <c r="B1644" s="7" t="inlineStr">
        <is>
          <t>Moldova</t>
        </is>
      </c>
      <c r="C1644" s="7" t="inlineStr">
        <is>
          <t>Europe &amp; Central Asia</t>
        </is>
      </c>
      <c r="D1644" s="7" t="inlineStr">
        <is>
          <t>Upper middle income</t>
        </is>
      </c>
      <c r="E1644" s="7" t="b">
        <v>1</v>
      </c>
      <c r="F1644" s="7" t="inlineStr">
        <is>
          <t>coal_rents_pct_gdp</t>
        </is>
      </c>
      <c r="G1644" s="7" t="n">
        <v>0</v>
      </c>
      <c r="H1644" s="7" t="inlineStr">
        <is>
          <t>2021</t>
        </is>
      </c>
      <c r="I1644" s="7" t="inlineStr">
        <is>
          <t>API_NY_GDP_COAL_RT_ZS_DS2_en_csv_v2_35370.zip</t>
        </is>
      </c>
    </row>
    <row r="1645">
      <c r="A1645" s="7" t="inlineStr">
        <is>
          <t>MDA</t>
        </is>
      </c>
      <c r="B1645" s="7" t="inlineStr">
        <is>
          <t>Moldova</t>
        </is>
      </c>
      <c r="C1645" s="7" t="inlineStr">
        <is>
          <t>Europe &amp; Central Asia</t>
        </is>
      </c>
      <c r="D1645" s="7" t="inlineStr">
        <is>
          <t>Upper middle income</t>
        </is>
      </c>
      <c r="E1645" s="7" t="b">
        <v>1</v>
      </c>
      <c r="F1645" s="7" t="inlineStr">
        <is>
          <t>em_coal_mt</t>
        </is>
      </c>
      <c r="G1645" s="7" t="n">
        <v>0</v>
      </c>
      <c r="H1645" s="7" t="n">
        <v>2024</v>
      </c>
      <c r="I1645" s="7" t="inlineStr">
        <is>
          <t>release_generation_yearly_global.csv (Ember)</t>
        </is>
      </c>
    </row>
    <row r="1646">
      <c r="A1646" s="7" t="inlineStr">
        <is>
          <t>MDA</t>
        </is>
      </c>
      <c r="B1646" s="7" t="inlineStr">
        <is>
          <t>Moldova</t>
        </is>
      </c>
      <c r="C1646" s="7" t="inlineStr">
        <is>
          <t>Europe &amp; Central Asia</t>
        </is>
      </c>
      <c r="D1646" s="7" t="inlineStr">
        <is>
          <t>Upper middle income</t>
        </is>
      </c>
      <c r="E1646" s="7" t="b">
        <v>1</v>
      </c>
      <c r="F1646" s="7" t="inlineStr">
        <is>
          <t>em_gas_mt</t>
        </is>
      </c>
      <c r="G1646" s="7" t="n">
        <v>3.701</v>
      </c>
      <c r="H1646" s="7" t="n">
        <v>2024</v>
      </c>
      <c r="I1646" s="7" t="inlineStr">
        <is>
          <t>release_generation_yearly_global.csv (Ember)</t>
        </is>
      </c>
    </row>
    <row r="1647">
      <c r="A1647" s="7" t="inlineStr">
        <is>
          <t>MDA</t>
        </is>
      </c>
      <c r="B1647" s="7" t="inlineStr">
        <is>
          <t>Moldova</t>
        </is>
      </c>
      <c r="C1647" s="7" t="inlineStr">
        <is>
          <t>Europe &amp; Central Asia</t>
        </is>
      </c>
      <c r="D1647" s="7" t="inlineStr">
        <is>
          <t>Upper middle income</t>
        </is>
      </c>
      <c r="E1647" s="7" t="b">
        <v>1</v>
      </c>
      <c r="F1647" s="7" t="inlineStr">
        <is>
          <t>em_oil_mt</t>
        </is>
      </c>
      <c r="G1647" s="7" t="n">
        <v>0.145</v>
      </c>
      <c r="H1647" s="7" t="n">
        <v>2024</v>
      </c>
      <c r="I1647" s="7" t="inlineStr">
        <is>
          <t>release_generation_yearly_global.csv (Ember)</t>
        </is>
      </c>
    </row>
    <row r="1648">
      <c r="A1648" s="7" t="inlineStr">
        <is>
          <t>MDA</t>
        </is>
      </c>
      <c r="B1648" s="7" t="inlineStr">
        <is>
          <t>Moldova</t>
        </is>
      </c>
      <c r="C1648" s="7" t="inlineStr">
        <is>
          <t>Europe &amp; Central Asia</t>
        </is>
      </c>
      <c r="D1648" s="7" t="inlineStr">
        <is>
          <t>Upper middle income</t>
        </is>
      </c>
      <c r="E1648" s="7" t="b">
        <v>1</v>
      </c>
      <c r="F1648" s="7" t="inlineStr">
        <is>
          <t>ff_subsidy_explicit_pct_gdp</t>
        </is>
      </c>
      <c r="G1648" s="7" t="n">
        <v>0.857</v>
      </c>
      <c r="H1648" s="7" t="inlineStr">
        <is>
          <t>2024</t>
        </is>
      </c>
      <c r="I1648" s="7" t="inlineStr">
        <is>
          <t>imffossilfuelsubsidiesdata.xlsb</t>
        </is>
      </c>
    </row>
    <row r="1649">
      <c r="A1649" s="7" t="inlineStr">
        <is>
          <t>MDA</t>
        </is>
      </c>
      <c r="B1649" s="7" t="inlineStr">
        <is>
          <t>Moldova</t>
        </is>
      </c>
      <c r="C1649" s="7" t="inlineStr">
        <is>
          <t>Europe &amp; Central Asia</t>
        </is>
      </c>
      <c r="D1649" s="7" t="inlineStr">
        <is>
          <t>Upper middle income</t>
        </is>
      </c>
      <c r="E1649" s="7" t="b">
        <v>1</v>
      </c>
      <c r="F1649" s="7" t="inlineStr">
        <is>
          <t>fuel_exports_pct_merch</t>
        </is>
      </c>
      <c r="G1649" s="7" t="n">
        <v>2.383</v>
      </c>
      <c r="H1649" s="7" t="inlineStr">
        <is>
          <t>2024</t>
        </is>
      </c>
      <c r="I1649" s="7" t="inlineStr">
        <is>
          <t>API_TX_VAL_FUEL_ZS_UN_DS2_en_csv_v2_33055.zip</t>
        </is>
      </c>
    </row>
    <row r="1650">
      <c r="A1650" s="7" t="inlineStr">
        <is>
          <t>MDA</t>
        </is>
      </c>
      <c r="B1650" s="7" t="inlineStr">
        <is>
          <t>Moldova</t>
        </is>
      </c>
      <c r="C1650" s="7" t="inlineStr">
        <is>
          <t>Europe &amp; Central Asia</t>
        </is>
      </c>
      <c r="D1650" s="7" t="inlineStr">
        <is>
          <t>Upper middle income</t>
        </is>
      </c>
      <c r="E1650" s="7" t="b">
        <v>1</v>
      </c>
      <c r="F1650" s="7" t="inlineStr">
        <is>
          <t>gen_coal_twh</t>
        </is>
      </c>
      <c r="G1650" s="7" t="n">
        <v>0</v>
      </c>
      <c r="H1650" s="7" t="n">
        <v>2024</v>
      </c>
      <c r="I1650" s="7" t="inlineStr">
        <is>
          <t>release_generation_yearly_global.csv (Ember)</t>
        </is>
      </c>
    </row>
    <row r="1651">
      <c r="A1651" s="7" t="inlineStr">
        <is>
          <t>MDA</t>
        </is>
      </c>
      <c r="B1651" s="7" t="inlineStr">
        <is>
          <t>Moldova</t>
        </is>
      </c>
      <c r="C1651" s="7" t="inlineStr">
        <is>
          <t>Europe &amp; Central Asia</t>
        </is>
      </c>
      <c r="D1651" s="7" t="inlineStr">
        <is>
          <t>Upper middle income</t>
        </is>
      </c>
      <c r="E1651" s="7" t="b">
        <v>1</v>
      </c>
      <c r="F1651" s="7" t="inlineStr">
        <is>
          <t>gen_gas_twh</t>
        </is>
      </c>
      <c r="G1651" s="7" t="n">
        <v>5.2</v>
      </c>
      <c r="H1651" s="7" t="n">
        <v>2024</v>
      </c>
      <c r="I1651" s="7" t="inlineStr">
        <is>
          <t>release_generation_yearly_global.csv (Ember)</t>
        </is>
      </c>
    </row>
    <row r="1652">
      <c r="A1652" s="7" t="inlineStr">
        <is>
          <t>MDA</t>
        </is>
      </c>
      <c r="B1652" s="7" t="inlineStr">
        <is>
          <t>Moldova</t>
        </is>
      </c>
      <c r="C1652" s="7" t="inlineStr">
        <is>
          <t>Europe &amp; Central Asia</t>
        </is>
      </c>
      <c r="D1652" s="7" t="inlineStr">
        <is>
          <t>Upper middle income</t>
        </is>
      </c>
      <c r="E1652" s="7" t="b">
        <v>1</v>
      </c>
      <c r="F1652" s="7" t="inlineStr">
        <is>
          <t>gen_oil_twh</t>
        </is>
      </c>
      <c r="G1652" s="7" t="n">
        <v>0.22</v>
      </c>
      <c r="H1652" s="7" t="n">
        <v>2024</v>
      </c>
      <c r="I1652" s="7" t="inlineStr">
        <is>
          <t>release_generation_yearly_global.csv (Ember)</t>
        </is>
      </c>
    </row>
    <row r="1653">
      <c r="A1653" s="7" t="inlineStr">
        <is>
          <t>MDA</t>
        </is>
      </c>
      <c r="B1653" s="7" t="inlineStr">
        <is>
          <t>Moldova</t>
        </is>
      </c>
      <c r="C1653" s="7" t="inlineStr">
        <is>
          <t>Europe &amp; Central Asia</t>
        </is>
      </c>
      <c r="D1653" s="7" t="inlineStr">
        <is>
          <t>Upper middle income</t>
        </is>
      </c>
      <c r="E1653" s="7" t="b">
        <v>1</v>
      </c>
      <c r="F1653" s="7" t="inlineStr">
        <is>
          <t>gen_total_twh</t>
        </is>
      </c>
      <c r="G1653" s="7" t="n">
        <v>6.07</v>
      </c>
      <c r="H1653" s="7" t="n">
        <v>2024</v>
      </c>
      <c r="I1653" s="7" t="inlineStr">
        <is>
          <t>release_generation_yearly_global.csv (Ember)</t>
        </is>
      </c>
    </row>
    <row r="1654">
      <c r="A1654" s="7" t="inlineStr">
        <is>
          <t>MDA</t>
        </is>
      </c>
      <c r="B1654" s="7" t="inlineStr">
        <is>
          <t>Moldova</t>
        </is>
      </c>
      <c r="C1654" s="7" t="inlineStr">
        <is>
          <t>Europe &amp; Central Asia</t>
        </is>
      </c>
      <c r="D1654" s="7" t="inlineStr">
        <is>
          <t>Upper middle income</t>
        </is>
      </c>
      <c r="E1654" s="7" t="b">
        <v>1</v>
      </c>
      <c r="F1654" s="7" t="inlineStr">
        <is>
          <t>power_market_structure</t>
        </is>
      </c>
      <c r="G1654" s="7" t="n">
        <v>3</v>
      </c>
      <c r="H1654" s="7" t="inlineStr">
        <is>
          <t>2013</t>
        </is>
      </c>
      <c r="I1654" s="7" t="inlineStr">
        <is>
          <t>dataverse_files.zip</t>
        </is>
      </c>
    </row>
    <row r="1655">
      <c r="A1655" s="7" t="inlineStr">
        <is>
          <t>MDA</t>
        </is>
      </c>
      <c r="B1655" s="7" t="inlineStr">
        <is>
          <t>Moldova</t>
        </is>
      </c>
      <c r="C1655" s="7" t="inlineStr">
        <is>
          <t>Europe &amp; Central Asia</t>
        </is>
      </c>
      <c r="D1655" s="7" t="inlineStr">
        <is>
          <t>Upper middle income</t>
        </is>
      </c>
      <c r="E1655" s="7" t="b">
        <v>1</v>
      </c>
      <c r="F1655" s="7" t="inlineStr">
        <is>
          <t>price_coal_power_usd_gj</t>
        </is>
      </c>
      <c r="G1655" s="7" t="n">
        <v>4.239</v>
      </c>
      <c r="H1655" s="7" t="inlineStr">
        <is>
          <t>2024</t>
        </is>
      </c>
      <c r="I1655" s="7" t="inlineStr">
        <is>
          <t>imffossilfuelsubsidiesdata.xlsb</t>
        </is>
      </c>
    </row>
    <row r="1656">
      <c r="A1656" s="7" t="inlineStr">
        <is>
          <t>MDA</t>
        </is>
      </c>
      <c r="B1656" s="7" t="inlineStr">
        <is>
          <t>Moldova</t>
        </is>
      </c>
      <c r="C1656" s="7" t="inlineStr">
        <is>
          <t>Europe &amp; Central Asia</t>
        </is>
      </c>
      <c r="D1656" s="7" t="inlineStr">
        <is>
          <t>Upper middle income</t>
        </is>
      </c>
      <c r="E1656" s="7" t="b">
        <v>1</v>
      </c>
      <c r="F1656" s="7" t="inlineStr">
        <is>
          <t>price_electricity_residential_usd_kwh</t>
        </is>
      </c>
      <c r="G1656" s="7" t="n">
        <v>0.14</v>
      </c>
      <c r="H1656" s="7" t="inlineStr">
        <is>
          <t>2024</t>
        </is>
      </c>
      <c r="I1656" s="7" t="inlineStr">
        <is>
          <t>imffossilfuelsubsidiesdata.xlsb</t>
        </is>
      </c>
    </row>
    <row r="1657">
      <c r="A1657" s="7" t="inlineStr">
        <is>
          <t>MDA</t>
        </is>
      </c>
      <c r="B1657" s="7" t="inlineStr">
        <is>
          <t>Moldova</t>
        </is>
      </c>
      <c r="C1657" s="7" t="inlineStr">
        <is>
          <t>Europe &amp; Central Asia</t>
        </is>
      </c>
      <c r="D1657" s="7" t="inlineStr">
        <is>
          <t>Upper middle income</t>
        </is>
      </c>
      <c r="E1657" s="7" t="b">
        <v>1</v>
      </c>
      <c r="F1657" s="7" t="inlineStr">
        <is>
          <t>price_gas_industry_usd_gj</t>
        </is>
      </c>
      <c r="G1657" s="7" t="n">
        <v>22.259</v>
      </c>
      <c r="H1657" s="7" t="inlineStr">
        <is>
          <t>2024</t>
        </is>
      </c>
      <c r="I1657" s="7" t="inlineStr">
        <is>
          <t>imffossilfuelsubsidiesdata.xlsb</t>
        </is>
      </c>
    </row>
    <row r="1658">
      <c r="A1658" s="7" t="inlineStr">
        <is>
          <t>MDA</t>
        </is>
      </c>
      <c r="B1658" s="7" t="inlineStr">
        <is>
          <t>Moldova</t>
        </is>
      </c>
      <c r="C1658" s="7" t="inlineStr">
        <is>
          <t>Europe &amp; Central Asia</t>
        </is>
      </c>
      <c r="D1658" s="7" t="inlineStr">
        <is>
          <t>Upper middle income</t>
        </is>
      </c>
      <c r="E1658" s="7" t="b">
        <v>1</v>
      </c>
      <c r="F1658" s="7" t="inlineStr">
        <is>
          <t>price_gas_power_usd_gj</t>
        </is>
      </c>
      <c r="G1658" s="7" t="n">
        <v>20.204</v>
      </c>
      <c r="H1658" s="7" t="inlineStr">
        <is>
          <t>2024</t>
        </is>
      </c>
      <c r="I1658" s="7" t="inlineStr">
        <is>
          <t>imffossilfuelsubsidiesdata.xlsb</t>
        </is>
      </c>
    </row>
    <row r="1659">
      <c r="A1659" s="7" t="inlineStr">
        <is>
          <t>MDA</t>
        </is>
      </c>
      <c r="B1659" s="7" t="inlineStr">
        <is>
          <t>Moldova</t>
        </is>
      </c>
      <c r="C1659" s="7" t="inlineStr">
        <is>
          <t>Europe &amp; Central Asia</t>
        </is>
      </c>
      <c r="D1659" s="7" t="inlineStr">
        <is>
          <t>Upper middle income</t>
        </is>
      </c>
      <c r="E1659" s="7" t="b">
        <v>1</v>
      </c>
      <c r="F1659" s="7" t="inlineStr">
        <is>
          <t>rise_renewable_energy_score</t>
        </is>
      </c>
      <c r="G1659" s="7" t="n">
        <v>24.746</v>
      </c>
      <c r="H1659" s="7" t="inlineStr">
        <is>
          <t>2023</t>
        </is>
      </c>
      <c r="I1659" s="7" t="inlineStr">
        <is>
          <t>WB_RISE_WIDEF.csv</t>
        </is>
      </c>
    </row>
    <row r="1660">
      <c r="A1660" s="7" t="inlineStr">
        <is>
          <t>MDG</t>
        </is>
      </c>
      <c r="B1660" s="7" t="inlineStr">
        <is>
          <t>Madagascar</t>
        </is>
      </c>
      <c r="C1660" s="7" t="inlineStr">
        <is>
          <t>Sub-Saharan Africa</t>
        </is>
      </c>
      <c r="D1660" s="7" t="inlineStr">
        <is>
          <t>Low income</t>
        </is>
      </c>
      <c r="E1660" s="7" t="b">
        <v>1</v>
      </c>
      <c r="F1660" s="7" t="inlineStr">
        <is>
          <t>coal_rents_pct_gdp</t>
        </is>
      </c>
      <c r="G1660" s="7" t="n">
        <v>0</v>
      </c>
      <c r="H1660" s="7" t="inlineStr">
        <is>
          <t>2021</t>
        </is>
      </c>
      <c r="I1660" s="7" t="inlineStr">
        <is>
          <t>API_NY_GDP_COAL_RT_ZS_DS2_en_csv_v2_35370.zip</t>
        </is>
      </c>
    </row>
    <row r="1661">
      <c r="A1661" s="7" t="inlineStr">
        <is>
          <t>MDG</t>
        </is>
      </c>
      <c r="B1661" s="7" t="inlineStr">
        <is>
          <t>Madagascar</t>
        </is>
      </c>
      <c r="C1661" s="7" t="inlineStr">
        <is>
          <t>Sub-Saharan Africa</t>
        </is>
      </c>
      <c r="D1661" s="7" t="inlineStr">
        <is>
          <t>Low income</t>
        </is>
      </c>
      <c r="E1661" s="7" t="b">
        <v>1</v>
      </c>
      <c r="F1661" s="7" t="inlineStr">
        <is>
          <t>em_coal_mt</t>
        </is>
      </c>
      <c r="G1661" s="7" t="n">
        <v>0.429</v>
      </c>
      <c r="H1661" s="7" t="n">
        <v>2024</v>
      </c>
      <c r="I1661" s="7" t="inlineStr">
        <is>
          <t>release_generation_yearly_global.csv (Ember)</t>
        </is>
      </c>
    </row>
    <row r="1662">
      <c r="A1662" s="7" t="inlineStr">
        <is>
          <t>MDG</t>
        </is>
      </c>
      <c r="B1662" s="7" t="inlineStr">
        <is>
          <t>Madagascar</t>
        </is>
      </c>
      <c r="C1662" s="7" t="inlineStr">
        <is>
          <t>Sub-Saharan Africa</t>
        </is>
      </c>
      <c r="D1662" s="7" t="inlineStr">
        <is>
          <t>Low income</t>
        </is>
      </c>
      <c r="E1662" s="7" t="b">
        <v>1</v>
      </c>
      <c r="F1662" s="7" t="inlineStr">
        <is>
          <t>em_gas_mt</t>
        </is>
      </c>
      <c r="G1662" s="7" t="n">
        <v>0</v>
      </c>
      <c r="H1662" s="7" t="n">
        <v>2024</v>
      </c>
      <c r="I1662" s="7" t="inlineStr">
        <is>
          <t>release_generation_yearly_global.csv (Ember)</t>
        </is>
      </c>
    </row>
    <row r="1663">
      <c r="A1663" s="7" t="inlineStr">
        <is>
          <t>MDG</t>
        </is>
      </c>
      <c r="B1663" s="7" t="inlineStr">
        <is>
          <t>Madagascar</t>
        </is>
      </c>
      <c r="C1663" s="7" t="inlineStr">
        <is>
          <t>Sub-Saharan Africa</t>
        </is>
      </c>
      <c r="D1663" s="7" t="inlineStr">
        <is>
          <t>Low income</t>
        </is>
      </c>
      <c r="E1663" s="7" t="b">
        <v>1</v>
      </c>
      <c r="F1663" s="7" t="inlineStr">
        <is>
          <t>em_oil_mt</t>
        </is>
      </c>
      <c r="G1663" s="7" t="n">
        <v>0.592</v>
      </c>
      <c r="H1663" s="7" t="n">
        <v>2024</v>
      </c>
      <c r="I1663" s="7" t="inlineStr">
        <is>
          <t>release_generation_yearly_global.csv (Ember)</t>
        </is>
      </c>
    </row>
    <row r="1664">
      <c r="A1664" s="7" t="inlineStr">
        <is>
          <t>MDG</t>
        </is>
      </c>
      <c r="B1664" s="7" t="inlineStr">
        <is>
          <t>Madagascar</t>
        </is>
      </c>
      <c r="C1664" s="7" t="inlineStr">
        <is>
          <t>Sub-Saharan Africa</t>
        </is>
      </c>
      <c r="D1664" s="7" t="inlineStr">
        <is>
          <t>Low income</t>
        </is>
      </c>
      <c r="E1664" s="7" t="b">
        <v>1</v>
      </c>
      <c r="F1664" s="7" t="inlineStr">
        <is>
          <t>ff_subsidy_explicit_pct_gdp</t>
        </is>
      </c>
      <c r="G1664" s="7" t="n">
        <v>0.344</v>
      </c>
      <c r="H1664" s="7" t="inlineStr">
        <is>
          <t>2024</t>
        </is>
      </c>
      <c r="I1664" s="7" t="inlineStr">
        <is>
          <t>imffossilfuelsubsidiesdata.xlsb</t>
        </is>
      </c>
    </row>
    <row r="1665">
      <c r="A1665" s="7" t="inlineStr">
        <is>
          <t>MDG</t>
        </is>
      </c>
      <c r="B1665" s="7" t="inlineStr">
        <is>
          <t>Madagascar</t>
        </is>
      </c>
      <c r="C1665" s="7" t="inlineStr">
        <is>
          <t>Sub-Saharan Africa</t>
        </is>
      </c>
      <c r="D1665" s="7" t="inlineStr">
        <is>
          <t>Low income</t>
        </is>
      </c>
      <c r="E1665" s="7" t="b">
        <v>1</v>
      </c>
      <c r="F1665" s="7" t="inlineStr">
        <is>
          <t>fuel_exports_pct_merch</t>
        </is>
      </c>
      <c r="G1665" s="7" t="n">
        <v>2.55</v>
      </c>
      <c r="H1665" s="7" t="inlineStr">
        <is>
          <t>2024</t>
        </is>
      </c>
      <c r="I1665" s="7" t="inlineStr">
        <is>
          <t>API_TX_VAL_FUEL_ZS_UN_DS2_en_csv_v2_33055.zip</t>
        </is>
      </c>
    </row>
    <row r="1666">
      <c r="A1666" s="7" t="inlineStr">
        <is>
          <t>MDG</t>
        </is>
      </c>
      <c r="B1666" s="7" t="inlineStr">
        <is>
          <t>Madagascar</t>
        </is>
      </c>
      <c r="C1666" s="7" t="inlineStr">
        <is>
          <t>Sub-Saharan Africa</t>
        </is>
      </c>
      <c r="D1666" s="7" t="inlineStr">
        <is>
          <t>Low income</t>
        </is>
      </c>
      <c r="E1666" s="7" t="b">
        <v>1</v>
      </c>
      <c r="F1666" s="7" t="inlineStr">
        <is>
          <t>gen_coal_twh</t>
        </is>
      </c>
      <c r="G1666" s="7" t="n">
        <v>0.5</v>
      </c>
      <c r="H1666" s="7" t="n">
        <v>2024</v>
      </c>
      <c r="I1666" s="7" t="inlineStr">
        <is>
          <t>release_generation_yearly_global.csv (Ember)</t>
        </is>
      </c>
    </row>
    <row r="1667">
      <c r="A1667" s="7" t="inlineStr">
        <is>
          <t>MDG</t>
        </is>
      </c>
      <c r="B1667" s="7" t="inlineStr">
        <is>
          <t>Madagascar</t>
        </is>
      </c>
      <c r="C1667" s="7" t="inlineStr">
        <is>
          <t>Sub-Saharan Africa</t>
        </is>
      </c>
      <c r="D1667" s="7" t="inlineStr">
        <is>
          <t>Low income</t>
        </is>
      </c>
      <c r="E1667" s="7" t="b">
        <v>1</v>
      </c>
      <c r="F1667" s="7" t="inlineStr">
        <is>
          <t>gen_gas_twh</t>
        </is>
      </c>
      <c r="G1667" s="7" t="n">
        <v>0</v>
      </c>
      <c r="H1667" s="7" t="n">
        <v>2024</v>
      </c>
      <c r="I1667" s="7" t="inlineStr">
        <is>
          <t>release_generation_yearly_global.csv (Ember)</t>
        </is>
      </c>
    </row>
    <row r="1668">
      <c r="A1668" s="7" t="inlineStr">
        <is>
          <t>MDG</t>
        </is>
      </c>
      <c r="B1668" s="7" t="inlineStr">
        <is>
          <t>Madagascar</t>
        </is>
      </c>
      <c r="C1668" s="7" t="inlineStr">
        <is>
          <t>Sub-Saharan Africa</t>
        </is>
      </c>
      <c r="D1668" s="7" t="inlineStr">
        <is>
          <t>Low income</t>
        </is>
      </c>
      <c r="E1668" s="7" t="b">
        <v>1</v>
      </c>
      <c r="F1668" s="7" t="inlineStr">
        <is>
          <t>gen_oil_twh</t>
        </is>
      </c>
      <c r="G1668" s="7" t="n">
        <v>0.9</v>
      </c>
      <c r="H1668" s="7" t="n">
        <v>2024</v>
      </c>
      <c r="I1668" s="7" t="inlineStr">
        <is>
          <t>release_generation_yearly_global.csv (Ember)</t>
        </is>
      </c>
    </row>
    <row r="1669">
      <c r="A1669" s="7" t="inlineStr">
        <is>
          <t>MDG</t>
        </is>
      </c>
      <c r="B1669" s="7" t="inlineStr">
        <is>
          <t>Madagascar</t>
        </is>
      </c>
      <c r="C1669" s="7" t="inlineStr">
        <is>
          <t>Sub-Saharan Africa</t>
        </is>
      </c>
      <c r="D1669" s="7" t="inlineStr">
        <is>
          <t>Low income</t>
        </is>
      </c>
      <c r="E1669" s="7" t="b">
        <v>1</v>
      </c>
      <c r="F1669" s="7" t="inlineStr">
        <is>
          <t>gen_total_twh</t>
        </is>
      </c>
      <c r="G1669" s="7" t="n">
        <v>2.43</v>
      </c>
      <c r="H1669" s="7" t="n">
        <v>2024</v>
      </c>
      <c r="I1669" s="7" t="inlineStr">
        <is>
          <t>release_generation_yearly_global.csv (Ember)</t>
        </is>
      </c>
    </row>
    <row r="1670">
      <c r="A1670" s="7" t="inlineStr">
        <is>
          <t>MDG</t>
        </is>
      </c>
      <c r="B1670" s="7" t="inlineStr">
        <is>
          <t>Madagascar</t>
        </is>
      </c>
      <c r="C1670" s="7" t="inlineStr">
        <is>
          <t>Sub-Saharan Africa</t>
        </is>
      </c>
      <c r="D1670" s="7" t="inlineStr">
        <is>
          <t>Low income</t>
        </is>
      </c>
      <c r="E1670" s="7" t="b">
        <v>1</v>
      </c>
      <c r="F1670" s="7" t="inlineStr">
        <is>
          <t>power_market_structure</t>
        </is>
      </c>
      <c r="G1670" s="7" t="n">
        <v>2</v>
      </c>
      <c r="H1670" s="7" t="inlineStr">
        <is>
          <t>2013</t>
        </is>
      </c>
      <c r="I1670" s="7" t="inlineStr">
        <is>
          <t>dataverse_files.zip</t>
        </is>
      </c>
    </row>
    <row r="1671">
      <c r="A1671" s="7" t="inlineStr">
        <is>
          <t>MDG</t>
        </is>
      </c>
      <c r="B1671" s="7" t="inlineStr">
        <is>
          <t>Madagascar</t>
        </is>
      </c>
      <c r="C1671" s="7" t="inlineStr">
        <is>
          <t>Sub-Saharan Africa</t>
        </is>
      </c>
      <c r="D1671" s="7" t="inlineStr">
        <is>
          <t>Low income</t>
        </is>
      </c>
      <c r="E1671" s="7" t="b">
        <v>1</v>
      </c>
      <c r="F1671" s="7" t="inlineStr">
        <is>
          <t>price_coal_power_usd_gj</t>
        </is>
      </c>
      <c r="G1671" s="7" t="n">
        <v>5.575</v>
      </c>
      <c r="H1671" s="7" t="inlineStr">
        <is>
          <t>2024</t>
        </is>
      </c>
      <c r="I1671" s="7" t="inlineStr">
        <is>
          <t>imffossilfuelsubsidiesdata.xlsb</t>
        </is>
      </c>
    </row>
    <row r="1672">
      <c r="A1672" s="7" t="inlineStr">
        <is>
          <t>MDG</t>
        </is>
      </c>
      <c r="B1672" s="7" t="inlineStr">
        <is>
          <t>Madagascar</t>
        </is>
      </c>
      <c r="C1672" s="7" t="inlineStr">
        <is>
          <t>Sub-Saharan Africa</t>
        </is>
      </c>
      <c r="D1672" s="7" t="inlineStr">
        <is>
          <t>Low income</t>
        </is>
      </c>
      <c r="E1672" s="7" t="b">
        <v>1</v>
      </c>
      <c r="F1672" s="7" t="inlineStr">
        <is>
          <t>price_electricity_residential_usd_kwh</t>
        </is>
      </c>
      <c r="G1672" s="7" t="n">
        <v>0.128</v>
      </c>
      <c r="H1672" s="7" t="inlineStr">
        <is>
          <t>2024</t>
        </is>
      </c>
      <c r="I1672" s="7" t="inlineStr">
        <is>
          <t>imffossilfuelsubsidiesdata.xlsb</t>
        </is>
      </c>
    </row>
    <row r="1673">
      <c r="A1673" s="7" t="inlineStr">
        <is>
          <t>MDG</t>
        </is>
      </c>
      <c r="B1673" s="7" t="inlineStr">
        <is>
          <t>Madagascar</t>
        </is>
      </c>
      <c r="C1673" s="7" t="inlineStr">
        <is>
          <t>Sub-Saharan Africa</t>
        </is>
      </c>
      <c r="D1673" s="7" t="inlineStr">
        <is>
          <t>Low income</t>
        </is>
      </c>
      <c r="E1673" s="7" t="b">
        <v>1</v>
      </c>
      <c r="F1673" s="7" t="inlineStr">
        <is>
          <t>price_gas_industry_usd_gj</t>
        </is>
      </c>
      <c r="G1673" s="7" t="n">
        <v>8.177</v>
      </c>
      <c r="H1673" s="7" t="inlineStr">
        <is>
          <t>2024</t>
        </is>
      </c>
      <c r="I1673" s="7" t="inlineStr">
        <is>
          <t>imffossilfuelsubsidiesdata.xlsb</t>
        </is>
      </c>
    </row>
    <row r="1674">
      <c r="A1674" s="7" t="inlineStr">
        <is>
          <t>MDG</t>
        </is>
      </c>
      <c r="B1674" s="7" t="inlineStr">
        <is>
          <t>Madagascar</t>
        </is>
      </c>
      <c r="C1674" s="7" t="inlineStr">
        <is>
          <t>Sub-Saharan Africa</t>
        </is>
      </c>
      <c r="D1674" s="7" t="inlineStr">
        <is>
          <t>Low income</t>
        </is>
      </c>
      <c r="E1674" s="7" t="b">
        <v>1</v>
      </c>
      <c r="F1674" s="7" t="inlineStr">
        <is>
          <t>price_gas_power_usd_gj</t>
        </is>
      </c>
      <c r="G1674" s="7" t="n">
        <v>6.853</v>
      </c>
      <c r="H1674" s="7" t="inlineStr">
        <is>
          <t>2024</t>
        </is>
      </c>
      <c r="I1674" s="7" t="inlineStr">
        <is>
          <t>imffossilfuelsubsidiesdata.xlsb</t>
        </is>
      </c>
    </row>
    <row r="1675">
      <c r="A1675" s="7" t="inlineStr">
        <is>
          <t>MDG</t>
        </is>
      </c>
      <c r="B1675" s="7" t="inlineStr">
        <is>
          <t>Madagascar</t>
        </is>
      </c>
      <c r="C1675" s="7" t="inlineStr">
        <is>
          <t>Sub-Saharan Africa</t>
        </is>
      </c>
      <c r="D1675" s="7" t="inlineStr">
        <is>
          <t>Low income</t>
        </is>
      </c>
      <c r="E1675" s="7" t="b">
        <v>1</v>
      </c>
      <c r="F1675" s="7" t="inlineStr">
        <is>
          <t>rise_renewable_energy_score</t>
        </is>
      </c>
      <c r="G1675" s="7" t="n">
        <v>9.468</v>
      </c>
      <c r="H1675" s="7" t="inlineStr">
        <is>
          <t>2023</t>
        </is>
      </c>
      <c r="I1675" s="7" t="inlineStr">
        <is>
          <t>WB_RISE_WIDEF.csv</t>
        </is>
      </c>
    </row>
    <row r="1676">
      <c r="A1676" s="7" t="inlineStr">
        <is>
          <t>MDV</t>
        </is>
      </c>
      <c r="B1676" s="7" t="inlineStr">
        <is>
          <t>Maldives</t>
        </is>
      </c>
      <c r="C1676" s="7" t="inlineStr">
        <is>
          <t>South Asia</t>
        </is>
      </c>
      <c r="D1676" s="7" t="inlineStr">
        <is>
          <t>Upper middle income</t>
        </is>
      </c>
      <c r="E1676" s="7" t="b">
        <v>1</v>
      </c>
      <c r="F1676" s="7" t="inlineStr">
        <is>
          <t>coal_rents_pct_gdp</t>
        </is>
      </c>
      <c r="G1676" s="7" t="n">
        <v>0</v>
      </c>
      <c r="H1676" s="7" t="inlineStr">
        <is>
          <t>2021</t>
        </is>
      </c>
      <c r="I1676" s="7" t="inlineStr">
        <is>
          <t>API_NY_GDP_COAL_RT_ZS_DS2_en_csv_v2_35370.zip</t>
        </is>
      </c>
    </row>
    <row r="1677">
      <c r="A1677" s="7" t="inlineStr">
        <is>
          <t>MDV</t>
        </is>
      </c>
      <c r="B1677" s="7" t="inlineStr">
        <is>
          <t>Maldives</t>
        </is>
      </c>
      <c r="C1677" s="7" t="inlineStr">
        <is>
          <t>South Asia</t>
        </is>
      </c>
      <c r="D1677" s="7" t="inlineStr">
        <is>
          <t>Upper middle income</t>
        </is>
      </c>
      <c r="E1677" s="7" t="b">
        <v>1</v>
      </c>
      <c r="F1677" s="7" t="inlineStr">
        <is>
          <t>em_coal_mt</t>
        </is>
      </c>
      <c r="G1677" s="7" t="n">
        <v>0</v>
      </c>
      <c r="H1677" s="7" t="n">
        <v>2024</v>
      </c>
      <c r="I1677" s="7" t="inlineStr">
        <is>
          <t>release_generation_yearly_global.csv (Ember)</t>
        </is>
      </c>
    </row>
    <row r="1678">
      <c r="A1678" s="7" t="inlineStr">
        <is>
          <t>MDV</t>
        </is>
      </c>
      <c r="B1678" s="7" t="inlineStr">
        <is>
          <t>Maldives</t>
        </is>
      </c>
      <c r="C1678" s="7" t="inlineStr">
        <is>
          <t>South Asia</t>
        </is>
      </c>
      <c r="D1678" s="7" t="inlineStr">
        <is>
          <t>Upper middle income</t>
        </is>
      </c>
      <c r="E1678" s="7" t="b">
        <v>1</v>
      </c>
      <c r="F1678" s="7" t="inlineStr">
        <is>
          <t>em_gas_mt</t>
        </is>
      </c>
      <c r="G1678" s="7" t="n">
        <v>0</v>
      </c>
      <c r="H1678" s="7" t="n">
        <v>2024</v>
      </c>
      <c r="I1678" s="7" t="inlineStr">
        <is>
          <t>release_generation_yearly_global.csv (Ember)</t>
        </is>
      </c>
    </row>
    <row r="1679">
      <c r="A1679" s="7" t="inlineStr">
        <is>
          <t>MDV</t>
        </is>
      </c>
      <c r="B1679" s="7" t="inlineStr">
        <is>
          <t>Maldives</t>
        </is>
      </c>
      <c r="C1679" s="7" t="inlineStr">
        <is>
          <t>South Asia</t>
        </is>
      </c>
      <c r="D1679" s="7" t="inlineStr">
        <is>
          <t>Upper middle income</t>
        </is>
      </c>
      <c r="E1679" s="7" t="b">
        <v>1</v>
      </c>
      <c r="F1679" s="7" t="inlineStr">
        <is>
          <t>em_oil_mt</t>
        </is>
      </c>
      <c r="G1679" s="7" t="n">
        <v>0.52</v>
      </c>
      <c r="H1679" s="7" t="n">
        <v>2024</v>
      </c>
      <c r="I1679" s="7" t="inlineStr">
        <is>
          <t>release_generation_yearly_global.csv (Ember)</t>
        </is>
      </c>
    </row>
    <row r="1680">
      <c r="A1680" s="7" t="inlineStr">
        <is>
          <t>MDV</t>
        </is>
      </c>
      <c r="B1680" s="7" t="inlineStr">
        <is>
          <t>Maldives</t>
        </is>
      </c>
      <c r="C1680" s="7" t="inlineStr">
        <is>
          <t>South Asia</t>
        </is>
      </c>
      <c r="D1680" s="7" t="inlineStr">
        <is>
          <t>Upper middle income</t>
        </is>
      </c>
      <c r="E1680" s="7" t="b">
        <v>1</v>
      </c>
      <c r="F1680" s="7" t="inlineStr">
        <is>
          <t>ff_subsidy_explicit_pct_gdp</t>
        </is>
      </c>
      <c r="G1680" s="7" t="n">
        <v>1.842</v>
      </c>
      <c r="H1680" s="7" t="inlineStr">
        <is>
          <t>2024</t>
        </is>
      </c>
      <c r="I1680" s="7" t="inlineStr">
        <is>
          <t>imffossilfuelsubsidiesdata.xlsb</t>
        </is>
      </c>
    </row>
    <row r="1681">
      <c r="A1681" s="7" t="inlineStr">
        <is>
          <t>MDV</t>
        </is>
      </c>
      <c r="B1681" s="7" t="inlineStr">
        <is>
          <t>Maldives</t>
        </is>
      </c>
      <c r="C1681" s="7" t="inlineStr">
        <is>
          <t>South Asia</t>
        </is>
      </c>
      <c r="D1681" s="7" t="inlineStr">
        <is>
          <t>Upper middle income</t>
        </is>
      </c>
      <c r="E1681" s="7" t="b">
        <v>1</v>
      </c>
      <c r="F1681" s="7" t="inlineStr">
        <is>
          <t>fuel_exports_pct_merch</t>
        </is>
      </c>
      <c r="G1681" s="7" t="n">
        <v>0.102</v>
      </c>
      <c r="H1681" s="7" t="inlineStr">
        <is>
          <t>2024</t>
        </is>
      </c>
      <c r="I1681" s="7" t="inlineStr">
        <is>
          <t>API_TX_VAL_FUEL_ZS_UN_DS2_en_csv_v2_33055.zip</t>
        </is>
      </c>
    </row>
    <row r="1682">
      <c r="A1682" s="7" t="inlineStr">
        <is>
          <t>MDV</t>
        </is>
      </c>
      <c r="B1682" s="7" t="inlineStr">
        <is>
          <t>Maldives</t>
        </is>
      </c>
      <c r="C1682" s="7" t="inlineStr">
        <is>
          <t>South Asia</t>
        </is>
      </c>
      <c r="D1682" s="7" t="inlineStr">
        <is>
          <t>Upper middle income</t>
        </is>
      </c>
      <c r="E1682" s="7" t="b">
        <v>1</v>
      </c>
      <c r="F1682" s="7" t="inlineStr">
        <is>
          <t>gen_coal_twh</t>
        </is>
      </c>
      <c r="G1682" s="7" t="n">
        <v>0</v>
      </c>
      <c r="H1682" s="7" t="n">
        <v>2024</v>
      </c>
      <c r="I1682" s="7" t="inlineStr">
        <is>
          <t>release_generation_yearly_global.csv (Ember)</t>
        </is>
      </c>
    </row>
    <row r="1683">
      <c r="A1683" s="7" t="inlineStr">
        <is>
          <t>MDV</t>
        </is>
      </c>
      <c r="B1683" s="7" t="inlineStr">
        <is>
          <t>Maldives</t>
        </is>
      </c>
      <c r="C1683" s="7" t="inlineStr">
        <is>
          <t>South Asia</t>
        </is>
      </c>
      <c r="D1683" s="7" t="inlineStr">
        <is>
          <t>Upper middle income</t>
        </is>
      </c>
      <c r="E1683" s="7" t="b">
        <v>1</v>
      </c>
      <c r="F1683" s="7" t="inlineStr">
        <is>
          <t>gen_gas_twh</t>
        </is>
      </c>
      <c r="G1683" s="7" t="n">
        <v>0</v>
      </c>
      <c r="H1683" s="7" t="n">
        <v>2024</v>
      </c>
      <c r="I1683" s="7" t="inlineStr">
        <is>
          <t>release_generation_yearly_global.csv (Ember)</t>
        </is>
      </c>
    </row>
    <row r="1684">
      <c r="A1684" s="7" t="inlineStr">
        <is>
          <t>MDV</t>
        </is>
      </c>
      <c r="B1684" s="7" t="inlineStr">
        <is>
          <t>Maldives</t>
        </is>
      </c>
      <c r="C1684" s="7" t="inlineStr">
        <is>
          <t>South Asia</t>
        </is>
      </c>
      <c r="D1684" s="7" t="inlineStr">
        <is>
          <t>Upper middle income</t>
        </is>
      </c>
      <c r="E1684" s="7" t="b">
        <v>1</v>
      </c>
      <c r="F1684" s="7" t="inlineStr">
        <is>
          <t>gen_oil_twh</t>
        </is>
      </c>
      <c r="G1684" s="7" t="n">
        <v>0.79</v>
      </c>
      <c r="H1684" s="7" t="n">
        <v>2024</v>
      </c>
      <c r="I1684" s="7" t="inlineStr">
        <is>
          <t>release_generation_yearly_global.csv (Ember)</t>
        </is>
      </c>
    </row>
    <row r="1685">
      <c r="A1685" s="7" t="inlineStr">
        <is>
          <t>MDV</t>
        </is>
      </c>
      <c r="B1685" s="7" t="inlineStr">
        <is>
          <t>Maldives</t>
        </is>
      </c>
      <c r="C1685" s="7" t="inlineStr">
        <is>
          <t>South Asia</t>
        </is>
      </c>
      <c r="D1685" s="7" t="inlineStr">
        <is>
          <t>Upper middle income</t>
        </is>
      </c>
      <c r="E1685" s="7" t="b">
        <v>1</v>
      </c>
      <c r="F1685" s="7" t="inlineStr">
        <is>
          <t>gen_total_twh</t>
        </is>
      </c>
      <c r="G1685" s="7" t="n">
        <v>0.85</v>
      </c>
      <c r="H1685" s="7" t="n">
        <v>2024</v>
      </c>
      <c r="I1685" s="7" t="inlineStr">
        <is>
          <t>release_generation_yearly_global.csv (Ember)</t>
        </is>
      </c>
    </row>
    <row r="1686">
      <c r="A1686" s="7" t="inlineStr">
        <is>
          <t>MDV</t>
        </is>
      </c>
      <c r="B1686" s="7" t="inlineStr">
        <is>
          <t>Maldives</t>
        </is>
      </c>
      <c r="C1686" s="7" t="inlineStr">
        <is>
          <t>South Asia</t>
        </is>
      </c>
      <c r="D1686" s="7" t="inlineStr">
        <is>
          <t>Upper middle income</t>
        </is>
      </c>
      <c r="E1686" s="7" t="b">
        <v>1</v>
      </c>
      <c r="F1686" s="7" t="inlineStr">
        <is>
          <t>power_market_structure</t>
        </is>
      </c>
      <c r="G1686" s="7" t="n">
        <v>2</v>
      </c>
      <c r="H1686" s="7" t="inlineStr">
        <is>
          <t>2013</t>
        </is>
      </c>
      <c r="I1686" s="7" t="inlineStr">
        <is>
          <t>dataverse_files.zip</t>
        </is>
      </c>
    </row>
    <row r="1687">
      <c r="A1687" s="7" t="inlineStr">
        <is>
          <t>MDV</t>
        </is>
      </c>
      <c r="B1687" s="7" t="inlineStr">
        <is>
          <t>Maldives</t>
        </is>
      </c>
      <c r="C1687" s="7" t="inlineStr">
        <is>
          <t>South Asia</t>
        </is>
      </c>
      <c r="D1687" s="7" t="inlineStr">
        <is>
          <t>Upper middle income</t>
        </is>
      </c>
      <c r="E1687" s="7" t="b">
        <v>1</v>
      </c>
      <c r="F1687" s="7" t="inlineStr">
        <is>
          <t>price_coal_power_usd_gj</t>
        </is>
      </c>
      <c r="G1687" s="7" t="n">
        <v>4.833</v>
      </c>
      <c r="H1687" s="7" t="inlineStr">
        <is>
          <t>2024</t>
        </is>
      </c>
      <c r="I1687" s="7" t="inlineStr">
        <is>
          <t>imffossilfuelsubsidiesdata.xlsb</t>
        </is>
      </c>
    </row>
    <row r="1688">
      <c r="A1688" s="7" t="inlineStr">
        <is>
          <t>MDV</t>
        </is>
      </c>
      <c r="B1688" s="7" t="inlineStr">
        <is>
          <t>Maldives</t>
        </is>
      </c>
      <c r="C1688" s="7" t="inlineStr">
        <is>
          <t>South Asia</t>
        </is>
      </c>
      <c r="D1688" s="7" t="inlineStr">
        <is>
          <t>Upper middle income</t>
        </is>
      </c>
      <c r="E1688" s="7" t="b">
        <v>1</v>
      </c>
      <c r="F1688" s="7" t="inlineStr">
        <is>
          <t>price_electricity_residential_usd_kwh</t>
        </is>
      </c>
      <c r="G1688" s="7" t="n">
        <v>0.106</v>
      </c>
      <c r="H1688" s="7" t="inlineStr">
        <is>
          <t>2024</t>
        </is>
      </c>
      <c r="I1688" s="7" t="inlineStr">
        <is>
          <t>imffossilfuelsubsidiesdata.xlsb</t>
        </is>
      </c>
    </row>
    <row r="1689">
      <c r="A1689" s="7" t="inlineStr">
        <is>
          <t>MDV</t>
        </is>
      </c>
      <c r="B1689" s="7" t="inlineStr">
        <is>
          <t>Maldives</t>
        </is>
      </c>
      <c r="C1689" s="7" t="inlineStr">
        <is>
          <t>South Asia</t>
        </is>
      </c>
      <c r="D1689" s="7" t="inlineStr">
        <is>
          <t>Upper middle income</t>
        </is>
      </c>
      <c r="E1689" s="7" t="b">
        <v>1</v>
      </c>
      <c r="F1689" s="7" t="inlineStr">
        <is>
          <t>price_gas_industry_usd_gj</t>
        </is>
      </c>
      <c r="G1689" s="7" t="n">
        <v>13.439</v>
      </c>
      <c r="H1689" s="7" t="inlineStr">
        <is>
          <t>2024</t>
        </is>
      </c>
      <c r="I1689" s="7" t="inlineStr">
        <is>
          <t>imffossilfuelsubsidiesdata.xlsb</t>
        </is>
      </c>
    </row>
    <row r="1690">
      <c r="A1690" s="7" t="inlineStr">
        <is>
          <t>MDV</t>
        </is>
      </c>
      <c r="B1690" s="7" t="inlineStr">
        <is>
          <t>Maldives</t>
        </is>
      </c>
      <c r="C1690" s="7" t="inlineStr">
        <is>
          <t>South Asia</t>
        </is>
      </c>
      <c r="D1690" s="7" t="inlineStr">
        <is>
          <t>Upper middle income</t>
        </is>
      </c>
      <c r="E1690" s="7" t="b">
        <v>1</v>
      </c>
      <c r="F1690" s="7" t="inlineStr">
        <is>
          <t>price_gas_power_usd_gj</t>
        </is>
      </c>
      <c r="G1690" s="7" t="n">
        <v>12.116</v>
      </c>
      <c r="H1690" s="7" t="inlineStr">
        <is>
          <t>2024</t>
        </is>
      </c>
      <c r="I1690" s="7" t="inlineStr">
        <is>
          <t>imffossilfuelsubsidiesdata.xlsb</t>
        </is>
      </c>
    </row>
    <row r="1691">
      <c r="A1691" s="7" t="inlineStr">
        <is>
          <t>MDV</t>
        </is>
      </c>
      <c r="B1691" s="7" t="inlineStr">
        <is>
          <t>Maldives</t>
        </is>
      </c>
      <c r="C1691" s="7" t="inlineStr">
        <is>
          <t>South Asia</t>
        </is>
      </c>
      <c r="D1691" s="7" t="inlineStr">
        <is>
          <t>Upper middle income</t>
        </is>
      </c>
      <c r="E1691" s="7" t="b">
        <v>1</v>
      </c>
      <c r="F1691" s="7" t="inlineStr">
        <is>
          <t>rise_renewable_energy_score</t>
        </is>
      </c>
      <c r="G1691" s="7" t="n">
        <v>18.185</v>
      </c>
      <c r="H1691" s="7" t="inlineStr">
        <is>
          <t>2023</t>
        </is>
      </c>
      <c r="I1691" s="7" t="inlineStr">
        <is>
          <t>WB_RISE_WIDEF.csv</t>
        </is>
      </c>
    </row>
    <row r="1692">
      <c r="A1692" s="7" t="inlineStr">
        <is>
          <t>MEX</t>
        </is>
      </c>
      <c r="B1692" s="7" t="inlineStr">
        <is>
          <t>Mexico</t>
        </is>
      </c>
      <c r="C1692" s="7" t="inlineStr">
        <is>
          <t>Latin America &amp; Caribbean</t>
        </is>
      </c>
      <c r="D1692" s="7" t="inlineStr">
        <is>
          <t>Upper middle income</t>
        </is>
      </c>
      <c r="E1692" s="7" t="b">
        <v>0</v>
      </c>
      <c r="F1692" s="7" t="inlineStr">
        <is>
          <t>coal_rents_pct_gdp</t>
        </is>
      </c>
      <c r="G1692" s="7" t="n">
        <v>0.016</v>
      </c>
      <c r="H1692" s="7" t="inlineStr">
        <is>
          <t>2021</t>
        </is>
      </c>
      <c r="I1692" s="7" t="inlineStr">
        <is>
          <t>API_NY_GDP_COAL_RT_ZS_DS2_en_csv_v2_35370.zip</t>
        </is>
      </c>
    </row>
    <row r="1693">
      <c r="A1693" s="7" t="inlineStr">
        <is>
          <t>MEX</t>
        </is>
      </c>
      <c r="B1693" s="7" t="inlineStr">
        <is>
          <t>Mexico</t>
        </is>
      </c>
      <c r="C1693" s="7" t="inlineStr">
        <is>
          <t>Latin America &amp; Caribbean</t>
        </is>
      </c>
      <c r="D1693" s="7" t="inlineStr">
        <is>
          <t>Upper middle income</t>
        </is>
      </c>
      <c r="E1693" s="7" t="b">
        <v>0</v>
      </c>
      <c r="F1693" s="7" t="inlineStr">
        <is>
          <t>em_coal_mt</t>
        </is>
      </c>
      <c r="G1693" s="7" t="n">
        <v>10.707</v>
      </c>
      <c r="H1693" s="7" t="n">
        <v>2024</v>
      </c>
      <c r="I1693" s="7" t="inlineStr">
        <is>
          <t>release_generation_yearly_global.csv (Ember)</t>
        </is>
      </c>
    </row>
    <row r="1694">
      <c r="A1694" s="7" t="inlineStr">
        <is>
          <t>MEX</t>
        </is>
      </c>
      <c r="B1694" s="7" t="inlineStr">
        <is>
          <t>Mexico</t>
        </is>
      </c>
      <c r="C1694" s="7" t="inlineStr">
        <is>
          <t>Latin America &amp; Caribbean</t>
        </is>
      </c>
      <c r="D1694" s="7" t="inlineStr">
        <is>
          <t>Upper middle income</t>
        </is>
      </c>
      <c r="E1694" s="7" t="b">
        <v>0</v>
      </c>
      <c r="F1694" s="7" t="inlineStr">
        <is>
          <t>em_gas_mt</t>
        </is>
      </c>
      <c r="G1694" s="7" t="n">
        <v>135.349</v>
      </c>
      <c r="H1694" s="7" t="n">
        <v>2024</v>
      </c>
      <c r="I1694" s="7" t="inlineStr">
        <is>
          <t>release_generation_yearly_global.csv (Ember)</t>
        </is>
      </c>
    </row>
    <row r="1695">
      <c r="A1695" s="7" t="inlineStr">
        <is>
          <t>MEX</t>
        </is>
      </c>
      <c r="B1695" s="7" t="inlineStr">
        <is>
          <t>Mexico</t>
        </is>
      </c>
      <c r="C1695" s="7" t="inlineStr">
        <is>
          <t>Latin America &amp; Caribbean</t>
        </is>
      </c>
      <c r="D1695" s="7" t="inlineStr">
        <is>
          <t>Upper middle income</t>
        </is>
      </c>
      <c r="E1695" s="7" t="b">
        <v>0</v>
      </c>
      <c r="F1695" s="7" t="inlineStr">
        <is>
          <t>em_oil_mt</t>
        </is>
      </c>
      <c r="G1695" s="7" t="n">
        <v>22.247</v>
      </c>
      <c r="H1695" s="7" t="n">
        <v>2024</v>
      </c>
      <c r="I1695" s="7" t="inlineStr">
        <is>
          <t>release_generation_yearly_global.csv (Ember)</t>
        </is>
      </c>
    </row>
    <row r="1696">
      <c r="A1696" s="7" t="inlineStr">
        <is>
          <t>MEX</t>
        </is>
      </c>
      <c r="B1696" s="7" t="inlineStr">
        <is>
          <t>Mexico</t>
        </is>
      </c>
      <c r="C1696" s="7" t="inlineStr">
        <is>
          <t>Latin America &amp; Caribbean</t>
        </is>
      </c>
      <c r="D1696" s="7" t="inlineStr">
        <is>
          <t>Upper middle income</t>
        </is>
      </c>
      <c r="E1696" s="7" t="b">
        <v>0</v>
      </c>
      <c r="F1696" s="7" t="inlineStr">
        <is>
          <t>ff_subsidy_explicit_pct_gdp</t>
        </is>
      </c>
      <c r="G1696" s="7" t="n">
        <v>0.609</v>
      </c>
      <c r="H1696" s="7" t="inlineStr">
        <is>
          <t>2024</t>
        </is>
      </c>
      <c r="I1696" s="7" t="inlineStr">
        <is>
          <t>imffossilfuelsubsidiesdata.xlsb</t>
        </is>
      </c>
    </row>
    <row r="1697">
      <c r="A1697" s="7" t="inlineStr">
        <is>
          <t>MEX</t>
        </is>
      </c>
      <c r="B1697" s="7" t="inlineStr">
        <is>
          <t>Mexico</t>
        </is>
      </c>
      <c r="C1697" s="7" t="inlineStr">
        <is>
          <t>Latin America &amp; Caribbean</t>
        </is>
      </c>
      <c r="D1697" s="7" t="inlineStr">
        <is>
          <t>Upper middle income</t>
        </is>
      </c>
      <c r="E1697" s="7" t="b">
        <v>0</v>
      </c>
      <c r="F1697" s="7" t="inlineStr">
        <is>
          <t>fuel_exports_pct_merch</t>
        </is>
      </c>
      <c r="G1697" s="7" t="n">
        <v>2.992</v>
      </c>
      <c r="H1697" s="7" t="inlineStr">
        <is>
          <t>2025</t>
        </is>
      </c>
      <c r="I1697" s="7" t="inlineStr">
        <is>
          <t>API_TX_VAL_FUEL_ZS_UN_DS2_en_csv_v2_33055.zip</t>
        </is>
      </c>
    </row>
    <row r="1698">
      <c r="A1698" s="7" t="inlineStr">
        <is>
          <t>MEX</t>
        </is>
      </c>
      <c r="B1698" s="7" t="inlineStr">
        <is>
          <t>Mexico</t>
        </is>
      </c>
      <c r="C1698" s="7" t="inlineStr">
        <is>
          <t>Latin America &amp; Caribbean</t>
        </is>
      </c>
      <c r="D1698" s="7" t="inlineStr">
        <is>
          <t>Upper middle income</t>
        </is>
      </c>
      <c r="E1698" s="7" t="b">
        <v>0</v>
      </c>
      <c r="F1698" s="7" t="inlineStr">
        <is>
          <t>gen_coal_twh</t>
        </is>
      </c>
      <c r="G1698" s="7" t="n">
        <v>12.39</v>
      </c>
      <c r="H1698" s="7" t="n">
        <v>2024</v>
      </c>
      <c r="I1698" s="7" t="inlineStr">
        <is>
          <t>release_generation_yearly_global.csv (Ember)</t>
        </is>
      </c>
    </row>
    <row r="1699">
      <c r="A1699" s="7" t="inlineStr">
        <is>
          <t>MEX</t>
        </is>
      </c>
      <c r="B1699" s="7" t="inlineStr">
        <is>
          <t>Mexico</t>
        </is>
      </c>
      <c r="C1699" s="7" t="inlineStr">
        <is>
          <t>Latin America &amp; Caribbean</t>
        </is>
      </c>
      <c r="D1699" s="7" t="inlineStr">
        <is>
          <t>Upper middle income</t>
        </is>
      </c>
      <c r="E1699" s="7" t="b">
        <v>0</v>
      </c>
      <c r="F1699" s="7" t="inlineStr">
        <is>
          <t>gen_gas_twh</t>
        </is>
      </c>
      <c r="G1699" s="7" t="n">
        <v>221.67</v>
      </c>
      <c r="H1699" s="7" t="n">
        <v>2024</v>
      </c>
      <c r="I1699" s="7" t="inlineStr">
        <is>
          <t>release_generation_yearly_global.csv (Ember)</t>
        </is>
      </c>
    </row>
    <row r="1700">
      <c r="A1700" s="7" t="inlineStr">
        <is>
          <t>MEX</t>
        </is>
      </c>
      <c r="B1700" s="7" t="inlineStr">
        <is>
          <t>Mexico</t>
        </is>
      </c>
      <c r="C1700" s="7" t="inlineStr">
        <is>
          <t>Latin America &amp; Caribbean</t>
        </is>
      </c>
      <c r="D1700" s="7" t="inlineStr">
        <is>
          <t>Upper middle income</t>
        </is>
      </c>
      <c r="E1700" s="7" t="b">
        <v>0</v>
      </c>
      <c r="F1700" s="7" t="inlineStr">
        <is>
          <t>gen_oil_twh</t>
        </is>
      </c>
      <c r="G1700" s="7" t="n">
        <v>33.81</v>
      </c>
      <c r="H1700" s="7" t="n">
        <v>2024</v>
      </c>
      <c r="I1700" s="7" t="inlineStr">
        <is>
          <t>release_generation_yearly_global.csv (Ember)</t>
        </is>
      </c>
    </row>
    <row r="1701">
      <c r="A1701" s="7" t="inlineStr">
        <is>
          <t>MEX</t>
        </is>
      </c>
      <c r="B1701" s="7" t="inlineStr">
        <is>
          <t>Mexico</t>
        </is>
      </c>
      <c r="C1701" s="7" t="inlineStr">
        <is>
          <t>Latin America &amp; Caribbean</t>
        </is>
      </c>
      <c r="D1701" s="7" t="inlineStr">
        <is>
          <t>Upper middle income</t>
        </is>
      </c>
      <c r="E1701" s="7" t="b">
        <v>0</v>
      </c>
      <c r="F1701" s="7" t="inlineStr">
        <is>
          <t>gen_total_twh</t>
        </is>
      </c>
      <c r="G1701" s="7" t="n">
        <v>355.18</v>
      </c>
      <c r="H1701" s="7" t="n">
        <v>2024</v>
      </c>
      <c r="I1701" s="7" t="inlineStr">
        <is>
          <t>release_generation_yearly_global.csv (Ember)</t>
        </is>
      </c>
    </row>
    <row r="1702">
      <c r="A1702" s="7" t="inlineStr">
        <is>
          <t>MEX</t>
        </is>
      </c>
      <c r="B1702" s="7" t="inlineStr">
        <is>
          <t>Mexico</t>
        </is>
      </c>
      <c r="C1702" s="7" t="inlineStr">
        <is>
          <t>Latin America &amp; Caribbean</t>
        </is>
      </c>
      <c r="D1702" s="7" t="inlineStr">
        <is>
          <t>Upper middle income</t>
        </is>
      </c>
      <c r="E1702" s="7" t="b">
        <v>0</v>
      </c>
      <c r="F1702" s="7" t="inlineStr">
        <is>
          <t>price_coal_power_usd_gj</t>
        </is>
      </c>
      <c r="G1702" s="7" t="n">
        <v>2.888</v>
      </c>
      <c r="H1702" s="7" t="inlineStr">
        <is>
          <t>2024</t>
        </is>
      </c>
      <c r="I1702" s="7" t="inlineStr">
        <is>
          <t>imffossilfuelsubsidiesdata.xlsb</t>
        </is>
      </c>
    </row>
    <row r="1703">
      <c r="A1703" s="7" t="inlineStr">
        <is>
          <t>MEX</t>
        </is>
      </c>
      <c r="B1703" s="7" t="inlineStr">
        <is>
          <t>Mexico</t>
        </is>
      </c>
      <c r="C1703" s="7" t="inlineStr">
        <is>
          <t>Latin America &amp; Caribbean</t>
        </is>
      </c>
      <c r="D1703" s="7" t="inlineStr">
        <is>
          <t>Upper middle income</t>
        </is>
      </c>
      <c r="E1703" s="7" t="b">
        <v>0</v>
      </c>
      <c r="F1703" s="7" t="inlineStr">
        <is>
          <t>price_electricity_residential_usd_kwh</t>
        </is>
      </c>
      <c r="G1703" s="7" t="n">
        <v>0.131</v>
      </c>
      <c r="H1703" s="7" t="inlineStr">
        <is>
          <t>2024</t>
        </is>
      </c>
      <c r="I1703" s="7" t="inlineStr">
        <is>
          <t>imffossilfuelsubsidiesdata.xlsb</t>
        </is>
      </c>
    </row>
    <row r="1704">
      <c r="A1704" s="7" t="inlineStr">
        <is>
          <t>MEX</t>
        </is>
      </c>
      <c r="B1704" s="7" t="inlineStr">
        <is>
          <t>Mexico</t>
        </is>
      </c>
      <c r="C1704" s="7" t="inlineStr">
        <is>
          <t>Latin America &amp; Caribbean</t>
        </is>
      </c>
      <c r="D1704" s="7" t="inlineStr">
        <is>
          <t>Upper middle income</t>
        </is>
      </c>
      <c r="E1704" s="7" t="b">
        <v>0</v>
      </c>
      <c r="F1704" s="7" t="inlineStr">
        <is>
          <t>price_gas_industry_usd_gj</t>
        </is>
      </c>
      <c r="G1704" s="7" t="n">
        <v>3.843</v>
      </c>
      <c r="H1704" s="7" t="inlineStr">
        <is>
          <t>2024</t>
        </is>
      </c>
      <c r="I1704" s="7" t="inlineStr">
        <is>
          <t>imffossilfuelsubsidiesdata.xlsb</t>
        </is>
      </c>
    </row>
    <row r="1705">
      <c r="A1705" s="7" t="inlineStr">
        <is>
          <t>MEX</t>
        </is>
      </c>
      <c r="B1705" s="7" t="inlineStr">
        <is>
          <t>Mexico</t>
        </is>
      </c>
      <c r="C1705" s="7" t="inlineStr">
        <is>
          <t>Latin America &amp; Caribbean</t>
        </is>
      </c>
      <c r="D1705" s="7" t="inlineStr">
        <is>
          <t>Upper middle income</t>
        </is>
      </c>
      <c r="E1705" s="7" t="b">
        <v>0</v>
      </c>
      <c r="F1705" s="7" t="inlineStr">
        <is>
          <t>rise_renewable_energy_score</t>
        </is>
      </c>
      <c r="G1705" s="7" t="n">
        <v>74.96299999999999</v>
      </c>
      <c r="H1705" s="7" t="inlineStr">
        <is>
          <t>2023</t>
        </is>
      </c>
      <c r="I1705" s="7" t="inlineStr">
        <is>
          <t>WB_RISE_WIDEF.csv</t>
        </is>
      </c>
    </row>
    <row r="1706">
      <c r="A1706" s="7" t="inlineStr">
        <is>
          <t>MKD</t>
        </is>
      </c>
      <c r="B1706" s="7" t="inlineStr">
        <is>
          <t>North Macedonia</t>
        </is>
      </c>
      <c r="C1706" s="7" t="inlineStr">
        <is>
          <t>Europe &amp; Central Asia</t>
        </is>
      </c>
      <c r="D1706" s="7" t="inlineStr">
        <is>
          <t>Upper middle income</t>
        </is>
      </c>
      <c r="E1706" s="7" t="b">
        <v>1</v>
      </c>
      <c r="F1706" s="7" t="inlineStr">
        <is>
          <t>coal_rents_pct_gdp</t>
        </is>
      </c>
      <c r="G1706" s="7" t="n">
        <v>0.008999999999999999</v>
      </c>
      <c r="H1706" s="7" t="inlineStr">
        <is>
          <t>2021</t>
        </is>
      </c>
      <c r="I1706" s="7" t="inlineStr">
        <is>
          <t>API_NY_GDP_COAL_RT_ZS_DS2_en_csv_v2_35370.zip</t>
        </is>
      </c>
    </row>
    <row r="1707">
      <c r="A1707" s="7" t="inlineStr">
        <is>
          <t>MKD</t>
        </is>
      </c>
      <c r="B1707" s="7" t="inlineStr">
        <is>
          <t>North Macedonia</t>
        </is>
      </c>
      <c r="C1707" s="7" t="inlineStr">
        <is>
          <t>Europe &amp; Central Asia</t>
        </is>
      </c>
      <c r="D1707" s="7" t="inlineStr">
        <is>
          <t>Upper middle income</t>
        </is>
      </c>
      <c r="E1707" s="7" t="b">
        <v>1</v>
      </c>
      <c r="F1707" s="7" t="inlineStr">
        <is>
          <t>em_coal_mt</t>
        </is>
      </c>
      <c r="G1707" s="7" t="n">
        <v>2.397</v>
      </c>
      <c r="H1707" s="7" t="n">
        <v>2024</v>
      </c>
      <c r="I1707" s="7" t="inlineStr">
        <is>
          <t>release_generation_yearly_global.csv (Ember)</t>
        </is>
      </c>
    </row>
    <row r="1708">
      <c r="A1708" s="7" t="inlineStr">
        <is>
          <t>MKD</t>
        </is>
      </c>
      <c r="B1708" s="7" t="inlineStr">
        <is>
          <t>North Macedonia</t>
        </is>
      </c>
      <c r="C1708" s="7" t="inlineStr">
        <is>
          <t>Europe &amp; Central Asia</t>
        </is>
      </c>
      <c r="D1708" s="7" t="inlineStr">
        <is>
          <t>Upper middle income</t>
        </is>
      </c>
      <c r="E1708" s="7" t="b">
        <v>1</v>
      </c>
      <c r="F1708" s="7" t="inlineStr">
        <is>
          <t>em_gas_mt</t>
        </is>
      </c>
      <c r="G1708" s="7" t="n">
        <v>0.632</v>
      </c>
      <c r="H1708" s="7" t="n">
        <v>2024</v>
      </c>
      <c r="I1708" s="7" t="inlineStr">
        <is>
          <t>release_generation_yearly_global.csv (Ember)</t>
        </is>
      </c>
    </row>
    <row r="1709">
      <c r="A1709" s="7" t="inlineStr">
        <is>
          <t>MKD</t>
        </is>
      </c>
      <c r="B1709" s="7" t="inlineStr">
        <is>
          <t>North Macedonia</t>
        </is>
      </c>
      <c r="C1709" s="7" t="inlineStr">
        <is>
          <t>Europe &amp; Central Asia</t>
        </is>
      </c>
      <c r="D1709" s="7" t="inlineStr">
        <is>
          <t>Upper middle income</t>
        </is>
      </c>
      <c r="E1709" s="7" t="b">
        <v>1</v>
      </c>
      <c r="F1709" s="7" t="inlineStr">
        <is>
          <t>em_oil_mt</t>
        </is>
      </c>
      <c r="G1709" s="7" t="n">
        <v>0.112</v>
      </c>
      <c r="H1709" s="7" t="n">
        <v>2024</v>
      </c>
      <c r="I1709" s="7" t="inlineStr">
        <is>
          <t>release_generation_yearly_global.csv (Ember)</t>
        </is>
      </c>
    </row>
    <row r="1710">
      <c r="A1710" s="7" t="inlineStr">
        <is>
          <t>MKD</t>
        </is>
      </c>
      <c r="B1710" s="7" t="inlineStr">
        <is>
          <t>North Macedonia</t>
        </is>
      </c>
      <c r="C1710" s="7" t="inlineStr">
        <is>
          <t>Europe &amp; Central Asia</t>
        </is>
      </c>
      <c r="D1710" s="7" t="inlineStr">
        <is>
          <t>Upper middle income</t>
        </is>
      </c>
      <c r="E1710" s="7" t="b">
        <v>1</v>
      </c>
      <c r="F1710" s="7" t="inlineStr">
        <is>
          <t>ff_subsidy_explicit_pct_gdp</t>
        </is>
      </c>
      <c r="G1710" s="7" t="n">
        <v>0</v>
      </c>
      <c r="H1710" s="7" t="inlineStr">
        <is>
          <t>2024</t>
        </is>
      </c>
      <c r="I1710" s="7" t="inlineStr">
        <is>
          <t>imffossilfuelsubsidiesdata.xlsb</t>
        </is>
      </c>
    </row>
    <row r="1711">
      <c r="A1711" s="7" t="inlineStr">
        <is>
          <t>MKD</t>
        </is>
      </c>
      <c r="B1711" s="7" t="inlineStr">
        <is>
          <t>North Macedonia</t>
        </is>
      </c>
      <c r="C1711" s="7" t="inlineStr">
        <is>
          <t>Europe &amp; Central Asia</t>
        </is>
      </c>
      <c r="D1711" s="7" t="inlineStr">
        <is>
          <t>Upper middle income</t>
        </is>
      </c>
      <c r="E1711" s="7" t="b">
        <v>1</v>
      </c>
      <c r="F1711" s="7" t="inlineStr">
        <is>
          <t>fuel_exports_pct_merch</t>
        </is>
      </c>
      <c r="G1711" s="7" t="n">
        <v>3.461</v>
      </c>
      <c r="H1711" s="7" t="inlineStr">
        <is>
          <t>2024</t>
        </is>
      </c>
      <c r="I1711" s="7" t="inlineStr">
        <is>
          <t>API_TX_VAL_FUEL_ZS_UN_DS2_en_csv_v2_33055.zip</t>
        </is>
      </c>
    </row>
    <row r="1712">
      <c r="A1712" s="7" t="inlineStr">
        <is>
          <t>MKD</t>
        </is>
      </c>
      <c r="B1712" s="7" t="inlineStr">
        <is>
          <t>North Macedonia</t>
        </is>
      </c>
      <c r="C1712" s="7" t="inlineStr">
        <is>
          <t>Europe &amp; Central Asia</t>
        </is>
      </c>
      <c r="D1712" s="7" t="inlineStr">
        <is>
          <t>Upper middle income</t>
        </is>
      </c>
      <c r="E1712" s="7" t="b">
        <v>1</v>
      </c>
      <c r="F1712" s="7" t="inlineStr">
        <is>
          <t>gen_coal_twh</t>
        </is>
      </c>
      <c r="G1712" s="7" t="n">
        <v>2.36</v>
      </c>
      <c r="H1712" s="7" t="n">
        <v>2024</v>
      </c>
      <c r="I1712" s="7" t="inlineStr">
        <is>
          <t>release_generation_yearly_global.csv (Ember)</t>
        </is>
      </c>
    </row>
    <row r="1713">
      <c r="A1713" s="7" t="inlineStr">
        <is>
          <t>MKD</t>
        </is>
      </c>
      <c r="B1713" s="7" t="inlineStr">
        <is>
          <t>North Macedonia</t>
        </is>
      </c>
      <c r="C1713" s="7" t="inlineStr">
        <is>
          <t>Europe &amp; Central Asia</t>
        </is>
      </c>
      <c r="D1713" s="7" t="inlineStr">
        <is>
          <t>Upper middle income</t>
        </is>
      </c>
      <c r="E1713" s="7" t="b">
        <v>1</v>
      </c>
      <c r="F1713" s="7" t="inlineStr">
        <is>
          <t>gen_gas_twh</t>
        </is>
      </c>
      <c r="G1713" s="7" t="n">
        <v>1.29</v>
      </c>
      <c r="H1713" s="7" t="n">
        <v>2024</v>
      </c>
      <c r="I1713" s="7" t="inlineStr">
        <is>
          <t>release_generation_yearly_global.csv (Ember)</t>
        </is>
      </c>
    </row>
    <row r="1714">
      <c r="A1714" s="7" t="inlineStr">
        <is>
          <t>MKD</t>
        </is>
      </c>
      <c r="B1714" s="7" t="inlineStr">
        <is>
          <t>North Macedonia</t>
        </is>
      </c>
      <c r="C1714" s="7" t="inlineStr">
        <is>
          <t>Europe &amp; Central Asia</t>
        </is>
      </c>
      <c r="D1714" s="7" t="inlineStr">
        <is>
          <t>Upper middle income</t>
        </is>
      </c>
      <c r="E1714" s="7" t="b">
        <v>1</v>
      </c>
      <c r="F1714" s="7" t="inlineStr">
        <is>
          <t>gen_oil_twh</t>
        </is>
      </c>
      <c r="G1714" s="7" t="n">
        <v>0.17</v>
      </c>
      <c r="H1714" s="7" t="n">
        <v>2024</v>
      </c>
      <c r="I1714" s="7" t="inlineStr">
        <is>
          <t>release_generation_yearly_global.csv (Ember)</t>
        </is>
      </c>
    </row>
    <row r="1715">
      <c r="A1715" s="7" t="inlineStr">
        <is>
          <t>MKD</t>
        </is>
      </c>
      <c r="B1715" s="7" t="inlineStr">
        <is>
          <t>North Macedonia</t>
        </is>
      </c>
      <c r="C1715" s="7" t="inlineStr">
        <is>
          <t>Europe &amp; Central Asia</t>
        </is>
      </c>
      <c r="D1715" s="7" t="inlineStr">
        <is>
          <t>Upper middle income</t>
        </is>
      </c>
      <c r="E1715" s="7" t="b">
        <v>1</v>
      </c>
      <c r="F1715" s="7" t="inlineStr">
        <is>
          <t>gen_total_twh</t>
        </is>
      </c>
      <c r="G1715" s="7" t="n">
        <v>6.31</v>
      </c>
      <c r="H1715" s="7" t="n">
        <v>2024</v>
      </c>
      <c r="I1715" s="7" t="inlineStr">
        <is>
          <t>release_generation_yearly_global.csv (Ember)</t>
        </is>
      </c>
    </row>
    <row r="1716">
      <c r="A1716" s="7" t="inlineStr">
        <is>
          <t>MKD</t>
        </is>
      </c>
      <c r="B1716" s="7" t="inlineStr">
        <is>
          <t>North Macedonia</t>
        </is>
      </c>
      <c r="C1716" s="7" t="inlineStr">
        <is>
          <t>Europe &amp; Central Asia</t>
        </is>
      </c>
      <c r="D1716" s="7" t="inlineStr">
        <is>
          <t>Upper middle income</t>
        </is>
      </c>
      <c r="E1716" s="7" t="b">
        <v>1</v>
      </c>
      <c r="F1716" s="7" t="inlineStr">
        <is>
          <t>power_market_structure</t>
        </is>
      </c>
      <c r="G1716" s="7" t="n">
        <v>3</v>
      </c>
      <c r="H1716" s="7" t="inlineStr">
        <is>
          <t>2013</t>
        </is>
      </c>
      <c r="I1716" s="7" t="inlineStr">
        <is>
          <t>dataverse_files.zip</t>
        </is>
      </c>
    </row>
    <row r="1717">
      <c r="A1717" s="7" t="inlineStr">
        <is>
          <t>MKD</t>
        </is>
      </c>
      <c r="B1717" s="7" t="inlineStr">
        <is>
          <t>North Macedonia</t>
        </is>
      </c>
      <c r="C1717" s="7" t="inlineStr">
        <is>
          <t>Europe &amp; Central Asia</t>
        </is>
      </c>
      <c r="D1717" s="7" t="inlineStr">
        <is>
          <t>Upper middle income</t>
        </is>
      </c>
      <c r="E1717" s="7" t="b">
        <v>1</v>
      </c>
      <c r="F1717" s="7" t="inlineStr">
        <is>
          <t>price_coal_power_usd_gj</t>
        </is>
      </c>
      <c r="G1717" s="7" t="n">
        <v>2.691</v>
      </c>
      <c r="H1717" s="7" t="inlineStr">
        <is>
          <t>2024</t>
        </is>
      </c>
      <c r="I1717" s="7" t="inlineStr">
        <is>
          <t>imffossilfuelsubsidiesdata.xlsb</t>
        </is>
      </c>
    </row>
    <row r="1718">
      <c r="A1718" s="7" t="inlineStr">
        <is>
          <t>MKD</t>
        </is>
      </c>
      <c r="B1718" s="7" t="inlineStr">
        <is>
          <t>North Macedonia</t>
        </is>
      </c>
      <c r="C1718" s="7" t="inlineStr">
        <is>
          <t>Europe &amp; Central Asia</t>
        </is>
      </c>
      <c r="D1718" s="7" t="inlineStr">
        <is>
          <t>Upper middle income</t>
        </is>
      </c>
      <c r="E1718" s="7" t="b">
        <v>1</v>
      </c>
      <c r="F1718" s="7" t="inlineStr">
        <is>
          <t>price_electricity_residential_usd_kwh</t>
        </is>
      </c>
      <c r="G1718" s="7" t="n">
        <v>0.118</v>
      </c>
      <c r="H1718" s="7" t="inlineStr">
        <is>
          <t>2024</t>
        </is>
      </c>
      <c r="I1718" s="7" t="inlineStr">
        <is>
          <t>imffossilfuelsubsidiesdata.xlsb</t>
        </is>
      </c>
    </row>
    <row r="1719">
      <c r="A1719" s="7" t="inlineStr">
        <is>
          <t>MKD</t>
        </is>
      </c>
      <c r="B1719" s="7" t="inlineStr">
        <is>
          <t>North Macedonia</t>
        </is>
      </c>
      <c r="C1719" s="7" t="inlineStr">
        <is>
          <t>Europe &amp; Central Asia</t>
        </is>
      </c>
      <c r="D1719" s="7" t="inlineStr">
        <is>
          <t>Upper middle income</t>
        </is>
      </c>
      <c r="E1719" s="7" t="b">
        <v>1</v>
      </c>
      <c r="F1719" s="7" t="inlineStr">
        <is>
          <t>price_gas_industry_usd_gj</t>
        </is>
      </c>
      <c r="G1719" s="7" t="n">
        <v>14.439</v>
      </c>
      <c r="H1719" s="7" t="inlineStr">
        <is>
          <t>2024</t>
        </is>
      </c>
      <c r="I1719" s="7" t="inlineStr">
        <is>
          <t>imffossilfuelsubsidiesdata.xlsb</t>
        </is>
      </c>
    </row>
    <row r="1720">
      <c r="A1720" s="7" t="inlineStr">
        <is>
          <t>MKD</t>
        </is>
      </c>
      <c r="B1720" s="7" t="inlineStr">
        <is>
          <t>North Macedonia</t>
        </is>
      </c>
      <c r="C1720" s="7" t="inlineStr">
        <is>
          <t>Europe &amp; Central Asia</t>
        </is>
      </c>
      <c r="D1720" s="7" t="inlineStr">
        <is>
          <t>Upper middle income</t>
        </is>
      </c>
      <c r="E1720" s="7" t="b">
        <v>1</v>
      </c>
      <c r="F1720" s="7" t="inlineStr">
        <is>
          <t>price_gas_power_usd_gj</t>
        </is>
      </c>
      <c r="G1720" s="7" t="n">
        <v>14.439</v>
      </c>
      <c r="H1720" s="7" t="inlineStr">
        <is>
          <t>2024</t>
        </is>
      </c>
      <c r="I1720" s="7" t="inlineStr">
        <is>
          <t>imffossilfuelsubsidiesdata.xlsb</t>
        </is>
      </c>
    </row>
    <row r="1721">
      <c r="A1721" s="7" t="inlineStr">
        <is>
          <t>MKD</t>
        </is>
      </c>
      <c r="B1721" s="7" t="inlineStr">
        <is>
          <t>North Macedonia</t>
        </is>
      </c>
      <c r="C1721" s="7" t="inlineStr">
        <is>
          <t>Europe &amp; Central Asia</t>
        </is>
      </c>
      <c r="D1721" s="7" t="inlineStr">
        <is>
          <t>Upper middle income</t>
        </is>
      </c>
      <c r="E1721" s="7" t="b">
        <v>1</v>
      </c>
      <c r="F1721" s="7" t="inlineStr">
        <is>
          <t>rise_renewable_energy_score</t>
        </is>
      </c>
      <c r="G1721" s="7" t="n">
        <v>39.384</v>
      </c>
      <c r="H1721" s="7" t="inlineStr">
        <is>
          <t>2023</t>
        </is>
      </c>
      <c r="I1721" s="7" t="inlineStr">
        <is>
          <t>WB_RISE_WIDEF.csv</t>
        </is>
      </c>
    </row>
    <row r="1722">
      <c r="A1722" s="7" t="inlineStr">
        <is>
          <t>MLI</t>
        </is>
      </c>
      <c r="B1722" s="7" t="inlineStr">
        <is>
          <t>Mali</t>
        </is>
      </c>
      <c r="C1722" s="7" t="inlineStr">
        <is>
          <t>Sub-Saharan Africa</t>
        </is>
      </c>
      <c r="D1722" s="7" t="inlineStr">
        <is>
          <t>Low income</t>
        </is>
      </c>
      <c r="E1722" s="7" t="b">
        <v>1</v>
      </c>
      <c r="F1722" s="7" t="inlineStr">
        <is>
          <t>coal_rents_pct_gdp</t>
        </is>
      </c>
      <c r="G1722" s="7" t="n">
        <v>0</v>
      </c>
      <c r="H1722" s="7" t="inlineStr">
        <is>
          <t>2021</t>
        </is>
      </c>
      <c r="I1722" s="7" t="inlineStr">
        <is>
          <t>API_NY_GDP_COAL_RT_ZS_DS2_en_csv_v2_35370.zip</t>
        </is>
      </c>
    </row>
    <row r="1723">
      <c r="A1723" s="7" t="inlineStr">
        <is>
          <t>MLI</t>
        </is>
      </c>
      <c r="B1723" s="7" t="inlineStr">
        <is>
          <t>Mali</t>
        </is>
      </c>
      <c r="C1723" s="7" t="inlineStr">
        <is>
          <t>Sub-Saharan Africa</t>
        </is>
      </c>
      <c r="D1723" s="7" t="inlineStr">
        <is>
          <t>Low income</t>
        </is>
      </c>
      <c r="E1723" s="7" t="b">
        <v>1</v>
      </c>
      <c r="F1723" s="7" t="inlineStr">
        <is>
          <t>em_coal_mt</t>
        </is>
      </c>
      <c r="G1723" s="7" t="n">
        <v>0</v>
      </c>
      <c r="H1723" s="7" t="n">
        <v>2024</v>
      </c>
      <c r="I1723" s="7" t="inlineStr">
        <is>
          <t>release_generation_yearly_global.csv (Ember)</t>
        </is>
      </c>
    </row>
    <row r="1724">
      <c r="A1724" s="7" t="inlineStr">
        <is>
          <t>MLI</t>
        </is>
      </c>
      <c r="B1724" s="7" t="inlineStr">
        <is>
          <t>Mali</t>
        </is>
      </c>
      <c r="C1724" s="7" t="inlineStr">
        <is>
          <t>Sub-Saharan Africa</t>
        </is>
      </c>
      <c r="D1724" s="7" t="inlineStr">
        <is>
          <t>Low income</t>
        </is>
      </c>
      <c r="E1724" s="7" t="b">
        <v>1</v>
      </c>
      <c r="F1724" s="7" t="inlineStr">
        <is>
          <t>em_gas_mt</t>
        </is>
      </c>
      <c r="G1724" s="7" t="n">
        <v>0</v>
      </c>
      <c r="H1724" s="7" t="n">
        <v>2024</v>
      </c>
      <c r="I1724" s="7" t="inlineStr">
        <is>
          <t>release_generation_yearly_global.csv (Ember)</t>
        </is>
      </c>
    </row>
    <row r="1725">
      <c r="A1725" s="7" t="inlineStr">
        <is>
          <t>MLI</t>
        </is>
      </c>
      <c r="B1725" s="7" t="inlineStr">
        <is>
          <t>Mali</t>
        </is>
      </c>
      <c r="C1725" s="7" t="inlineStr">
        <is>
          <t>Sub-Saharan Africa</t>
        </is>
      </c>
      <c r="D1725" s="7" t="inlineStr">
        <is>
          <t>Low income</t>
        </is>
      </c>
      <c r="E1725" s="7" t="b">
        <v>1</v>
      </c>
      <c r="F1725" s="7" t="inlineStr">
        <is>
          <t>em_oil_mt</t>
        </is>
      </c>
      <c r="G1725" s="7" t="n">
        <v>3.158</v>
      </c>
      <c r="H1725" s="7" t="n">
        <v>2024</v>
      </c>
      <c r="I1725" s="7" t="inlineStr">
        <is>
          <t>release_generation_yearly_global.csv (Ember)</t>
        </is>
      </c>
    </row>
    <row r="1726">
      <c r="A1726" s="7" t="inlineStr">
        <is>
          <t>MLI</t>
        </is>
      </c>
      <c r="B1726" s="7" t="inlineStr">
        <is>
          <t>Mali</t>
        </is>
      </c>
      <c r="C1726" s="7" t="inlineStr">
        <is>
          <t>Sub-Saharan Africa</t>
        </is>
      </c>
      <c r="D1726" s="7" t="inlineStr">
        <is>
          <t>Low income</t>
        </is>
      </c>
      <c r="E1726" s="7" t="b">
        <v>1</v>
      </c>
      <c r="F1726" s="7" t="inlineStr">
        <is>
          <t>ff_subsidy_explicit_pct_gdp</t>
        </is>
      </c>
      <c r="G1726" s="7" t="n">
        <v>1.709</v>
      </c>
      <c r="H1726" s="7" t="inlineStr">
        <is>
          <t>2024</t>
        </is>
      </c>
      <c r="I1726" s="7" t="inlineStr">
        <is>
          <t>imffossilfuelsubsidiesdata.xlsb</t>
        </is>
      </c>
    </row>
    <row r="1727">
      <c r="A1727" s="7" t="inlineStr">
        <is>
          <t>MLI</t>
        </is>
      </c>
      <c r="B1727" s="7" t="inlineStr">
        <is>
          <t>Mali</t>
        </is>
      </c>
      <c r="C1727" s="7" t="inlineStr">
        <is>
          <t>Sub-Saharan Africa</t>
        </is>
      </c>
      <c r="D1727" s="7" t="inlineStr">
        <is>
          <t>Low income</t>
        </is>
      </c>
      <c r="E1727" s="7" t="b">
        <v>1</v>
      </c>
      <c r="F1727" s="7" t="inlineStr">
        <is>
          <t>fuel_exports_pct_merch</t>
        </is>
      </c>
      <c r="G1727" s="7" t="n">
        <v>1.579</v>
      </c>
      <c r="H1727" s="7" t="inlineStr">
        <is>
          <t>2023</t>
        </is>
      </c>
      <c r="I1727" s="7" t="inlineStr">
        <is>
          <t>API_TX_VAL_FUEL_ZS_UN_DS2_en_csv_v2_33055.zip</t>
        </is>
      </c>
    </row>
    <row r="1728">
      <c r="A1728" s="7" t="inlineStr">
        <is>
          <t>MLI</t>
        </is>
      </c>
      <c r="B1728" s="7" t="inlineStr">
        <is>
          <t>Mali</t>
        </is>
      </c>
      <c r="C1728" s="7" t="inlineStr">
        <is>
          <t>Sub-Saharan Africa</t>
        </is>
      </c>
      <c r="D1728" s="7" t="inlineStr">
        <is>
          <t>Low income</t>
        </is>
      </c>
      <c r="E1728" s="7" t="b">
        <v>1</v>
      </c>
      <c r="F1728" s="7" t="inlineStr">
        <is>
          <t>gen_coal_twh</t>
        </is>
      </c>
      <c r="G1728" s="7" t="n">
        <v>0</v>
      </c>
      <c r="H1728" s="7" t="n">
        <v>2024</v>
      </c>
      <c r="I1728" s="7" t="inlineStr">
        <is>
          <t>release_generation_yearly_global.csv (Ember)</t>
        </is>
      </c>
    </row>
    <row r="1729">
      <c r="A1729" s="7" t="inlineStr">
        <is>
          <t>MLI</t>
        </is>
      </c>
      <c r="B1729" s="7" t="inlineStr">
        <is>
          <t>Mali</t>
        </is>
      </c>
      <c r="C1729" s="7" t="inlineStr">
        <is>
          <t>Sub-Saharan Africa</t>
        </is>
      </c>
      <c r="D1729" s="7" t="inlineStr">
        <is>
          <t>Low income</t>
        </is>
      </c>
      <c r="E1729" s="7" t="b">
        <v>1</v>
      </c>
      <c r="F1729" s="7" t="inlineStr">
        <is>
          <t>gen_gas_twh</t>
        </is>
      </c>
      <c r="G1729" s="7" t="n">
        <v>0</v>
      </c>
      <c r="H1729" s="7" t="n">
        <v>2024</v>
      </c>
      <c r="I1729" s="7" t="inlineStr">
        <is>
          <t>release_generation_yearly_global.csv (Ember)</t>
        </is>
      </c>
    </row>
    <row r="1730">
      <c r="A1730" s="7" t="inlineStr">
        <is>
          <t>MLI</t>
        </is>
      </c>
      <c r="B1730" s="7" t="inlineStr">
        <is>
          <t>Mali</t>
        </is>
      </c>
      <c r="C1730" s="7" t="inlineStr">
        <is>
          <t>Sub-Saharan Africa</t>
        </is>
      </c>
      <c r="D1730" s="7" t="inlineStr">
        <is>
          <t>Low income</t>
        </is>
      </c>
      <c r="E1730" s="7" t="b">
        <v>1</v>
      </c>
      <c r="F1730" s="7" t="inlineStr">
        <is>
          <t>gen_oil_twh</t>
        </is>
      </c>
      <c r="G1730" s="7" t="n">
        <v>4.8</v>
      </c>
      <c r="H1730" s="7" t="n">
        <v>2024</v>
      </c>
      <c r="I1730" s="7" t="inlineStr">
        <is>
          <t>release_generation_yearly_global.csv (Ember)</t>
        </is>
      </c>
    </row>
    <row r="1731">
      <c r="A1731" s="7" t="inlineStr">
        <is>
          <t>MLI</t>
        </is>
      </c>
      <c r="B1731" s="7" t="inlineStr">
        <is>
          <t>Mali</t>
        </is>
      </c>
      <c r="C1731" s="7" t="inlineStr">
        <is>
          <t>Sub-Saharan Africa</t>
        </is>
      </c>
      <c r="D1731" s="7" t="inlineStr">
        <is>
          <t>Low income</t>
        </is>
      </c>
      <c r="E1731" s="7" t="b">
        <v>1</v>
      </c>
      <c r="F1731" s="7" t="inlineStr">
        <is>
          <t>gen_total_twh</t>
        </is>
      </c>
      <c r="G1731" s="7" t="n">
        <v>5.96</v>
      </c>
      <c r="H1731" s="7" t="n">
        <v>2024</v>
      </c>
      <c r="I1731" s="7" t="inlineStr">
        <is>
          <t>release_generation_yearly_global.csv (Ember)</t>
        </is>
      </c>
    </row>
    <row r="1732">
      <c r="A1732" s="7" t="inlineStr">
        <is>
          <t>MLI</t>
        </is>
      </c>
      <c r="B1732" s="7" t="inlineStr">
        <is>
          <t>Mali</t>
        </is>
      </c>
      <c r="C1732" s="7" t="inlineStr">
        <is>
          <t>Sub-Saharan Africa</t>
        </is>
      </c>
      <c r="D1732" s="7" t="inlineStr">
        <is>
          <t>Low income</t>
        </is>
      </c>
      <c r="E1732" s="7" t="b">
        <v>1</v>
      </c>
      <c r="F1732" s="7" t="inlineStr">
        <is>
          <t>power_market_structure</t>
        </is>
      </c>
      <c r="G1732" s="7" t="n">
        <v>2</v>
      </c>
      <c r="H1732" s="7" t="inlineStr">
        <is>
          <t>2013</t>
        </is>
      </c>
      <c r="I1732" s="7" t="inlineStr">
        <is>
          <t>dataverse_files.zip</t>
        </is>
      </c>
    </row>
    <row r="1733">
      <c r="A1733" s="7" t="inlineStr">
        <is>
          <t>MLI</t>
        </is>
      </c>
      <c r="B1733" s="7" t="inlineStr">
        <is>
          <t>Mali</t>
        </is>
      </c>
      <c r="C1733" s="7" t="inlineStr">
        <is>
          <t>Sub-Saharan Africa</t>
        </is>
      </c>
      <c r="D1733" s="7" t="inlineStr">
        <is>
          <t>Low income</t>
        </is>
      </c>
      <c r="E1733" s="7" t="b">
        <v>1</v>
      </c>
      <c r="F1733" s="7" t="inlineStr">
        <is>
          <t>price_coal_power_usd_gj</t>
        </is>
      </c>
      <c r="G1733" s="7" t="n">
        <v>5.575</v>
      </c>
      <c r="H1733" s="7" t="inlineStr">
        <is>
          <t>2024</t>
        </is>
      </c>
      <c r="I1733" s="7" t="inlineStr">
        <is>
          <t>imffossilfuelsubsidiesdata.xlsb</t>
        </is>
      </c>
    </row>
    <row r="1734">
      <c r="A1734" s="7" t="inlineStr">
        <is>
          <t>MLI</t>
        </is>
      </c>
      <c r="B1734" s="7" t="inlineStr">
        <is>
          <t>Mali</t>
        </is>
      </c>
      <c r="C1734" s="7" t="inlineStr">
        <is>
          <t>Sub-Saharan Africa</t>
        </is>
      </c>
      <c r="D1734" s="7" t="inlineStr">
        <is>
          <t>Low income</t>
        </is>
      </c>
      <c r="E1734" s="7" t="b">
        <v>1</v>
      </c>
      <c r="F1734" s="7" t="inlineStr">
        <is>
          <t>price_electricity_residential_usd_kwh</t>
        </is>
      </c>
      <c r="G1734" s="7" t="n">
        <v>0.207</v>
      </c>
      <c r="H1734" s="7" t="inlineStr">
        <is>
          <t>2024</t>
        </is>
      </c>
      <c r="I1734" s="7" t="inlineStr">
        <is>
          <t>imffossilfuelsubsidiesdata.xlsb</t>
        </is>
      </c>
    </row>
    <row r="1735">
      <c r="A1735" s="7" t="inlineStr">
        <is>
          <t>MLI</t>
        </is>
      </c>
      <c r="B1735" s="7" t="inlineStr">
        <is>
          <t>Mali</t>
        </is>
      </c>
      <c r="C1735" s="7" t="inlineStr">
        <is>
          <t>Sub-Saharan Africa</t>
        </is>
      </c>
      <c r="D1735" s="7" t="inlineStr">
        <is>
          <t>Low income</t>
        </is>
      </c>
      <c r="E1735" s="7" t="b">
        <v>1</v>
      </c>
      <c r="F1735" s="7" t="inlineStr">
        <is>
          <t>price_gas_industry_usd_gj</t>
        </is>
      </c>
      <c r="G1735" s="7" t="n">
        <v>12.816</v>
      </c>
      <c r="H1735" s="7" t="inlineStr">
        <is>
          <t>2024</t>
        </is>
      </c>
      <c r="I1735" s="7" t="inlineStr">
        <is>
          <t>imffossilfuelsubsidiesdata.xlsb</t>
        </is>
      </c>
    </row>
    <row r="1736">
      <c r="A1736" s="7" t="inlineStr">
        <is>
          <t>MLI</t>
        </is>
      </c>
      <c r="B1736" s="7" t="inlineStr">
        <is>
          <t>Mali</t>
        </is>
      </c>
      <c r="C1736" s="7" t="inlineStr">
        <is>
          <t>Sub-Saharan Africa</t>
        </is>
      </c>
      <c r="D1736" s="7" t="inlineStr">
        <is>
          <t>Low income</t>
        </is>
      </c>
      <c r="E1736" s="7" t="b">
        <v>1</v>
      </c>
      <c r="F1736" s="7" t="inlineStr">
        <is>
          <t>price_gas_power_usd_gj</t>
        </is>
      </c>
      <c r="G1736" s="7" t="n">
        <v>11.492</v>
      </c>
      <c r="H1736" s="7" t="inlineStr">
        <is>
          <t>2024</t>
        </is>
      </c>
      <c r="I1736" s="7" t="inlineStr">
        <is>
          <t>imffossilfuelsubsidiesdata.xlsb</t>
        </is>
      </c>
    </row>
    <row r="1737">
      <c r="A1737" s="7" t="inlineStr">
        <is>
          <t>MLI</t>
        </is>
      </c>
      <c r="B1737" s="7" t="inlineStr">
        <is>
          <t>Mali</t>
        </is>
      </c>
      <c r="C1737" s="7" t="inlineStr">
        <is>
          <t>Sub-Saharan Africa</t>
        </is>
      </c>
      <c r="D1737" s="7" t="inlineStr">
        <is>
          <t>Low income</t>
        </is>
      </c>
      <c r="E1737" s="7" t="b">
        <v>1</v>
      </c>
      <c r="F1737" s="7" t="inlineStr">
        <is>
          <t>rise_renewable_energy_score</t>
        </is>
      </c>
      <c r="G1737" s="7" t="n">
        <v>24.661</v>
      </c>
      <c r="H1737" s="7" t="inlineStr">
        <is>
          <t>2023</t>
        </is>
      </c>
      <c r="I1737" s="7" t="inlineStr">
        <is>
          <t>WB_RISE_WIDEF.csv</t>
        </is>
      </c>
    </row>
    <row r="1738">
      <c r="A1738" s="7" t="inlineStr">
        <is>
          <t>MLT</t>
        </is>
      </c>
      <c r="B1738" s="7" t="inlineStr">
        <is>
          <t>Malta</t>
        </is>
      </c>
      <c r="C1738" s="7" t="inlineStr">
        <is>
          <t>Middle East &amp; North Africa</t>
        </is>
      </c>
      <c r="D1738" s="7" t="inlineStr">
        <is>
          <t>High income</t>
        </is>
      </c>
      <c r="E1738" s="7" t="b">
        <v>0</v>
      </c>
      <c r="F1738" s="7" t="inlineStr">
        <is>
          <t>coal_rents_pct_gdp</t>
        </is>
      </c>
      <c r="G1738" s="7" t="n">
        <v>0</v>
      </c>
      <c r="H1738" s="7" t="inlineStr">
        <is>
          <t>2021</t>
        </is>
      </c>
      <c r="I1738" s="7" t="inlineStr">
        <is>
          <t>API_NY_GDP_COAL_RT_ZS_DS2_en_csv_v2_35370.zip</t>
        </is>
      </c>
    </row>
    <row r="1739">
      <c r="A1739" s="7" t="inlineStr">
        <is>
          <t>MLT</t>
        </is>
      </c>
      <c r="B1739" s="7" t="inlineStr">
        <is>
          <t>Malta</t>
        </is>
      </c>
      <c r="C1739" s="7" t="inlineStr">
        <is>
          <t>Middle East &amp; North Africa</t>
        </is>
      </c>
      <c r="D1739" s="7" t="inlineStr">
        <is>
          <t>High income</t>
        </is>
      </c>
      <c r="E1739" s="7" t="b">
        <v>0</v>
      </c>
      <c r="F1739" s="7" t="inlineStr">
        <is>
          <t>em_coal_mt</t>
        </is>
      </c>
      <c r="G1739" s="7" t="n">
        <v>0</v>
      </c>
      <c r="H1739" s="7" t="n">
        <v>2024</v>
      </c>
      <c r="I1739" s="7" t="inlineStr">
        <is>
          <t>release_generation_yearly_global.csv (Ember)</t>
        </is>
      </c>
    </row>
    <row r="1740">
      <c r="A1740" s="7" t="inlineStr">
        <is>
          <t>MLT</t>
        </is>
      </c>
      <c r="B1740" s="7" t="inlineStr">
        <is>
          <t>Malta</t>
        </is>
      </c>
      <c r="C1740" s="7" t="inlineStr">
        <is>
          <t>Middle East &amp; North Africa</t>
        </is>
      </c>
      <c r="D1740" s="7" t="inlineStr">
        <is>
          <t>High income</t>
        </is>
      </c>
      <c r="E1740" s="7" t="b">
        <v>0</v>
      </c>
      <c r="F1740" s="7" t="inlineStr">
        <is>
          <t>em_gas_mt</t>
        </is>
      </c>
      <c r="G1740" s="7" t="n">
        <v>1.044</v>
      </c>
      <c r="H1740" s="7" t="n">
        <v>2024</v>
      </c>
      <c r="I1740" s="7" t="inlineStr">
        <is>
          <t>release_generation_yearly_global.csv (Ember)</t>
        </is>
      </c>
    </row>
    <row r="1741">
      <c r="A1741" s="7" t="inlineStr">
        <is>
          <t>MLT</t>
        </is>
      </c>
      <c r="B1741" s="7" t="inlineStr">
        <is>
          <t>Malta</t>
        </is>
      </c>
      <c r="C1741" s="7" t="inlineStr">
        <is>
          <t>Middle East &amp; North Africa</t>
        </is>
      </c>
      <c r="D1741" s="7" t="inlineStr">
        <is>
          <t>High income</t>
        </is>
      </c>
      <c r="E1741" s="7" t="b">
        <v>0</v>
      </c>
      <c r="F1741" s="7" t="inlineStr">
        <is>
          <t>em_oil_mt</t>
        </is>
      </c>
      <c r="G1741" s="7" t="n">
        <v>0.007</v>
      </c>
      <c r="H1741" s="7" t="n">
        <v>2024</v>
      </c>
      <c r="I1741" s="7" t="inlineStr">
        <is>
          <t>release_generation_yearly_global.csv (Ember)</t>
        </is>
      </c>
    </row>
    <row r="1742">
      <c r="A1742" s="7" t="inlineStr">
        <is>
          <t>MLT</t>
        </is>
      </c>
      <c r="B1742" s="7" t="inlineStr">
        <is>
          <t>Malta</t>
        </is>
      </c>
      <c r="C1742" s="7" t="inlineStr">
        <is>
          <t>Middle East &amp; North Africa</t>
        </is>
      </c>
      <c r="D1742" s="7" t="inlineStr">
        <is>
          <t>High income</t>
        </is>
      </c>
      <c r="E1742" s="7" t="b">
        <v>0</v>
      </c>
      <c r="F1742" s="7" t="inlineStr">
        <is>
          <t>ff_subsidy_explicit_pct_gdp</t>
        </is>
      </c>
      <c r="G1742" s="7" t="n">
        <v>0</v>
      </c>
      <c r="H1742" s="7" t="inlineStr">
        <is>
          <t>2024</t>
        </is>
      </c>
      <c r="I1742" s="7" t="inlineStr">
        <is>
          <t>imffossilfuelsubsidiesdata.xlsb</t>
        </is>
      </c>
    </row>
    <row r="1743">
      <c r="A1743" s="7" t="inlineStr">
        <is>
          <t>MLT</t>
        </is>
      </c>
      <c r="B1743" s="7" t="inlineStr">
        <is>
          <t>Malta</t>
        </is>
      </c>
      <c r="C1743" s="7" t="inlineStr">
        <is>
          <t>Middle East &amp; North Africa</t>
        </is>
      </c>
      <c r="D1743" s="7" t="inlineStr">
        <is>
          <t>High income</t>
        </is>
      </c>
      <c r="E1743" s="7" t="b">
        <v>0</v>
      </c>
      <c r="F1743" s="7" t="inlineStr">
        <is>
          <t>fuel_exports_pct_merch</t>
        </is>
      </c>
      <c r="G1743" s="7" t="n">
        <v>10.085</v>
      </c>
      <c r="H1743" s="7" t="inlineStr">
        <is>
          <t>2024</t>
        </is>
      </c>
      <c r="I1743" s="7" t="inlineStr">
        <is>
          <t>API_TX_VAL_FUEL_ZS_UN_DS2_en_csv_v2_33055.zip</t>
        </is>
      </c>
    </row>
    <row r="1744">
      <c r="A1744" s="7" t="inlineStr">
        <is>
          <t>MLT</t>
        </is>
      </c>
      <c r="B1744" s="7" t="inlineStr">
        <is>
          <t>Malta</t>
        </is>
      </c>
      <c r="C1744" s="7" t="inlineStr">
        <is>
          <t>Middle East &amp; North Africa</t>
        </is>
      </c>
      <c r="D1744" s="7" t="inlineStr">
        <is>
          <t>High income</t>
        </is>
      </c>
      <c r="E1744" s="7" t="b">
        <v>0</v>
      </c>
      <c r="F1744" s="7" t="inlineStr">
        <is>
          <t>gen_coal_twh</t>
        </is>
      </c>
      <c r="G1744" s="7" t="n">
        <v>0</v>
      </c>
      <c r="H1744" s="7" t="n">
        <v>2024</v>
      </c>
      <c r="I1744" s="7" t="inlineStr">
        <is>
          <t>release_generation_yearly_global.csv (Ember)</t>
        </is>
      </c>
    </row>
    <row r="1745">
      <c r="A1745" s="7" t="inlineStr">
        <is>
          <t>MLT</t>
        </is>
      </c>
      <c r="B1745" s="7" t="inlineStr">
        <is>
          <t>Malta</t>
        </is>
      </c>
      <c r="C1745" s="7" t="inlineStr">
        <is>
          <t>Middle East &amp; North Africa</t>
        </is>
      </c>
      <c r="D1745" s="7" t="inlineStr">
        <is>
          <t>High income</t>
        </is>
      </c>
      <c r="E1745" s="7" t="b">
        <v>0</v>
      </c>
      <c r="F1745" s="7" t="inlineStr">
        <is>
          <t>gen_gas_twh</t>
        </is>
      </c>
      <c r="G1745" s="7" t="n">
        <v>1.84</v>
      </c>
      <c r="H1745" s="7" t="n">
        <v>2024</v>
      </c>
      <c r="I1745" s="7" t="inlineStr">
        <is>
          <t>release_generation_yearly_global.csv (Ember)</t>
        </is>
      </c>
    </row>
    <row r="1746">
      <c r="A1746" s="7" t="inlineStr">
        <is>
          <t>MLT</t>
        </is>
      </c>
      <c r="B1746" s="7" t="inlineStr">
        <is>
          <t>Malta</t>
        </is>
      </c>
      <c r="C1746" s="7" t="inlineStr">
        <is>
          <t>Middle East &amp; North Africa</t>
        </is>
      </c>
      <c r="D1746" s="7" t="inlineStr">
        <is>
          <t>High income</t>
        </is>
      </c>
      <c r="E1746" s="7" t="b">
        <v>0</v>
      </c>
      <c r="F1746" s="7" t="inlineStr">
        <is>
          <t>gen_oil_twh</t>
        </is>
      </c>
      <c r="G1746" s="7" t="n">
        <v>0.01</v>
      </c>
      <c r="H1746" s="7" t="n">
        <v>2024</v>
      </c>
      <c r="I1746" s="7" t="inlineStr">
        <is>
          <t>release_generation_yearly_global.csv (Ember)</t>
        </is>
      </c>
    </row>
    <row r="1747">
      <c r="A1747" s="7" t="inlineStr">
        <is>
          <t>MLT</t>
        </is>
      </c>
      <c r="B1747" s="7" t="inlineStr">
        <is>
          <t>Malta</t>
        </is>
      </c>
      <c r="C1747" s="7" t="inlineStr">
        <is>
          <t>Middle East &amp; North Africa</t>
        </is>
      </c>
      <c r="D1747" s="7" t="inlineStr">
        <is>
          <t>High income</t>
        </is>
      </c>
      <c r="E1747" s="7" t="b">
        <v>0</v>
      </c>
      <c r="F1747" s="7" t="inlineStr">
        <is>
          <t>gen_total_twh</t>
        </is>
      </c>
      <c r="G1747" s="7" t="n">
        <v>2.19</v>
      </c>
      <c r="H1747" s="7" t="n">
        <v>2024</v>
      </c>
      <c r="I1747" s="7" t="inlineStr">
        <is>
          <t>release_generation_yearly_global.csv (Ember)</t>
        </is>
      </c>
    </row>
    <row r="1748">
      <c r="A1748" s="7" t="inlineStr">
        <is>
          <t>MLT</t>
        </is>
      </c>
      <c r="B1748" s="7" t="inlineStr">
        <is>
          <t>Malta</t>
        </is>
      </c>
      <c r="C1748" s="7" t="inlineStr">
        <is>
          <t>Middle East &amp; North Africa</t>
        </is>
      </c>
      <c r="D1748" s="7" t="inlineStr">
        <is>
          <t>High income</t>
        </is>
      </c>
      <c r="E1748" s="7" t="b">
        <v>0</v>
      </c>
      <c r="F1748" s="7" t="inlineStr">
        <is>
          <t>price_coal_power_usd_gj</t>
        </is>
      </c>
      <c r="G1748" s="7" t="n">
        <v>11.772</v>
      </c>
      <c r="H1748" s="7" t="inlineStr">
        <is>
          <t>2024</t>
        </is>
      </c>
      <c r="I1748" s="7" t="inlineStr">
        <is>
          <t>imffossilfuelsubsidiesdata.xlsb</t>
        </is>
      </c>
    </row>
    <row r="1749">
      <c r="A1749" s="7" t="inlineStr">
        <is>
          <t>MLT</t>
        </is>
      </c>
      <c r="B1749" s="7" t="inlineStr">
        <is>
          <t>Malta</t>
        </is>
      </c>
      <c r="C1749" s="7" t="inlineStr">
        <is>
          <t>Middle East &amp; North Africa</t>
        </is>
      </c>
      <c r="D1749" s="7" t="inlineStr">
        <is>
          <t>High income</t>
        </is>
      </c>
      <c r="E1749" s="7" t="b">
        <v>0</v>
      </c>
      <c r="F1749" s="7" t="inlineStr">
        <is>
          <t>price_electricity_residential_usd_kwh</t>
        </is>
      </c>
      <c r="G1749" s="7" t="n">
        <v>0.139</v>
      </c>
      <c r="H1749" s="7" t="inlineStr">
        <is>
          <t>2024</t>
        </is>
      </c>
      <c r="I1749" s="7" t="inlineStr">
        <is>
          <t>imffossilfuelsubsidiesdata.xlsb</t>
        </is>
      </c>
    </row>
    <row r="1750">
      <c r="A1750" s="7" t="inlineStr">
        <is>
          <t>MLT</t>
        </is>
      </c>
      <c r="B1750" s="7" t="inlineStr">
        <is>
          <t>Malta</t>
        </is>
      </c>
      <c r="C1750" s="7" t="inlineStr">
        <is>
          <t>Middle East &amp; North Africa</t>
        </is>
      </c>
      <c r="D1750" s="7" t="inlineStr">
        <is>
          <t>High income</t>
        </is>
      </c>
      <c r="E1750" s="7" t="b">
        <v>0</v>
      </c>
      <c r="F1750" s="7" t="inlineStr">
        <is>
          <t>price_gas_industry_usd_gj</t>
        </is>
      </c>
      <c r="G1750" s="7" t="n">
        <v>15.483</v>
      </c>
      <c r="H1750" s="7" t="inlineStr">
        <is>
          <t>2024</t>
        </is>
      </c>
      <c r="I1750" s="7" t="inlineStr">
        <is>
          <t>imffossilfuelsubsidiesdata.xlsb</t>
        </is>
      </c>
    </row>
    <row r="1751">
      <c r="A1751" s="7" t="inlineStr">
        <is>
          <t>MLT</t>
        </is>
      </c>
      <c r="B1751" s="7" t="inlineStr">
        <is>
          <t>Malta</t>
        </is>
      </c>
      <c r="C1751" s="7" t="inlineStr">
        <is>
          <t>Middle East &amp; North Africa</t>
        </is>
      </c>
      <c r="D1751" s="7" t="inlineStr">
        <is>
          <t>High income</t>
        </is>
      </c>
      <c r="E1751" s="7" t="b">
        <v>0</v>
      </c>
      <c r="F1751" s="7" t="inlineStr">
        <is>
          <t>price_gas_power_usd_gj</t>
        </is>
      </c>
      <c r="G1751" s="7" t="n">
        <v>14.159</v>
      </c>
      <c r="H1751" s="7" t="inlineStr">
        <is>
          <t>2024</t>
        </is>
      </c>
      <c r="I1751" s="7" t="inlineStr">
        <is>
          <t>imffossilfuelsubsidiesdata.xlsb</t>
        </is>
      </c>
    </row>
    <row r="1752">
      <c r="A1752" s="7" t="inlineStr">
        <is>
          <t>MMR</t>
        </is>
      </c>
      <c r="B1752" s="7" t="inlineStr">
        <is>
          <t>Myanmar</t>
        </is>
      </c>
      <c r="C1752" s="7" t="inlineStr">
        <is>
          <t>East Asia &amp; Pacific</t>
        </is>
      </c>
      <c r="D1752" s="7" t="inlineStr">
        <is>
          <t>Lower middle income</t>
        </is>
      </c>
      <c r="E1752" s="7" t="b">
        <v>0</v>
      </c>
      <c r="F1752" s="7" t="inlineStr">
        <is>
          <t>coal_rents_pct_gdp</t>
        </is>
      </c>
      <c r="G1752" s="7" t="n">
        <v>0.046</v>
      </c>
      <c r="H1752" s="7" t="inlineStr">
        <is>
          <t>2021</t>
        </is>
      </c>
      <c r="I1752" s="7" t="inlineStr">
        <is>
          <t>API_NY_GDP_COAL_RT_ZS_DS2_en_csv_v2_35370.zip</t>
        </is>
      </c>
    </row>
    <row r="1753">
      <c r="A1753" s="7" t="inlineStr">
        <is>
          <t>MMR</t>
        </is>
      </c>
      <c r="B1753" s="7" t="inlineStr">
        <is>
          <t>Myanmar</t>
        </is>
      </c>
      <c r="C1753" s="7" t="inlineStr">
        <is>
          <t>East Asia &amp; Pacific</t>
        </is>
      </c>
      <c r="D1753" s="7" t="inlineStr">
        <is>
          <t>Lower middle income</t>
        </is>
      </c>
      <c r="E1753" s="7" t="b">
        <v>0</v>
      </c>
      <c r="F1753" s="7" t="inlineStr">
        <is>
          <t>em_coal_mt</t>
        </is>
      </c>
      <c r="G1753" s="7" t="n">
        <v>1.036</v>
      </c>
      <c r="H1753" s="7" t="n">
        <v>2024</v>
      </c>
      <c r="I1753" s="7" t="inlineStr">
        <is>
          <t>release_generation_yearly_global.csv (Ember)</t>
        </is>
      </c>
    </row>
    <row r="1754">
      <c r="A1754" s="7" t="inlineStr">
        <is>
          <t>MMR</t>
        </is>
      </c>
      <c r="B1754" s="7" t="inlineStr">
        <is>
          <t>Myanmar</t>
        </is>
      </c>
      <c r="C1754" s="7" t="inlineStr">
        <is>
          <t>East Asia &amp; Pacific</t>
        </is>
      </c>
      <c r="D1754" s="7" t="inlineStr">
        <is>
          <t>Lower middle income</t>
        </is>
      </c>
      <c r="E1754" s="7" t="b">
        <v>0</v>
      </c>
      <c r="F1754" s="7" t="inlineStr">
        <is>
          <t>em_gas_mt</t>
        </is>
      </c>
      <c r="G1754" s="7" t="n">
        <v>9.488</v>
      </c>
      <c r="H1754" s="7" t="n">
        <v>2024</v>
      </c>
      <c r="I1754" s="7" t="inlineStr">
        <is>
          <t>release_generation_yearly_global.csv (Ember)</t>
        </is>
      </c>
    </row>
    <row r="1755">
      <c r="A1755" s="7" t="inlineStr">
        <is>
          <t>MMR</t>
        </is>
      </c>
      <c r="B1755" s="7" t="inlineStr">
        <is>
          <t>Myanmar</t>
        </is>
      </c>
      <c r="C1755" s="7" t="inlineStr">
        <is>
          <t>East Asia &amp; Pacific</t>
        </is>
      </c>
      <c r="D1755" s="7" t="inlineStr">
        <is>
          <t>Lower middle income</t>
        </is>
      </c>
      <c r="E1755" s="7" t="b">
        <v>0</v>
      </c>
      <c r="F1755" s="7" t="inlineStr">
        <is>
          <t>em_oil_mt</t>
        </is>
      </c>
      <c r="G1755" s="7" t="n">
        <v>0.079</v>
      </c>
      <c r="H1755" s="7" t="n">
        <v>2024</v>
      </c>
      <c r="I1755" s="7" t="inlineStr">
        <is>
          <t>release_generation_yearly_global.csv (Ember)</t>
        </is>
      </c>
    </row>
    <row r="1756">
      <c r="A1756" s="7" t="inlineStr">
        <is>
          <t>MMR</t>
        </is>
      </c>
      <c r="B1756" s="7" t="inlineStr">
        <is>
          <t>Myanmar</t>
        </is>
      </c>
      <c r="C1756" s="7" t="inlineStr">
        <is>
          <t>East Asia &amp; Pacific</t>
        </is>
      </c>
      <c r="D1756" s="7" t="inlineStr">
        <is>
          <t>Lower middle income</t>
        </is>
      </c>
      <c r="E1756" s="7" t="b">
        <v>0</v>
      </c>
      <c r="F1756" s="7" t="inlineStr">
        <is>
          <t>ff_subsidy_explicit_pct_gdp</t>
        </is>
      </c>
      <c r="G1756" s="7" t="n">
        <v>1.044</v>
      </c>
      <c r="H1756" s="7" t="inlineStr">
        <is>
          <t>2024</t>
        </is>
      </c>
      <c r="I1756" s="7" t="inlineStr">
        <is>
          <t>imffossilfuelsubsidiesdata.xlsb</t>
        </is>
      </c>
    </row>
    <row r="1757">
      <c r="A1757" s="7" t="inlineStr">
        <is>
          <t>MMR</t>
        </is>
      </c>
      <c r="B1757" s="7" t="inlineStr">
        <is>
          <t>Myanmar</t>
        </is>
      </c>
      <c r="C1757" s="7" t="inlineStr">
        <is>
          <t>East Asia &amp; Pacific</t>
        </is>
      </c>
      <c r="D1757" s="7" t="inlineStr">
        <is>
          <t>Lower middle income</t>
        </is>
      </c>
      <c r="E1757" s="7" t="b">
        <v>0</v>
      </c>
      <c r="F1757" s="7" t="inlineStr">
        <is>
          <t>fuel_exports_pct_merch</t>
        </is>
      </c>
      <c r="G1757" s="7" t="n">
        <v>21.957</v>
      </c>
      <c r="H1757" s="7" t="inlineStr">
        <is>
          <t>2024</t>
        </is>
      </c>
      <c r="I1757" s="7" t="inlineStr">
        <is>
          <t>API_TX_VAL_FUEL_ZS_UN_DS2_en_csv_v2_33055.zip</t>
        </is>
      </c>
    </row>
    <row r="1758">
      <c r="A1758" s="7" t="inlineStr">
        <is>
          <t>MMR</t>
        </is>
      </c>
      <c r="B1758" s="7" t="inlineStr">
        <is>
          <t>Myanmar</t>
        </is>
      </c>
      <c r="C1758" s="7" t="inlineStr">
        <is>
          <t>East Asia &amp; Pacific</t>
        </is>
      </c>
      <c r="D1758" s="7" t="inlineStr">
        <is>
          <t>Lower middle income</t>
        </is>
      </c>
      <c r="E1758" s="7" t="b">
        <v>0</v>
      </c>
      <c r="F1758" s="7" t="inlineStr">
        <is>
          <t>gen_coal_twh</t>
        </is>
      </c>
      <c r="G1758" s="7" t="n">
        <v>1.2</v>
      </c>
      <c r="H1758" s="7" t="n">
        <v>2024</v>
      </c>
      <c r="I1758" s="7" t="inlineStr">
        <is>
          <t>release_generation_yearly_global.csv (Ember)</t>
        </is>
      </c>
    </row>
    <row r="1759">
      <c r="A1759" s="7" t="inlineStr">
        <is>
          <t>MMR</t>
        </is>
      </c>
      <c r="B1759" s="7" t="inlineStr">
        <is>
          <t>Myanmar</t>
        </is>
      </c>
      <c r="C1759" s="7" t="inlineStr">
        <is>
          <t>East Asia &amp; Pacific</t>
        </is>
      </c>
      <c r="D1759" s="7" t="inlineStr">
        <is>
          <t>Lower middle income</t>
        </is>
      </c>
      <c r="E1759" s="7" t="b">
        <v>0</v>
      </c>
      <c r="F1759" s="7" t="inlineStr">
        <is>
          <t>gen_gas_twh</t>
        </is>
      </c>
      <c r="G1759" s="7" t="n">
        <v>10</v>
      </c>
      <c r="H1759" s="7" t="n">
        <v>2024</v>
      </c>
      <c r="I1759" s="7" t="inlineStr">
        <is>
          <t>release_generation_yearly_global.csv (Ember)</t>
        </is>
      </c>
    </row>
    <row r="1760">
      <c r="A1760" s="7" t="inlineStr">
        <is>
          <t>MMR</t>
        </is>
      </c>
      <c r="B1760" s="7" t="inlineStr">
        <is>
          <t>Myanmar</t>
        </is>
      </c>
      <c r="C1760" s="7" t="inlineStr">
        <is>
          <t>East Asia &amp; Pacific</t>
        </is>
      </c>
      <c r="D1760" s="7" t="inlineStr">
        <is>
          <t>Lower middle income</t>
        </is>
      </c>
      <c r="E1760" s="7" t="b">
        <v>0</v>
      </c>
      <c r="F1760" s="7" t="inlineStr">
        <is>
          <t>gen_oil_twh</t>
        </is>
      </c>
      <c r="G1760" s="7" t="n">
        <v>0.12</v>
      </c>
      <c r="H1760" s="7" t="n">
        <v>2024</v>
      </c>
      <c r="I1760" s="7" t="inlineStr">
        <is>
          <t>release_generation_yearly_global.csv (Ember)</t>
        </is>
      </c>
    </row>
    <row r="1761">
      <c r="A1761" s="7" t="inlineStr">
        <is>
          <t>MMR</t>
        </is>
      </c>
      <c r="B1761" s="7" t="inlineStr">
        <is>
          <t>Myanmar</t>
        </is>
      </c>
      <c r="C1761" s="7" t="inlineStr">
        <is>
          <t>East Asia &amp; Pacific</t>
        </is>
      </c>
      <c r="D1761" s="7" t="inlineStr">
        <is>
          <t>Lower middle income</t>
        </is>
      </c>
      <c r="E1761" s="7" t="b">
        <v>0</v>
      </c>
      <c r="F1761" s="7" t="inlineStr">
        <is>
          <t>gen_total_twh</t>
        </is>
      </c>
      <c r="G1761" s="7" t="n">
        <v>21.71</v>
      </c>
      <c r="H1761" s="7" t="n">
        <v>2024</v>
      </c>
      <c r="I1761" s="7" t="inlineStr">
        <is>
          <t>release_generation_yearly_global.csv (Ember)</t>
        </is>
      </c>
    </row>
    <row r="1762">
      <c r="A1762" s="7" t="inlineStr">
        <is>
          <t>MMR</t>
        </is>
      </c>
      <c r="B1762" s="7" t="inlineStr">
        <is>
          <t>Myanmar</t>
        </is>
      </c>
      <c r="C1762" s="7" t="inlineStr">
        <is>
          <t>East Asia &amp; Pacific</t>
        </is>
      </c>
      <c r="D1762" s="7" t="inlineStr">
        <is>
          <t>Lower middle income</t>
        </is>
      </c>
      <c r="E1762" s="7" t="b">
        <v>0</v>
      </c>
      <c r="F1762" s="7" t="inlineStr">
        <is>
          <t>power_market_structure</t>
        </is>
      </c>
      <c r="G1762" s="7" t="n">
        <v>1</v>
      </c>
      <c r="H1762" s="7" t="inlineStr">
        <is>
          <t>2013</t>
        </is>
      </c>
      <c r="I1762" s="7" t="inlineStr">
        <is>
          <t>dataverse_files.zip</t>
        </is>
      </c>
    </row>
    <row r="1763">
      <c r="A1763" s="7" t="inlineStr">
        <is>
          <t>MMR</t>
        </is>
      </c>
      <c r="B1763" s="7" t="inlineStr">
        <is>
          <t>Myanmar</t>
        </is>
      </c>
      <c r="C1763" s="7" t="inlineStr">
        <is>
          <t>East Asia &amp; Pacific</t>
        </is>
      </c>
      <c r="D1763" s="7" t="inlineStr">
        <is>
          <t>Lower middle income</t>
        </is>
      </c>
      <c r="E1763" s="7" t="b">
        <v>0</v>
      </c>
      <c r="F1763" s="7" t="inlineStr">
        <is>
          <t>price_coal_power_usd_gj</t>
        </is>
      </c>
      <c r="G1763" s="7" t="n">
        <v>2.049</v>
      </c>
      <c r="H1763" s="7" t="inlineStr">
        <is>
          <t>2024</t>
        </is>
      </c>
      <c r="I1763" s="7" t="inlineStr">
        <is>
          <t>imffossilfuelsubsidiesdata.xlsb</t>
        </is>
      </c>
    </row>
    <row r="1764">
      <c r="A1764" s="7" t="inlineStr">
        <is>
          <t>MMR</t>
        </is>
      </c>
      <c r="B1764" s="7" t="inlineStr">
        <is>
          <t>Myanmar</t>
        </is>
      </c>
      <c r="C1764" s="7" t="inlineStr">
        <is>
          <t>East Asia &amp; Pacific</t>
        </is>
      </c>
      <c r="D1764" s="7" t="inlineStr">
        <is>
          <t>Lower middle income</t>
        </is>
      </c>
      <c r="E1764" s="7" t="b">
        <v>0</v>
      </c>
      <c r="F1764" s="7" t="inlineStr">
        <is>
          <t>price_electricity_residential_usd_kwh</t>
        </is>
      </c>
      <c r="G1764" s="7" t="n">
        <v>0.017</v>
      </c>
      <c r="H1764" s="7" t="inlineStr">
        <is>
          <t>2024</t>
        </is>
      </c>
      <c r="I1764" s="7" t="inlineStr">
        <is>
          <t>imffossilfuelsubsidiesdata.xlsb</t>
        </is>
      </c>
    </row>
    <row r="1765">
      <c r="A1765" s="7" t="inlineStr">
        <is>
          <t>MMR</t>
        </is>
      </c>
      <c r="B1765" s="7" t="inlineStr">
        <is>
          <t>Myanmar</t>
        </is>
      </c>
      <c r="C1765" s="7" t="inlineStr">
        <is>
          <t>East Asia &amp; Pacific</t>
        </is>
      </c>
      <c r="D1765" s="7" t="inlineStr">
        <is>
          <t>Lower middle income</t>
        </is>
      </c>
      <c r="E1765" s="7" t="b">
        <v>0</v>
      </c>
      <c r="F1765" s="7" t="inlineStr">
        <is>
          <t>price_gas_industry_usd_gj</t>
        </is>
      </c>
      <c r="G1765" s="7" t="n">
        <v>6.804</v>
      </c>
      <c r="H1765" s="7" t="inlineStr">
        <is>
          <t>2024</t>
        </is>
      </c>
      <c r="I1765" s="7" t="inlineStr">
        <is>
          <t>imffossilfuelsubsidiesdata.xlsb</t>
        </is>
      </c>
    </row>
    <row r="1766">
      <c r="A1766" s="7" t="inlineStr">
        <is>
          <t>MMR</t>
        </is>
      </c>
      <c r="B1766" s="7" t="inlineStr">
        <is>
          <t>Myanmar</t>
        </is>
      </c>
      <c r="C1766" s="7" t="inlineStr">
        <is>
          <t>East Asia &amp; Pacific</t>
        </is>
      </c>
      <c r="D1766" s="7" t="inlineStr">
        <is>
          <t>Lower middle income</t>
        </is>
      </c>
      <c r="E1766" s="7" t="b">
        <v>0</v>
      </c>
      <c r="F1766" s="7" t="inlineStr">
        <is>
          <t>price_gas_power_usd_gj</t>
        </is>
      </c>
      <c r="G1766" s="7" t="n">
        <v>6.142</v>
      </c>
      <c r="H1766" s="7" t="inlineStr">
        <is>
          <t>2024</t>
        </is>
      </c>
      <c r="I1766" s="7" t="inlineStr">
        <is>
          <t>imffossilfuelsubsidiesdata.xlsb</t>
        </is>
      </c>
    </row>
    <row r="1767">
      <c r="A1767" s="7" t="inlineStr">
        <is>
          <t>MMR</t>
        </is>
      </c>
      <c r="B1767" s="7" t="inlineStr">
        <is>
          <t>Myanmar</t>
        </is>
      </c>
      <c r="C1767" s="7" t="inlineStr">
        <is>
          <t>East Asia &amp; Pacific</t>
        </is>
      </c>
      <c r="D1767" s="7" t="inlineStr">
        <is>
          <t>Lower middle income</t>
        </is>
      </c>
      <c r="E1767" s="7" t="b">
        <v>0</v>
      </c>
      <c r="F1767" s="7" t="inlineStr">
        <is>
          <t>rise_renewable_energy_score</t>
        </is>
      </c>
      <c r="G1767" s="7" t="n">
        <v>14.963</v>
      </c>
      <c r="H1767" s="7" t="inlineStr">
        <is>
          <t>2023</t>
        </is>
      </c>
      <c r="I1767" s="7" t="inlineStr">
        <is>
          <t>WB_RISE_WIDEF.csv</t>
        </is>
      </c>
    </row>
    <row r="1768">
      <c r="A1768" s="7" t="inlineStr">
        <is>
          <t>MNE</t>
        </is>
      </c>
      <c r="B1768" s="7" t="inlineStr">
        <is>
          <t>Montenegro</t>
        </is>
      </c>
      <c r="C1768" s="7" t="inlineStr">
        <is>
          <t>Europe &amp; Central Asia</t>
        </is>
      </c>
      <c r="D1768" s="7" t="inlineStr">
        <is>
          <t>Upper middle income</t>
        </is>
      </c>
      <c r="E1768" s="7" t="b">
        <v>1</v>
      </c>
      <c r="F1768" s="7" t="inlineStr">
        <is>
          <t>coal_rents_pct_gdp</t>
        </is>
      </c>
      <c r="G1768" s="7" t="n">
        <v>0.145</v>
      </c>
      <c r="H1768" s="7" t="inlineStr">
        <is>
          <t>2021</t>
        </is>
      </c>
      <c r="I1768" s="7" t="inlineStr">
        <is>
          <t>API_NY_GDP_COAL_RT_ZS_DS2_en_csv_v2_35370.zip</t>
        </is>
      </c>
    </row>
    <row r="1769">
      <c r="A1769" s="7" t="inlineStr">
        <is>
          <t>MNE</t>
        </is>
      </c>
      <c r="B1769" s="7" t="inlineStr">
        <is>
          <t>Montenegro</t>
        </is>
      </c>
      <c r="C1769" s="7" t="inlineStr">
        <is>
          <t>Europe &amp; Central Asia</t>
        </is>
      </c>
      <c r="D1769" s="7" t="inlineStr">
        <is>
          <t>Upper middle income</t>
        </is>
      </c>
      <c r="E1769" s="7" t="b">
        <v>1</v>
      </c>
      <c r="F1769" s="7" t="inlineStr">
        <is>
          <t>em_coal_mt</t>
        </is>
      </c>
      <c r="G1769" s="7" t="n">
        <v>1.452</v>
      </c>
      <c r="H1769" s="7" t="n">
        <v>2024</v>
      </c>
      <c r="I1769" s="7" t="inlineStr">
        <is>
          <t>release_generation_yearly_global.csv (Ember)</t>
        </is>
      </c>
    </row>
    <row r="1770">
      <c r="A1770" s="7" t="inlineStr">
        <is>
          <t>MNE</t>
        </is>
      </c>
      <c r="B1770" s="7" t="inlineStr">
        <is>
          <t>Montenegro</t>
        </is>
      </c>
      <c r="C1770" s="7" t="inlineStr">
        <is>
          <t>Europe &amp; Central Asia</t>
        </is>
      </c>
      <c r="D1770" s="7" t="inlineStr">
        <is>
          <t>Upper middle income</t>
        </is>
      </c>
      <c r="E1770" s="7" t="b">
        <v>1</v>
      </c>
      <c r="F1770" s="7" t="inlineStr">
        <is>
          <t>em_gas_mt</t>
        </is>
      </c>
      <c r="G1770" s="7" t="n">
        <v>0</v>
      </c>
      <c r="H1770" s="7" t="n">
        <v>2024</v>
      </c>
      <c r="I1770" s="7" t="inlineStr">
        <is>
          <t>release_generation_yearly_global.csv (Ember)</t>
        </is>
      </c>
    </row>
    <row r="1771">
      <c r="A1771" s="7" t="inlineStr">
        <is>
          <t>MNE</t>
        </is>
      </c>
      <c r="B1771" s="7" t="inlineStr">
        <is>
          <t>Montenegro</t>
        </is>
      </c>
      <c r="C1771" s="7" t="inlineStr">
        <is>
          <t>Europe &amp; Central Asia</t>
        </is>
      </c>
      <c r="D1771" s="7" t="inlineStr">
        <is>
          <t>Upper middle income</t>
        </is>
      </c>
      <c r="E1771" s="7" t="b">
        <v>1</v>
      </c>
      <c r="F1771" s="7" t="inlineStr">
        <is>
          <t>em_oil_mt</t>
        </is>
      </c>
      <c r="G1771" s="7" t="n">
        <v>0</v>
      </c>
      <c r="H1771" s="7" t="n">
        <v>2024</v>
      </c>
      <c r="I1771" s="7" t="inlineStr">
        <is>
          <t>release_generation_yearly_global.csv (Ember)</t>
        </is>
      </c>
    </row>
    <row r="1772">
      <c r="A1772" s="7" t="inlineStr">
        <is>
          <t>MNE</t>
        </is>
      </c>
      <c r="B1772" s="7" t="inlineStr">
        <is>
          <t>Montenegro</t>
        </is>
      </c>
      <c r="C1772" s="7" t="inlineStr">
        <is>
          <t>Europe &amp; Central Asia</t>
        </is>
      </c>
      <c r="D1772" s="7" t="inlineStr">
        <is>
          <t>Upper middle income</t>
        </is>
      </c>
      <c r="E1772" s="7" t="b">
        <v>1</v>
      </c>
      <c r="F1772" s="7" t="inlineStr">
        <is>
          <t>ff_subsidy_explicit_pct_gdp</t>
        </is>
      </c>
      <c r="G1772" s="7" t="n">
        <v>0.042</v>
      </c>
      <c r="H1772" s="7" t="inlineStr">
        <is>
          <t>2024</t>
        </is>
      </c>
      <c r="I1772" s="7" t="inlineStr">
        <is>
          <t>imffossilfuelsubsidiesdata.xlsb</t>
        </is>
      </c>
    </row>
    <row r="1773">
      <c r="A1773" s="7" t="inlineStr">
        <is>
          <t>MNE</t>
        </is>
      </c>
      <c r="B1773" s="7" t="inlineStr">
        <is>
          <t>Montenegro</t>
        </is>
      </c>
      <c r="C1773" s="7" t="inlineStr">
        <is>
          <t>Europe &amp; Central Asia</t>
        </is>
      </c>
      <c r="D1773" s="7" t="inlineStr">
        <is>
          <t>Upper middle income</t>
        </is>
      </c>
      <c r="E1773" s="7" t="b">
        <v>1</v>
      </c>
      <c r="F1773" s="7" t="inlineStr">
        <is>
          <t>fuel_exports_pct_merch</t>
        </is>
      </c>
      <c r="G1773" s="7" t="n">
        <v>25.278</v>
      </c>
      <c r="H1773" s="7" t="inlineStr">
        <is>
          <t>2024</t>
        </is>
      </c>
      <c r="I1773" s="7" t="inlineStr">
        <is>
          <t>API_TX_VAL_FUEL_ZS_UN_DS2_en_csv_v2_33055.zip</t>
        </is>
      </c>
    </row>
    <row r="1774">
      <c r="A1774" s="7" t="inlineStr">
        <is>
          <t>MNE</t>
        </is>
      </c>
      <c r="B1774" s="7" t="inlineStr">
        <is>
          <t>Montenegro</t>
        </is>
      </c>
      <c r="C1774" s="7" t="inlineStr">
        <is>
          <t>Europe &amp; Central Asia</t>
        </is>
      </c>
      <c r="D1774" s="7" t="inlineStr">
        <is>
          <t>Upper middle income</t>
        </is>
      </c>
      <c r="E1774" s="7" t="b">
        <v>1</v>
      </c>
      <c r="F1774" s="7" t="inlineStr">
        <is>
          <t>gen_coal_twh</t>
        </is>
      </c>
      <c r="G1774" s="7" t="n">
        <v>1.43</v>
      </c>
      <c r="H1774" s="7" t="n">
        <v>2024</v>
      </c>
      <c r="I1774" s="7" t="inlineStr">
        <is>
          <t>release_generation_yearly_global.csv (Ember)</t>
        </is>
      </c>
    </row>
    <row r="1775">
      <c r="A1775" s="7" t="inlineStr">
        <is>
          <t>MNE</t>
        </is>
      </c>
      <c r="B1775" s="7" t="inlineStr">
        <is>
          <t>Montenegro</t>
        </is>
      </c>
      <c r="C1775" s="7" t="inlineStr">
        <is>
          <t>Europe &amp; Central Asia</t>
        </is>
      </c>
      <c r="D1775" s="7" t="inlineStr">
        <is>
          <t>Upper middle income</t>
        </is>
      </c>
      <c r="E1775" s="7" t="b">
        <v>1</v>
      </c>
      <c r="F1775" s="7" t="inlineStr">
        <is>
          <t>gen_gas_twh</t>
        </is>
      </c>
      <c r="G1775" s="7" t="n">
        <v>0</v>
      </c>
      <c r="H1775" s="7" t="n">
        <v>2024</v>
      </c>
      <c r="I1775" s="7" t="inlineStr">
        <is>
          <t>release_generation_yearly_global.csv (Ember)</t>
        </is>
      </c>
    </row>
    <row r="1776">
      <c r="A1776" s="7" t="inlineStr">
        <is>
          <t>MNE</t>
        </is>
      </c>
      <c r="B1776" s="7" t="inlineStr">
        <is>
          <t>Montenegro</t>
        </is>
      </c>
      <c r="C1776" s="7" t="inlineStr">
        <is>
          <t>Europe &amp; Central Asia</t>
        </is>
      </c>
      <c r="D1776" s="7" t="inlineStr">
        <is>
          <t>Upper middle income</t>
        </is>
      </c>
      <c r="E1776" s="7" t="b">
        <v>1</v>
      </c>
      <c r="F1776" s="7" t="inlineStr">
        <is>
          <t>gen_oil_twh</t>
        </is>
      </c>
      <c r="G1776" s="7" t="n">
        <v>0</v>
      </c>
      <c r="H1776" s="7" t="n">
        <v>2024</v>
      </c>
      <c r="I1776" s="7" t="inlineStr">
        <is>
          <t>release_generation_yearly_global.csv (Ember)</t>
        </is>
      </c>
    </row>
    <row r="1777">
      <c r="A1777" s="7" t="inlineStr">
        <is>
          <t>MNE</t>
        </is>
      </c>
      <c r="B1777" s="7" t="inlineStr">
        <is>
          <t>Montenegro</t>
        </is>
      </c>
      <c r="C1777" s="7" t="inlineStr">
        <is>
          <t>Europe &amp; Central Asia</t>
        </is>
      </c>
      <c r="D1777" s="7" t="inlineStr">
        <is>
          <t>Upper middle income</t>
        </is>
      </c>
      <c r="E1777" s="7" t="b">
        <v>1</v>
      </c>
      <c r="F1777" s="7" t="inlineStr">
        <is>
          <t>gen_total_twh</t>
        </is>
      </c>
      <c r="G1777" s="7" t="n">
        <v>3.53</v>
      </c>
      <c r="H1777" s="7" t="n">
        <v>2024</v>
      </c>
      <c r="I1777" s="7" t="inlineStr">
        <is>
          <t>release_generation_yearly_global.csv (Ember)</t>
        </is>
      </c>
    </row>
    <row r="1778">
      <c r="A1778" s="7" t="inlineStr">
        <is>
          <t>MNE</t>
        </is>
      </c>
      <c r="B1778" s="7" t="inlineStr">
        <is>
          <t>Montenegro</t>
        </is>
      </c>
      <c r="C1778" s="7" t="inlineStr">
        <is>
          <t>Europe &amp; Central Asia</t>
        </is>
      </c>
      <c r="D1778" s="7" t="inlineStr">
        <is>
          <t>Upper middle income</t>
        </is>
      </c>
      <c r="E1778" s="7" t="b">
        <v>1</v>
      </c>
      <c r="F1778" s="7" t="inlineStr">
        <is>
          <t>power_market_structure</t>
        </is>
      </c>
      <c r="G1778" s="7" t="n">
        <v>1</v>
      </c>
      <c r="H1778" s="7" t="inlineStr">
        <is>
          <t>2013</t>
        </is>
      </c>
      <c r="I1778" s="7" t="inlineStr">
        <is>
          <t>dataverse_files.zip</t>
        </is>
      </c>
    </row>
    <row r="1779">
      <c r="A1779" s="7" t="inlineStr">
        <is>
          <t>MNE</t>
        </is>
      </c>
      <c r="B1779" s="7" t="inlineStr">
        <is>
          <t>Montenegro</t>
        </is>
      </c>
      <c r="C1779" s="7" t="inlineStr">
        <is>
          <t>Europe &amp; Central Asia</t>
        </is>
      </c>
      <c r="D1779" s="7" t="inlineStr">
        <is>
          <t>Upper middle income</t>
        </is>
      </c>
      <c r="E1779" s="7" t="b">
        <v>1</v>
      </c>
      <c r="F1779" s="7" t="inlineStr">
        <is>
          <t>price_coal_power_usd_gj</t>
        </is>
      </c>
      <c r="G1779" s="7" t="n">
        <v>4.738</v>
      </c>
      <c r="H1779" s="7" t="inlineStr">
        <is>
          <t>2024</t>
        </is>
      </c>
      <c r="I1779" s="7" t="inlineStr">
        <is>
          <t>imffossilfuelsubsidiesdata.xlsb</t>
        </is>
      </c>
    </row>
    <row r="1780">
      <c r="A1780" s="7" t="inlineStr">
        <is>
          <t>MNE</t>
        </is>
      </c>
      <c r="B1780" s="7" t="inlineStr">
        <is>
          <t>Montenegro</t>
        </is>
      </c>
      <c r="C1780" s="7" t="inlineStr">
        <is>
          <t>Europe &amp; Central Asia</t>
        </is>
      </c>
      <c r="D1780" s="7" t="inlineStr">
        <is>
          <t>Upper middle income</t>
        </is>
      </c>
      <c r="E1780" s="7" t="b">
        <v>1</v>
      </c>
      <c r="F1780" s="7" t="inlineStr">
        <is>
          <t>price_electricity_residential_usd_kwh</t>
        </is>
      </c>
      <c r="G1780" s="7" t="n">
        <v>0.107</v>
      </c>
      <c r="H1780" s="7" t="inlineStr">
        <is>
          <t>2024</t>
        </is>
      </c>
      <c r="I1780" s="7" t="inlineStr">
        <is>
          <t>imffossilfuelsubsidiesdata.xlsb</t>
        </is>
      </c>
    </row>
    <row r="1781">
      <c r="A1781" s="7" t="inlineStr">
        <is>
          <t>MNE</t>
        </is>
      </c>
      <c r="B1781" s="7" t="inlineStr">
        <is>
          <t>Montenegro</t>
        </is>
      </c>
      <c r="C1781" s="7" t="inlineStr">
        <is>
          <t>Europe &amp; Central Asia</t>
        </is>
      </c>
      <c r="D1781" s="7" t="inlineStr">
        <is>
          <t>Upper middle income</t>
        </is>
      </c>
      <c r="E1781" s="7" t="b">
        <v>1</v>
      </c>
      <c r="F1781" s="7" t="inlineStr">
        <is>
          <t>price_gas_industry_usd_gj</t>
        </is>
      </c>
      <c r="G1781" s="7" t="n">
        <v>14.766</v>
      </c>
      <c r="H1781" s="7" t="inlineStr">
        <is>
          <t>2024</t>
        </is>
      </c>
      <c r="I1781" s="7" t="inlineStr">
        <is>
          <t>imffossilfuelsubsidiesdata.xlsb</t>
        </is>
      </c>
    </row>
    <row r="1782">
      <c r="A1782" s="7" t="inlineStr">
        <is>
          <t>MNE</t>
        </is>
      </c>
      <c r="B1782" s="7" t="inlineStr">
        <is>
          <t>Montenegro</t>
        </is>
      </c>
      <c r="C1782" s="7" t="inlineStr">
        <is>
          <t>Europe &amp; Central Asia</t>
        </is>
      </c>
      <c r="D1782" s="7" t="inlineStr">
        <is>
          <t>Upper middle income</t>
        </is>
      </c>
      <c r="E1782" s="7" t="b">
        <v>1</v>
      </c>
      <c r="F1782" s="7" t="inlineStr">
        <is>
          <t>price_gas_power_usd_gj</t>
        </is>
      </c>
      <c r="G1782" s="7" t="n">
        <v>13.442</v>
      </c>
      <c r="H1782" s="7" t="inlineStr">
        <is>
          <t>2024</t>
        </is>
      </c>
      <c r="I1782" s="7" t="inlineStr">
        <is>
          <t>imffossilfuelsubsidiesdata.xlsb</t>
        </is>
      </c>
    </row>
    <row r="1783">
      <c r="A1783" s="7" t="inlineStr">
        <is>
          <t>MNE</t>
        </is>
      </c>
      <c r="B1783" s="7" t="inlineStr">
        <is>
          <t>Montenegro</t>
        </is>
      </c>
      <c r="C1783" s="7" t="inlineStr">
        <is>
          <t>Europe &amp; Central Asia</t>
        </is>
      </c>
      <c r="D1783" s="7" t="inlineStr">
        <is>
          <t>Upper middle income</t>
        </is>
      </c>
      <c r="E1783" s="7" t="b">
        <v>1</v>
      </c>
      <c r="F1783" s="7" t="inlineStr">
        <is>
          <t>rise_renewable_energy_score</t>
        </is>
      </c>
      <c r="G1783" s="7" t="n">
        <v>42.788</v>
      </c>
      <c r="H1783" s="7" t="inlineStr">
        <is>
          <t>2023</t>
        </is>
      </c>
      <c r="I1783" s="7" t="inlineStr">
        <is>
          <t>WB_RISE_WIDEF.csv</t>
        </is>
      </c>
    </row>
    <row r="1784">
      <c r="A1784" s="7" t="inlineStr">
        <is>
          <t>MNG</t>
        </is>
      </c>
      <c r="B1784" s="7" t="inlineStr">
        <is>
          <t>Mongolia</t>
        </is>
      </c>
      <c r="C1784" s="7" t="inlineStr">
        <is>
          <t>East Asia &amp; Pacific</t>
        </is>
      </c>
      <c r="D1784" s="7" t="inlineStr">
        <is>
          <t>Upper middle income</t>
        </is>
      </c>
      <c r="E1784" s="7" t="b">
        <v>1</v>
      </c>
      <c r="F1784" s="7" t="inlineStr">
        <is>
          <t>coal_rents_pct_gdp</t>
        </is>
      </c>
      <c r="G1784" s="7" t="n">
        <v>4.893</v>
      </c>
      <c r="H1784" s="7" t="inlineStr">
        <is>
          <t>2021</t>
        </is>
      </c>
      <c r="I1784" s="7" t="inlineStr">
        <is>
          <t>API_NY_GDP_COAL_RT_ZS_DS2_en_csv_v2_35370.zip</t>
        </is>
      </c>
    </row>
    <row r="1785">
      <c r="A1785" s="7" t="inlineStr">
        <is>
          <t>MNG</t>
        </is>
      </c>
      <c r="B1785" s="7" t="inlineStr">
        <is>
          <t>Mongolia</t>
        </is>
      </c>
      <c r="C1785" s="7" t="inlineStr">
        <is>
          <t>East Asia &amp; Pacific</t>
        </is>
      </c>
      <c r="D1785" s="7" t="inlineStr">
        <is>
          <t>Upper middle income</t>
        </is>
      </c>
      <c r="E1785" s="7" t="b">
        <v>1</v>
      </c>
      <c r="F1785" s="7" t="inlineStr">
        <is>
          <t>em_coal_mt</t>
        </is>
      </c>
      <c r="G1785" s="7" t="n">
        <v>6.813</v>
      </c>
      <c r="H1785" s="7" t="n">
        <v>2024</v>
      </c>
      <c r="I1785" s="7" t="inlineStr">
        <is>
          <t>release_generation_yearly_global.csv (Ember)</t>
        </is>
      </c>
    </row>
    <row r="1786">
      <c r="A1786" s="7" t="inlineStr">
        <is>
          <t>MNG</t>
        </is>
      </c>
      <c r="B1786" s="7" t="inlineStr">
        <is>
          <t>Mongolia</t>
        </is>
      </c>
      <c r="C1786" s="7" t="inlineStr">
        <is>
          <t>East Asia &amp; Pacific</t>
        </is>
      </c>
      <c r="D1786" s="7" t="inlineStr">
        <is>
          <t>Upper middle income</t>
        </is>
      </c>
      <c r="E1786" s="7" t="b">
        <v>1</v>
      </c>
      <c r="F1786" s="7" t="inlineStr">
        <is>
          <t>em_gas_mt</t>
        </is>
      </c>
      <c r="G1786" s="7" t="n">
        <v>0</v>
      </c>
      <c r="H1786" s="7" t="n">
        <v>2024</v>
      </c>
      <c r="I1786" s="7" t="inlineStr">
        <is>
          <t>release_generation_yearly_global.csv (Ember)</t>
        </is>
      </c>
    </row>
    <row r="1787">
      <c r="A1787" s="7" t="inlineStr">
        <is>
          <t>MNG</t>
        </is>
      </c>
      <c r="B1787" s="7" t="inlineStr">
        <is>
          <t>Mongolia</t>
        </is>
      </c>
      <c r="C1787" s="7" t="inlineStr">
        <is>
          <t>East Asia &amp; Pacific</t>
        </is>
      </c>
      <c r="D1787" s="7" t="inlineStr">
        <is>
          <t>Upper middle income</t>
        </is>
      </c>
      <c r="E1787" s="7" t="b">
        <v>1</v>
      </c>
      <c r="F1787" s="7" t="inlineStr">
        <is>
          <t>em_oil_mt</t>
        </is>
      </c>
      <c r="G1787" s="7" t="n">
        <v>0.375</v>
      </c>
      <c r="H1787" s="7" t="n">
        <v>2024</v>
      </c>
      <c r="I1787" s="7" t="inlineStr">
        <is>
          <t>release_generation_yearly_global.csv (Ember)</t>
        </is>
      </c>
    </row>
    <row r="1788">
      <c r="A1788" s="7" t="inlineStr">
        <is>
          <t>MNG</t>
        </is>
      </c>
      <c r="B1788" s="7" t="inlineStr">
        <is>
          <t>Mongolia</t>
        </is>
      </c>
      <c r="C1788" s="7" t="inlineStr">
        <is>
          <t>East Asia &amp; Pacific</t>
        </is>
      </c>
      <c r="D1788" s="7" t="inlineStr">
        <is>
          <t>Upper middle income</t>
        </is>
      </c>
      <c r="E1788" s="7" t="b">
        <v>1</v>
      </c>
      <c r="F1788" s="7" t="inlineStr">
        <is>
          <t>ff_subsidy_explicit_pct_gdp</t>
        </is>
      </c>
      <c r="G1788" s="7" t="n">
        <v>2.469</v>
      </c>
      <c r="H1788" s="7" t="inlineStr">
        <is>
          <t>2024</t>
        </is>
      </c>
      <c r="I1788" s="7" t="inlineStr">
        <is>
          <t>imffossilfuelsubsidiesdata.xlsb</t>
        </is>
      </c>
    </row>
    <row r="1789">
      <c r="A1789" s="7" t="inlineStr">
        <is>
          <t>MNG</t>
        </is>
      </c>
      <c r="B1789" s="7" t="inlineStr">
        <is>
          <t>Mongolia</t>
        </is>
      </c>
      <c r="C1789" s="7" t="inlineStr">
        <is>
          <t>East Asia &amp; Pacific</t>
        </is>
      </c>
      <c r="D1789" s="7" t="inlineStr">
        <is>
          <t>Upper middle income</t>
        </is>
      </c>
      <c r="E1789" s="7" t="b">
        <v>1</v>
      </c>
      <c r="F1789" s="7" t="inlineStr">
        <is>
          <t>fuel_exports_pct_merch</t>
        </is>
      </c>
      <c r="G1789" s="7" t="n">
        <v>61.112</v>
      </c>
      <c r="H1789" s="7" t="inlineStr">
        <is>
          <t>2023</t>
        </is>
      </c>
      <c r="I1789" s="7" t="inlineStr">
        <is>
          <t>API_TX_VAL_FUEL_ZS_UN_DS2_en_csv_v2_33055.zip</t>
        </is>
      </c>
    </row>
    <row r="1790">
      <c r="A1790" s="7" t="inlineStr">
        <is>
          <t>MNG</t>
        </is>
      </c>
      <c r="B1790" s="7" t="inlineStr">
        <is>
          <t>Mongolia</t>
        </is>
      </c>
      <c r="C1790" s="7" t="inlineStr">
        <is>
          <t>East Asia &amp; Pacific</t>
        </is>
      </c>
      <c r="D1790" s="7" t="inlineStr">
        <is>
          <t>Upper middle income</t>
        </is>
      </c>
      <c r="E1790" s="7" t="b">
        <v>1</v>
      </c>
      <c r="F1790" s="7" t="inlineStr">
        <is>
          <t>gen_coal_twh</t>
        </is>
      </c>
      <c r="G1790" s="7" t="n">
        <v>7.47</v>
      </c>
      <c r="H1790" s="7" t="n">
        <v>2024</v>
      </c>
      <c r="I1790" s="7" t="inlineStr">
        <is>
          <t>release_generation_yearly_global.csv (Ember)</t>
        </is>
      </c>
    </row>
    <row r="1791">
      <c r="A1791" s="7" t="inlineStr">
        <is>
          <t>MNG</t>
        </is>
      </c>
      <c r="B1791" s="7" t="inlineStr">
        <is>
          <t>Mongolia</t>
        </is>
      </c>
      <c r="C1791" s="7" t="inlineStr">
        <is>
          <t>East Asia &amp; Pacific</t>
        </is>
      </c>
      <c r="D1791" s="7" t="inlineStr">
        <is>
          <t>Upper middle income</t>
        </is>
      </c>
      <c r="E1791" s="7" t="b">
        <v>1</v>
      </c>
      <c r="F1791" s="7" t="inlineStr">
        <is>
          <t>gen_gas_twh</t>
        </is>
      </c>
      <c r="G1791" s="7" t="n">
        <v>0</v>
      </c>
      <c r="H1791" s="7" t="n">
        <v>2024</v>
      </c>
      <c r="I1791" s="7" t="inlineStr">
        <is>
          <t>release_generation_yearly_global.csv (Ember)</t>
        </is>
      </c>
    </row>
    <row r="1792">
      <c r="A1792" s="7" t="inlineStr">
        <is>
          <t>MNG</t>
        </is>
      </c>
      <c r="B1792" s="7" t="inlineStr">
        <is>
          <t>Mongolia</t>
        </is>
      </c>
      <c r="C1792" s="7" t="inlineStr">
        <is>
          <t>East Asia &amp; Pacific</t>
        </is>
      </c>
      <c r="D1792" s="7" t="inlineStr">
        <is>
          <t>Upper middle income</t>
        </is>
      </c>
      <c r="E1792" s="7" t="b">
        <v>1</v>
      </c>
      <c r="F1792" s="7" t="inlineStr">
        <is>
          <t>gen_oil_twh</t>
        </is>
      </c>
      <c r="G1792" s="7" t="n">
        <v>0.57</v>
      </c>
      <c r="H1792" s="7" t="n">
        <v>2024</v>
      </c>
      <c r="I1792" s="7" t="inlineStr">
        <is>
          <t>release_generation_yearly_global.csv (Ember)</t>
        </is>
      </c>
    </row>
    <row r="1793">
      <c r="A1793" s="7" t="inlineStr">
        <is>
          <t>MNG</t>
        </is>
      </c>
      <c r="B1793" s="7" t="inlineStr">
        <is>
          <t>Mongolia</t>
        </is>
      </c>
      <c r="C1793" s="7" t="inlineStr">
        <is>
          <t>East Asia &amp; Pacific</t>
        </is>
      </c>
      <c r="D1793" s="7" t="inlineStr">
        <is>
          <t>Upper middle income</t>
        </is>
      </c>
      <c r="E1793" s="7" t="b">
        <v>1</v>
      </c>
      <c r="F1793" s="7" t="inlineStr">
        <is>
          <t>gen_total_twh</t>
        </is>
      </c>
      <c r="G1793" s="7" t="n">
        <v>8.82</v>
      </c>
      <c r="H1793" s="7" t="n">
        <v>2024</v>
      </c>
      <c r="I1793" s="7" t="inlineStr">
        <is>
          <t>release_generation_yearly_global.csv (Ember)</t>
        </is>
      </c>
    </row>
    <row r="1794">
      <c r="A1794" s="7" t="inlineStr">
        <is>
          <t>MNG</t>
        </is>
      </c>
      <c r="B1794" s="7" t="inlineStr">
        <is>
          <t>Mongolia</t>
        </is>
      </c>
      <c r="C1794" s="7" t="inlineStr">
        <is>
          <t>East Asia &amp; Pacific</t>
        </is>
      </c>
      <c r="D1794" s="7" t="inlineStr">
        <is>
          <t>Upper middle income</t>
        </is>
      </c>
      <c r="E1794" s="7" t="b">
        <v>1</v>
      </c>
      <c r="F1794" s="7" t="inlineStr">
        <is>
          <t>power_market_structure</t>
        </is>
      </c>
      <c r="G1794" s="7" t="n">
        <v>3</v>
      </c>
      <c r="H1794" s="7" t="inlineStr">
        <is>
          <t>2013</t>
        </is>
      </c>
      <c r="I1794" s="7" t="inlineStr">
        <is>
          <t>dataverse_files.zip</t>
        </is>
      </c>
    </row>
    <row r="1795">
      <c r="A1795" s="7" t="inlineStr">
        <is>
          <t>MNG</t>
        </is>
      </c>
      <c r="B1795" s="7" t="inlineStr">
        <is>
          <t>Mongolia</t>
        </is>
      </c>
      <c r="C1795" s="7" t="inlineStr">
        <is>
          <t>East Asia &amp; Pacific</t>
        </is>
      </c>
      <c r="D1795" s="7" t="inlineStr">
        <is>
          <t>Upper middle income</t>
        </is>
      </c>
      <c r="E1795" s="7" t="b">
        <v>1</v>
      </c>
      <c r="F1795" s="7" t="inlineStr">
        <is>
          <t>price_coal_power_usd_gj</t>
        </is>
      </c>
      <c r="G1795" s="7" t="n">
        <v>2.054</v>
      </c>
      <c r="H1795" s="7" t="inlineStr">
        <is>
          <t>2024</t>
        </is>
      </c>
      <c r="I1795" s="7" t="inlineStr">
        <is>
          <t>imffossilfuelsubsidiesdata.xlsb</t>
        </is>
      </c>
    </row>
    <row r="1796">
      <c r="A1796" s="7" t="inlineStr">
        <is>
          <t>MNG</t>
        </is>
      </c>
      <c r="B1796" s="7" t="inlineStr">
        <is>
          <t>Mongolia</t>
        </is>
      </c>
      <c r="C1796" s="7" t="inlineStr">
        <is>
          <t>East Asia &amp; Pacific</t>
        </is>
      </c>
      <c r="D1796" s="7" t="inlineStr">
        <is>
          <t>Upper middle income</t>
        </is>
      </c>
      <c r="E1796" s="7" t="b">
        <v>1</v>
      </c>
      <c r="F1796" s="7" t="inlineStr">
        <is>
          <t>price_electricity_residential_usd_kwh</t>
        </is>
      </c>
      <c r="G1796" s="7" t="n">
        <v>0.041</v>
      </c>
      <c r="H1796" s="7" t="inlineStr">
        <is>
          <t>2024</t>
        </is>
      </c>
      <c r="I1796" s="7" t="inlineStr">
        <is>
          <t>imffossilfuelsubsidiesdata.xlsb</t>
        </is>
      </c>
    </row>
    <row r="1797">
      <c r="A1797" s="7" t="inlineStr">
        <is>
          <t>MNG</t>
        </is>
      </c>
      <c r="B1797" s="7" t="inlineStr">
        <is>
          <t>Mongolia</t>
        </is>
      </c>
      <c r="C1797" s="7" t="inlineStr">
        <is>
          <t>East Asia &amp; Pacific</t>
        </is>
      </c>
      <c r="D1797" s="7" t="inlineStr">
        <is>
          <t>Upper middle income</t>
        </is>
      </c>
      <c r="E1797" s="7" t="b">
        <v>1</v>
      </c>
      <c r="F1797" s="7" t="inlineStr">
        <is>
          <t>price_gas_industry_usd_gj</t>
        </is>
      </c>
      <c r="G1797" s="7" t="n">
        <v>13.531</v>
      </c>
      <c r="H1797" s="7" t="inlineStr">
        <is>
          <t>2024</t>
        </is>
      </c>
      <c r="I1797" s="7" t="inlineStr">
        <is>
          <t>imffossilfuelsubsidiesdata.xlsb</t>
        </is>
      </c>
    </row>
    <row r="1798">
      <c r="A1798" s="7" t="inlineStr">
        <is>
          <t>MNG</t>
        </is>
      </c>
      <c r="B1798" s="7" t="inlineStr">
        <is>
          <t>Mongolia</t>
        </is>
      </c>
      <c r="C1798" s="7" t="inlineStr">
        <is>
          <t>East Asia &amp; Pacific</t>
        </is>
      </c>
      <c r="D1798" s="7" t="inlineStr">
        <is>
          <t>Upper middle income</t>
        </is>
      </c>
      <c r="E1798" s="7" t="b">
        <v>1</v>
      </c>
      <c r="F1798" s="7" t="inlineStr">
        <is>
          <t>price_gas_power_usd_gj</t>
        </is>
      </c>
      <c r="G1798" s="7" t="n">
        <v>12.208</v>
      </c>
      <c r="H1798" s="7" t="inlineStr">
        <is>
          <t>2024</t>
        </is>
      </c>
      <c r="I1798" s="7" t="inlineStr">
        <is>
          <t>imffossilfuelsubsidiesdata.xlsb</t>
        </is>
      </c>
    </row>
    <row r="1799">
      <c r="A1799" s="7" t="inlineStr">
        <is>
          <t>MNG</t>
        </is>
      </c>
      <c r="B1799" s="7" t="inlineStr">
        <is>
          <t>Mongolia</t>
        </is>
      </c>
      <c r="C1799" s="7" t="inlineStr">
        <is>
          <t>East Asia &amp; Pacific</t>
        </is>
      </c>
      <c r="D1799" s="7" t="inlineStr">
        <is>
          <t>Upper middle income</t>
        </is>
      </c>
      <c r="E1799" s="7" t="b">
        <v>1</v>
      </c>
      <c r="F1799" s="7" t="inlineStr">
        <is>
          <t>rise_renewable_energy_score</t>
        </is>
      </c>
      <c r="G1799" s="7" t="n">
        <v>9.778</v>
      </c>
      <c r="H1799" s="7" t="inlineStr">
        <is>
          <t>2023</t>
        </is>
      </c>
      <c r="I1799" s="7" t="inlineStr">
        <is>
          <t>WB_RISE_WIDEF.csv</t>
        </is>
      </c>
    </row>
    <row r="1800">
      <c r="A1800" s="7" t="inlineStr">
        <is>
          <t>MOZ</t>
        </is>
      </c>
      <c r="B1800" s="7" t="inlineStr">
        <is>
          <t>Mozambique</t>
        </is>
      </c>
      <c r="C1800" s="7" t="inlineStr">
        <is>
          <t>Sub-Saharan Africa</t>
        </is>
      </c>
      <c r="D1800" s="7" t="inlineStr">
        <is>
          <t>Low income</t>
        </is>
      </c>
      <c r="E1800" s="7" t="b">
        <v>1</v>
      </c>
      <c r="F1800" s="7" t="inlineStr">
        <is>
          <t>coal_rents_pct_gdp</t>
        </is>
      </c>
      <c r="G1800" s="7" t="n">
        <v>3.781</v>
      </c>
      <c r="H1800" s="7" t="inlineStr">
        <is>
          <t>2021</t>
        </is>
      </c>
      <c r="I1800" s="7" t="inlineStr">
        <is>
          <t>API_NY_GDP_COAL_RT_ZS_DS2_en_csv_v2_35370.zip</t>
        </is>
      </c>
    </row>
    <row r="1801">
      <c r="A1801" s="7" t="inlineStr">
        <is>
          <t>MOZ</t>
        </is>
      </c>
      <c r="B1801" s="7" t="inlineStr">
        <is>
          <t>Mozambique</t>
        </is>
      </c>
      <c r="C1801" s="7" t="inlineStr">
        <is>
          <t>Sub-Saharan Africa</t>
        </is>
      </c>
      <c r="D1801" s="7" t="inlineStr">
        <is>
          <t>Low income</t>
        </is>
      </c>
      <c r="E1801" s="7" t="b">
        <v>1</v>
      </c>
      <c r="F1801" s="7" t="inlineStr">
        <is>
          <t>em_coal_mt</t>
        </is>
      </c>
      <c r="G1801" s="7" t="n">
        <v>0</v>
      </c>
      <c r="H1801" s="7" t="n">
        <v>2024</v>
      </c>
      <c r="I1801" s="7" t="inlineStr">
        <is>
          <t>release_generation_yearly_global.csv (Ember)</t>
        </is>
      </c>
    </row>
    <row r="1802">
      <c r="A1802" s="7" t="inlineStr">
        <is>
          <t>MOZ</t>
        </is>
      </c>
      <c r="B1802" s="7" t="inlineStr">
        <is>
          <t>Mozambique</t>
        </is>
      </c>
      <c r="C1802" s="7" t="inlineStr">
        <is>
          <t>Sub-Saharan Africa</t>
        </is>
      </c>
      <c r="D1802" s="7" t="inlineStr">
        <is>
          <t>Low income</t>
        </is>
      </c>
      <c r="E1802" s="7" t="b">
        <v>1</v>
      </c>
      <c r="F1802" s="7" t="inlineStr">
        <is>
          <t>em_gas_mt</t>
        </is>
      </c>
      <c r="G1802" s="7" t="n">
        <v>2.043</v>
      </c>
      <c r="H1802" s="7" t="n">
        <v>2024</v>
      </c>
      <c r="I1802" s="7" t="inlineStr">
        <is>
          <t>release_generation_yearly_global.csv (Ember)</t>
        </is>
      </c>
    </row>
    <row r="1803">
      <c r="A1803" s="7" t="inlineStr">
        <is>
          <t>MOZ</t>
        </is>
      </c>
      <c r="B1803" s="7" t="inlineStr">
        <is>
          <t>Mozambique</t>
        </is>
      </c>
      <c r="C1803" s="7" t="inlineStr">
        <is>
          <t>Sub-Saharan Africa</t>
        </is>
      </c>
      <c r="D1803" s="7" t="inlineStr">
        <is>
          <t>Low income</t>
        </is>
      </c>
      <c r="E1803" s="7" t="b">
        <v>1</v>
      </c>
      <c r="F1803" s="7" t="inlineStr">
        <is>
          <t>em_oil_mt</t>
        </is>
      </c>
      <c r="G1803" s="7" t="n">
        <v>0.099</v>
      </c>
      <c r="H1803" s="7" t="n">
        <v>2024</v>
      </c>
      <c r="I1803" s="7" t="inlineStr">
        <is>
          <t>release_generation_yearly_global.csv (Ember)</t>
        </is>
      </c>
    </row>
    <row r="1804">
      <c r="A1804" s="7" t="inlineStr">
        <is>
          <t>MOZ</t>
        </is>
      </c>
      <c r="B1804" s="7" t="inlineStr">
        <is>
          <t>Mozambique</t>
        </is>
      </c>
      <c r="C1804" s="7" t="inlineStr">
        <is>
          <t>Sub-Saharan Africa</t>
        </is>
      </c>
      <c r="D1804" s="7" t="inlineStr">
        <is>
          <t>Low income</t>
        </is>
      </c>
      <c r="E1804" s="7" t="b">
        <v>1</v>
      </c>
      <c r="F1804" s="7" t="inlineStr">
        <is>
          <t>ff_subsidy_explicit_pct_gdp</t>
        </is>
      </c>
      <c r="G1804" s="7" t="n">
        <v>0.033</v>
      </c>
      <c r="H1804" s="7" t="inlineStr">
        <is>
          <t>2024</t>
        </is>
      </c>
      <c r="I1804" s="7" t="inlineStr">
        <is>
          <t>imffossilfuelsubsidiesdata.xlsb</t>
        </is>
      </c>
    </row>
    <row r="1805">
      <c r="A1805" s="7" t="inlineStr">
        <is>
          <t>MOZ</t>
        </is>
      </c>
      <c r="B1805" s="7" t="inlineStr">
        <is>
          <t>Mozambique</t>
        </is>
      </c>
      <c r="C1805" s="7" t="inlineStr">
        <is>
          <t>Sub-Saharan Africa</t>
        </is>
      </c>
      <c r="D1805" s="7" t="inlineStr">
        <is>
          <t>Low income</t>
        </is>
      </c>
      <c r="E1805" s="7" t="b">
        <v>1</v>
      </c>
      <c r="F1805" s="7" t="inlineStr">
        <is>
          <t>fuel_exports_pct_merch</t>
        </is>
      </c>
      <c r="G1805" s="7" t="n">
        <v>58.9</v>
      </c>
      <c r="H1805" s="7" t="inlineStr">
        <is>
          <t>2024</t>
        </is>
      </c>
      <c r="I1805" s="7" t="inlineStr">
        <is>
          <t>API_TX_VAL_FUEL_ZS_UN_DS2_en_csv_v2_33055.zip</t>
        </is>
      </c>
    </row>
    <row r="1806">
      <c r="A1806" s="7" t="inlineStr">
        <is>
          <t>MOZ</t>
        </is>
      </c>
      <c r="B1806" s="7" t="inlineStr">
        <is>
          <t>Mozambique</t>
        </is>
      </c>
      <c r="C1806" s="7" t="inlineStr">
        <is>
          <t>Sub-Saharan Africa</t>
        </is>
      </c>
      <c r="D1806" s="7" t="inlineStr">
        <is>
          <t>Low income</t>
        </is>
      </c>
      <c r="E1806" s="7" t="b">
        <v>1</v>
      </c>
      <c r="F1806" s="7" t="inlineStr">
        <is>
          <t>gen_coal_twh</t>
        </is>
      </c>
      <c r="G1806" s="7" t="n">
        <v>0</v>
      </c>
      <c r="H1806" s="7" t="n">
        <v>2024</v>
      </c>
      <c r="I1806" s="7" t="inlineStr">
        <is>
          <t>release_generation_yearly_global.csv (Ember)</t>
        </is>
      </c>
    </row>
    <row r="1807">
      <c r="A1807" s="7" t="inlineStr">
        <is>
          <t>MOZ</t>
        </is>
      </c>
      <c r="B1807" s="7" t="inlineStr">
        <is>
          <t>Mozambique</t>
        </is>
      </c>
      <c r="C1807" s="7" t="inlineStr">
        <is>
          <t>Sub-Saharan Africa</t>
        </is>
      </c>
      <c r="D1807" s="7" t="inlineStr">
        <is>
          <t>Low income</t>
        </is>
      </c>
      <c r="E1807" s="7" t="b">
        <v>1</v>
      </c>
      <c r="F1807" s="7" t="inlineStr">
        <is>
          <t>gen_gas_twh</t>
        </is>
      </c>
      <c r="G1807" s="7" t="n">
        <v>3.13</v>
      </c>
      <c r="H1807" s="7" t="n">
        <v>2024</v>
      </c>
      <c r="I1807" s="7" t="inlineStr">
        <is>
          <t>release_generation_yearly_global.csv (Ember)</t>
        </is>
      </c>
    </row>
    <row r="1808">
      <c r="A1808" s="7" t="inlineStr">
        <is>
          <t>MOZ</t>
        </is>
      </c>
      <c r="B1808" s="7" t="inlineStr">
        <is>
          <t>Mozambique</t>
        </is>
      </c>
      <c r="C1808" s="7" t="inlineStr">
        <is>
          <t>Sub-Saharan Africa</t>
        </is>
      </c>
      <c r="D1808" s="7" t="inlineStr">
        <is>
          <t>Low income</t>
        </is>
      </c>
      <c r="E1808" s="7" t="b">
        <v>1</v>
      </c>
      <c r="F1808" s="7" t="inlineStr">
        <is>
          <t>gen_oil_twh</t>
        </is>
      </c>
      <c r="G1808" s="7" t="n">
        <v>0.15</v>
      </c>
      <c r="H1808" s="7" t="n">
        <v>2024</v>
      </c>
      <c r="I1808" s="7" t="inlineStr">
        <is>
          <t>release_generation_yearly_global.csv (Ember)</t>
        </is>
      </c>
    </row>
    <row r="1809">
      <c r="A1809" s="7" t="inlineStr">
        <is>
          <t>MOZ</t>
        </is>
      </c>
      <c r="B1809" s="7" t="inlineStr">
        <is>
          <t>Mozambique</t>
        </is>
      </c>
      <c r="C1809" s="7" t="inlineStr">
        <is>
          <t>Sub-Saharan Africa</t>
        </is>
      </c>
      <c r="D1809" s="7" t="inlineStr">
        <is>
          <t>Low income</t>
        </is>
      </c>
      <c r="E1809" s="7" t="b">
        <v>1</v>
      </c>
      <c r="F1809" s="7" t="inlineStr">
        <is>
          <t>gen_total_twh</t>
        </is>
      </c>
      <c r="G1809" s="7" t="n">
        <v>19.79</v>
      </c>
      <c r="H1809" s="7" t="n">
        <v>2024</v>
      </c>
      <c r="I1809" s="7" t="inlineStr">
        <is>
          <t>release_generation_yearly_global.csv (Ember)</t>
        </is>
      </c>
    </row>
    <row r="1810">
      <c r="A1810" s="7" t="inlineStr">
        <is>
          <t>MOZ</t>
        </is>
      </c>
      <c r="B1810" s="7" t="inlineStr">
        <is>
          <t>Mozambique</t>
        </is>
      </c>
      <c r="C1810" s="7" t="inlineStr">
        <is>
          <t>Sub-Saharan Africa</t>
        </is>
      </c>
      <c r="D1810" s="7" t="inlineStr">
        <is>
          <t>Low income</t>
        </is>
      </c>
      <c r="E1810" s="7" t="b">
        <v>1</v>
      </c>
      <c r="F1810" s="7" t="inlineStr">
        <is>
          <t>power_market_structure</t>
        </is>
      </c>
      <c r="G1810" s="7" t="n">
        <v>2</v>
      </c>
      <c r="H1810" s="7" t="inlineStr">
        <is>
          <t>2013</t>
        </is>
      </c>
      <c r="I1810" s="7" t="inlineStr">
        <is>
          <t>dataverse_files.zip</t>
        </is>
      </c>
    </row>
    <row r="1811">
      <c r="A1811" s="7" t="inlineStr">
        <is>
          <t>MOZ</t>
        </is>
      </c>
      <c r="B1811" s="7" t="inlineStr">
        <is>
          <t>Mozambique</t>
        </is>
      </c>
      <c r="C1811" s="7" t="inlineStr">
        <is>
          <t>Sub-Saharan Africa</t>
        </is>
      </c>
      <c r="D1811" s="7" t="inlineStr">
        <is>
          <t>Low income</t>
        </is>
      </c>
      <c r="E1811" s="7" t="b">
        <v>1</v>
      </c>
      <c r="F1811" s="7" t="inlineStr">
        <is>
          <t>price_coal_power_usd_gj</t>
        </is>
      </c>
      <c r="G1811" s="7" t="n">
        <v>2.049</v>
      </c>
      <c r="H1811" s="7" t="inlineStr">
        <is>
          <t>2024</t>
        </is>
      </c>
      <c r="I1811" s="7" t="inlineStr">
        <is>
          <t>imffossilfuelsubsidiesdata.xlsb</t>
        </is>
      </c>
    </row>
    <row r="1812">
      <c r="A1812" s="7" t="inlineStr">
        <is>
          <t>MOZ</t>
        </is>
      </c>
      <c r="B1812" s="7" t="inlineStr">
        <is>
          <t>Mozambique</t>
        </is>
      </c>
      <c r="C1812" s="7" t="inlineStr">
        <is>
          <t>Sub-Saharan Africa</t>
        </is>
      </c>
      <c r="D1812" s="7" t="inlineStr">
        <is>
          <t>Low income</t>
        </is>
      </c>
      <c r="E1812" s="7" t="b">
        <v>1</v>
      </c>
      <c r="F1812" s="7" t="inlineStr">
        <is>
          <t>price_electricity_residential_usd_kwh</t>
        </is>
      </c>
      <c r="G1812" s="7" t="n">
        <v>0.109</v>
      </c>
      <c r="H1812" s="7" t="inlineStr">
        <is>
          <t>2024</t>
        </is>
      </c>
      <c r="I1812" s="7" t="inlineStr">
        <is>
          <t>imffossilfuelsubsidiesdata.xlsb</t>
        </is>
      </c>
    </row>
    <row r="1813">
      <c r="A1813" s="7" t="inlineStr">
        <is>
          <t>MOZ</t>
        </is>
      </c>
      <c r="B1813" s="7" t="inlineStr">
        <is>
          <t>Mozambique</t>
        </is>
      </c>
      <c r="C1813" s="7" t="inlineStr">
        <is>
          <t>Sub-Saharan Africa</t>
        </is>
      </c>
      <c r="D1813" s="7" t="inlineStr">
        <is>
          <t>Low income</t>
        </is>
      </c>
      <c r="E1813" s="7" t="b">
        <v>1</v>
      </c>
      <c r="F1813" s="7" t="inlineStr">
        <is>
          <t>price_gas_industry_usd_gj</t>
        </is>
      </c>
      <c r="G1813" s="7" t="n">
        <v>4.901</v>
      </c>
      <c r="H1813" s="7" t="inlineStr">
        <is>
          <t>2024</t>
        </is>
      </c>
      <c r="I1813" s="7" t="inlineStr">
        <is>
          <t>imffossilfuelsubsidiesdata.xlsb</t>
        </is>
      </c>
    </row>
    <row r="1814">
      <c r="A1814" s="7" t="inlineStr">
        <is>
          <t>MOZ</t>
        </is>
      </c>
      <c r="B1814" s="7" t="inlineStr">
        <is>
          <t>Mozambique</t>
        </is>
      </c>
      <c r="C1814" s="7" t="inlineStr">
        <is>
          <t>Sub-Saharan Africa</t>
        </is>
      </c>
      <c r="D1814" s="7" t="inlineStr">
        <is>
          <t>Low income</t>
        </is>
      </c>
      <c r="E1814" s="7" t="b">
        <v>1</v>
      </c>
      <c r="F1814" s="7" t="inlineStr">
        <is>
          <t>price_gas_power_usd_gj</t>
        </is>
      </c>
      <c r="G1814" s="7" t="n">
        <v>4.239</v>
      </c>
      <c r="H1814" s="7" t="inlineStr">
        <is>
          <t>2024</t>
        </is>
      </c>
      <c r="I1814" s="7" t="inlineStr">
        <is>
          <t>imffossilfuelsubsidiesdata.xlsb</t>
        </is>
      </c>
    </row>
    <row r="1815">
      <c r="A1815" s="7" t="inlineStr">
        <is>
          <t>MOZ</t>
        </is>
      </c>
      <c r="B1815" s="7" t="inlineStr">
        <is>
          <t>Mozambique</t>
        </is>
      </c>
      <c r="C1815" s="7" t="inlineStr">
        <is>
          <t>Sub-Saharan Africa</t>
        </is>
      </c>
      <c r="D1815" s="7" t="inlineStr">
        <is>
          <t>Low income</t>
        </is>
      </c>
      <c r="E1815" s="7" t="b">
        <v>1</v>
      </c>
      <c r="F1815" s="7" t="inlineStr">
        <is>
          <t>rise_renewable_energy_score</t>
        </is>
      </c>
      <c r="G1815" s="7" t="n">
        <v>33.5</v>
      </c>
      <c r="H1815" s="7" t="inlineStr">
        <is>
          <t>2023</t>
        </is>
      </c>
      <c r="I1815" s="7" t="inlineStr">
        <is>
          <t>WB_RISE_WIDEF.csv</t>
        </is>
      </c>
    </row>
    <row r="1816">
      <c r="A1816" s="7" t="inlineStr">
        <is>
          <t>MRT</t>
        </is>
      </c>
      <c r="B1816" s="7" t="inlineStr">
        <is>
          <t>Mauritania</t>
        </is>
      </c>
      <c r="C1816" s="7" t="inlineStr">
        <is>
          <t>Sub-Saharan Africa</t>
        </is>
      </c>
      <c r="D1816" s="7" t="inlineStr">
        <is>
          <t>Lower middle income</t>
        </is>
      </c>
      <c r="E1816" s="7" t="b">
        <v>1</v>
      </c>
      <c r="F1816" s="7" t="inlineStr">
        <is>
          <t>coal_rents_pct_gdp</t>
        </is>
      </c>
      <c r="G1816" s="7" t="n">
        <v>0.67</v>
      </c>
      <c r="H1816" s="7" t="inlineStr">
        <is>
          <t>2021</t>
        </is>
      </c>
      <c r="I1816" s="7" t="inlineStr">
        <is>
          <t>API_NY_GDP_COAL_RT_ZS_DS2_en_csv_v2_35370.zip</t>
        </is>
      </c>
    </row>
    <row r="1817">
      <c r="A1817" s="7" t="inlineStr">
        <is>
          <t>MRT</t>
        </is>
      </c>
      <c r="B1817" s="7" t="inlineStr">
        <is>
          <t>Mauritania</t>
        </is>
      </c>
      <c r="C1817" s="7" t="inlineStr">
        <is>
          <t>Sub-Saharan Africa</t>
        </is>
      </c>
      <c r="D1817" s="7" t="inlineStr">
        <is>
          <t>Lower middle income</t>
        </is>
      </c>
      <c r="E1817" s="7" t="b">
        <v>1</v>
      </c>
      <c r="F1817" s="7" t="inlineStr">
        <is>
          <t>em_coal_mt</t>
        </is>
      </c>
      <c r="G1817" s="7" t="n">
        <v>0</v>
      </c>
      <c r="H1817" s="7" t="n">
        <v>2024</v>
      </c>
      <c r="I1817" s="7" t="inlineStr">
        <is>
          <t>release_generation_yearly_global.csv (Ember)</t>
        </is>
      </c>
    </row>
    <row r="1818">
      <c r="A1818" s="7" t="inlineStr">
        <is>
          <t>MRT</t>
        </is>
      </c>
      <c r="B1818" s="7" t="inlineStr">
        <is>
          <t>Mauritania</t>
        </is>
      </c>
      <c r="C1818" s="7" t="inlineStr">
        <is>
          <t>Sub-Saharan Africa</t>
        </is>
      </c>
      <c r="D1818" s="7" t="inlineStr">
        <is>
          <t>Lower middle income</t>
        </is>
      </c>
      <c r="E1818" s="7" t="b">
        <v>1</v>
      </c>
      <c r="F1818" s="7" t="inlineStr">
        <is>
          <t>em_gas_mt</t>
        </is>
      </c>
      <c r="G1818" s="7" t="n">
        <v>0</v>
      </c>
      <c r="H1818" s="7" t="n">
        <v>2024</v>
      </c>
      <c r="I1818" s="7" t="inlineStr">
        <is>
          <t>release_generation_yearly_global.csv (Ember)</t>
        </is>
      </c>
    </row>
    <row r="1819">
      <c r="A1819" s="7" t="inlineStr">
        <is>
          <t>MRT</t>
        </is>
      </c>
      <c r="B1819" s="7" t="inlineStr">
        <is>
          <t>Mauritania</t>
        </is>
      </c>
      <c r="C1819" s="7" t="inlineStr">
        <is>
          <t>Sub-Saharan Africa</t>
        </is>
      </c>
      <c r="D1819" s="7" t="inlineStr">
        <is>
          <t>Lower middle income</t>
        </is>
      </c>
      <c r="E1819" s="7" t="b">
        <v>1</v>
      </c>
      <c r="F1819" s="7" t="inlineStr">
        <is>
          <t>em_oil_mt</t>
        </is>
      </c>
      <c r="G1819" s="7" t="n">
        <v>1.053</v>
      </c>
      <c r="H1819" s="7" t="n">
        <v>2024</v>
      </c>
      <c r="I1819" s="7" t="inlineStr">
        <is>
          <t>release_generation_yearly_global.csv (Ember)</t>
        </is>
      </c>
    </row>
    <row r="1820">
      <c r="A1820" s="7" t="inlineStr">
        <is>
          <t>MRT</t>
        </is>
      </c>
      <c r="B1820" s="7" t="inlineStr">
        <is>
          <t>Mauritania</t>
        </is>
      </c>
      <c r="C1820" s="7" t="inlineStr">
        <is>
          <t>Sub-Saharan Africa</t>
        </is>
      </c>
      <c r="D1820" s="7" t="inlineStr">
        <is>
          <t>Lower middle income</t>
        </is>
      </c>
      <c r="E1820" s="7" t="b">
        <v>1</v>
      </c>
      <c r="F1820" s="7" t="inlineStr">
        <is>
          <t>ff_subsidy_explicit_pct_gdp</t>
        </is>
      </c>
      <c r="G1820" s="7" t="n">
        <v>3.256</v>
      </c>
      <c r="H1820" s="7" t="inlineStr">
        <is>
          <t>2024</t>
        </is>
      </c>
      <c r="I1820" s="7" t="inlineStr">
        <is>
          <t>imffossilfuelsubsidiesdata.xlsb</t>
        </is>
      </c>
    </row>
    <row r="1821">
      <c r="A1821" s="7" t="inlineStr">
        <is>
          <t>MRT</t>
        </is>
      </c>
      <c r="B1821" s="7" t="inlineStr">
        <is>
          <t>Mauritania</t>
        </is>
      </c>
      <c r="C1821" s="7" t="inlineStr">
        <is>
          <t>Sub-Saharan Africa</t>
        </is>
      </c>
      <c r="D1821" s="7" t="inlineStr">
        <is>
          <t>Lower middle income</t>
        </is>
      </c>
      <c r="E1821" s="7" t="b">
        <v>1</v>
      </c>
      <c r="F1821" s="7" t="inlineStr">
        <is>
          <t>fuel_exports_pct_merch</t>
        </is>
      </c>
      <c r="G1821" s="7" t="n">
        <v>0.52</v>
      </c>
      <c r="H1821" s="7" t="inlineStr">
        <is>
          <t>2024</t>
        </is>
      </c>
      <c r="I1821" s="7" t="inlineStr">
        <is>
          <t>API_TX_VAL_FUEL_ZS_UN_DS2_en_csv_v2_33055.zip</t>
        </is>
      </c>
    </row>
    <row r="1822">
      <c r="A1822" s="7" t="inlineStr">
        <is>
          <t>MRT</t>
        </is>
      </c>
      <c r="B1822" s="7" t="inlineStr">
        <is>
          <t>Mauritania</t>
        </is>
      </c>
      <c r="C1822" s="7" t="inlineStr">
        <is>
          <t>Sub-Saharan Africa</t>
        </is>
      </c>
      <c r="D1822" s="7" t="inlineStr">
        <is>
          <t>Lower middle income</t>
        </is>
      </c>
      <c r="E1822" s="7" t="b">
        <v>1</v>
      </c>
      <c r="F1822" s="7" t="inlineStr">
        <is>
          <t>gen_coal_twh</t>
        </is>
      </c>
      <c r="G1822" s="7" t="n">
        <v>0</v>
      </c>
      <c r="H1822" s="7" t="n">
        <v>2024</v>
      </c>
      <c r="I1822" s="7" t="inlineStr">
        <is>
          <t>release_generation_yearly_global.csv (Ember)</t>
        </is>
      </c>
    </row>
    <row r="1823">
      <c r="A1823" s="7" t="inlineStr">
        <is>
          <t>MRT</t>
        </is>
      </c>
      <c r="B1823" s="7" t="inlineStr">
        <is>
          <t>Mauritania</t>
        </is>
      </c>
      <c r="C1823" s="7" t="inlineStr">
        <is>
          <t>Sub-Saharan Africa</t>
        </is>
      </c>
      <c r="D1823" s="7" t="inlineStr">
        <is>
          <t>Lower middle income</t>
        </is>
      </c>
      <c r="E1823" s="7" t="b">
        <v>1</v>
      </c>
      <c r="F1823" s="7" t="inlineStr">
        <is>
          <t>gen_gas_twh</t>
        </is>
      </c>
      <c r="G1823" s="7" t="n">
        <v>0</v>
      </c>
      <c r="H1823" s="7" t="n">
        <v>2024</v>
      </c>
      <c r="I1823" s="7" t="inlineStr">
        <is>
          <t>release_generation_yearly_global.csv (Ember)</t>
        </is>
      </c>
    </row>
    <row r="1824">
      <c r="A1824" s="7" t="inlineStr">
        <is>
          <t>MRT</t>
        </is>
      </c>
      <c r="B1824" s="7" t="inlineStr">
        <is>
          <t>Mauritania</t>
        </is>
      </c>
      <c r="C1824" s="7" t="inlineStr">
        <is>
          <t>Sub-Saharan Africa</t>
        </is>
      </c>
      <c r="D1824" s="7" t="inlineStr">
        <is>
          <t>Lower middle income</t>
        </is>
      </c>
      <c r="E1824" s="7" t="b">
        <v>1</v>
      </c>
      <c r="F1824" s="7" t="inlineStr">
        <is>
          <t>gen_oil_twh</t>
        </is>
      </c>
      <c r="G1824" s="7" t="n">
        <v>1.6</v>
      </c>
      <c r="H1824" s="7" t="n">
        <v>2024</v>
      </c>
      <c r="I1824" s="7" t="inlineStr">
        <is>
          <t>release_generation_yearly_global.csv (Ember)</t>
        </is>
      </c>
    </row>
    <row r="1825">
      <c r="A1825" s="7" t="inlineStr">
        <is>
          <t>MRT</t>
        </is>
      </c>
      <c r="B1825" s="7" t="inlineStr">
        <is>
          <t>Mauritania</t>
        </is>
      </c>
      <c r="C1825" s="7" t="inlineStr">
        <is>
          <t>Sub-Saharan Africa</t>
        </is>
      </c>
      <c r="D1825" s="7" t="inlineStr">
        <is>
          <t>Lower middle income</t>
        </is>
      </c>
      <c r="E1825" s="7" t="b">
        <v>1</v>
      </c>
      <c r="F1825" s="7" t="inlineStr">
        <is>
          <t>gen_total_twh</t>
        </is>
      </c>
      <c r="G1825" s="7" t="n">
        <v>2.07</v>
      </c>
      <c r="H1825" s="7" t="n">
        <v>2024</v>
      </c>
      <c r="I1825" s="7" t="inlineStr">
        <is>
          <t>release_generation_yearly_global.csv (Ember)</t>
        </is>
      </c>
    </row>
    <row r="1826">
      <c r="A1826" s="7" t="inlineStr">
        <is>
          <t>MRT</t>
        </is>
      </c>
      <c r="B1826" s="7" t="inlineStr">
        <is>
          <t>Mauritania</t>
        </is>
      </c>
      <c r="C1826" s="7" t="inlineStr">
        <is>
          <t>Sub-Saharan Africa</t>
        </is>
      </c>
      <c r="D1826" s="7" t="inlineStr">
        <is>
          <t>Lower middle income</t>
        </is>
      </c>
      <c r="E1826" s="7" t="b">
        <v>1</v>
      </c>
      <c r="F1826" s="7" t="inlineStr">
        <is>
          <t>power_market_structure</t>
        </is>
      </c>
      <c r="G1826" s="7" t="n">
        <v>1</v>
      </c>
      <c r="H1826" s="7" t="inlineStr">
        <is>
          <t>2013</t>
        </is>
      </c>
      <c r="I1826" s="7" t="inlineStr">
        <is>
          <t>dataverse_files.zip</t>
        </is>
      </c>
    </row>
    <row r="1827">
      <c r="A1827" s="7" t="inlineStr">
        <is>
          <t>MRT</t>
        </is>
      </c>
      <c r="B1827" s="7" t="inlineStr">
        <is>
          <t>Mauritania</t>
        </is>
      </c>
      <c r="C1827" s="7" t="inlineStr">
        <is>
          <t>Sub-Saharan Africa</t>
        </is>
      </c>
      <c r="D1827" s="7" t="inlineStr">
        <is>
          <t>Lower middle income</t>
        </is>
      </c>
      <c r="E1827" s="7" t="b">
        <v>1</v>
      </c>
      <c r="F1827" s="7" t="inlineStr">
        <is>
          <t>price_coal_power_usd_gj</t>
        </is>
      </c>
      <c r="G1827" s="7" t="n">
        <v>5.575</v>
      </c>
      <c r="H1827" s="7" t="inlineStr">
        <is>
          <t>2024</t>
        </is>
      </c>
      <c r="I1827" s="7" t="inlineStr">
        <is>
          <t>imffossilfuelsubsidiesdata.xlsb</t>
        </is>
      </c>
    </row>
    <row r="1828">
      <c r="A1828" s="7" t="inlineStr">
        <is>
          <t>MRT</t>
        </is>
      </c>
      <c r="B1828" s="7" t="inlineStr">
        <is>
          <t>Mauritania</t>
        </is>
      </c>
      <c r="C1828" s="7" t="inlineStr">
        <is>
          <t>Sub-Saharan Africa</t>
        </is>
      </c>
      <c r="D1828" s="7" t="inlineStr">
        <is>
          <t>Lower middle income</t>
        </is>
      </c>
      <c r="E1828" s="7" t="b">
        <v>1</v>
      </c>
      <c r="F1828" s="7" t="inlineStr">
        <is>
          <t>price_electricity_residential_usd_kwh</t>
        </is>
      </c>
      <c r="G1828" s="7" t="n">
        <v>0.17</v>
      </c>
      <c r="H1828" s="7" t="inlineStr">
        <is>
          <t>2024</t>
        </is>
      </c>
      <c r="I1828" s="7" t="inlineStr">
        <is>
          <t>imffossilfuelsubsidiesdata.xlsb</t>
        </is>
      </c>
    </row>
    <row r="1829">
      <c r="A1829" s="7" t="inlineStr">
        <is>
          <t>MRT</t>
        </is>
      </c>
      <c r="B1829" s="7" t="inlineStr">
        <is>
          <t>Mauritania</t>
        </is>
      </c>
      <c r="C1829" s="7" t="inlineStr">
        <is>
          <t>Sub-Saharan Africa</t>
        </is>
      </c>
      <c r="D1829" s="7" t="inlineStr">
        <is>
          <t>Lower middle income</t>
        </is>
      </c>
      <c r="E1829" s="7" t="b">
        <v>1</v>
      </c>
      <c r="F1829" s="7" t="inlineStr">
        <is>
          <t>price_gas_industry_usd_gj</t>
        </is>
      </c>
      <c r="G1829" s="7" t="n">
        <v>8.375999999999999</v>
      </c>
      <c r="H1829" s="7" t="inlineStr">
        <is>
          <t>2024</t>
        </is>
      </c>
      <c r="I1829" s="7" t="inlineStr">
        <is>
          <t>imffossilfuelsubsidiesdata.xlsb</t>
        </is>
      </c>
    </row>
    <row r="1830">
      <c r="A1830" s="7" t="inlineStr">
        <is>
          <t>MRT</t>
        </is>
      </c>
      <c r="B1830" s="7" t="inlineStr">
        <is>
          <t>Mauritania</t>
        </is>
      </c>
      <c r="C1830" s="7" t="inlineStr">
        <is>
          <t>Sub-Saharan Africa</t>
        </is>
      </c>
      <c r="D1830" s="7" t="inlineStr">
        <is>
          <t>Lower middle income</t>
        </is>
      </c>
      <c r="E1830" s="7" t="b">
        <v>1</v>
      </c>
      <c r="F1830" s="7" t="inlineStr">
        <is>
          <t>price_gas_power_usd_gj</t>
        </is>
      </c>
      <c r="G1830" s="7" t="n">
        <v>7.053</v>
      </c>
      <c r="H1830" s="7" t="inlineStr">
        <is>
          <t>2024</t>
        </is>
      </c>
      <c r="I1830" s="7" t="inlineStr">
        <is>
          <t>imffossilfuelsubsidiesdata.xlsb</t>
        </is>
      </c>
    </row>
    <row r="1831">
      <c r="A1831" s="7" t="inlineStr">
        <is>
          <t>MRT</t>
        </is>
      </c>
      <c r="B1831" s="7" t="inlineStr">
        <is>
          <t>Mauritania</t>
        </is>
      </c>
      <c r="C1831" s="7" t="inlineStr">
        <is>
          <t>Sub-Saharan Africa</t>
        </is>
      </c>
      <c r="D1831" s="7" t="inlineStr">
        <is>
          <t>Lower middle income</t>
        </is>
      </c>
      <c r="E1831" s="7" t="b">
        <v>1</v>
      </c>
      <c r="F1831" s="7" t="inlineStr">
        <is>
          <t>rise_renewable_energy_score</t>
        </is>
      </c>
      <c r="G1831" s="7" t="n">
        <v>14.357</v>
      </c>
      <c r="H1831" s="7" t="inlineStr">
        <is>
          <t>2023</t>
        </is>
      </c>
      <c r="I1831" s="7" t="inlineStr">
        <is>
          <t>WB_RISE_WIDEF.csv</t>
        </is>
      </c>
    </row>
    <row r="1832">
      <c r="A1832" s="7" t="inlineStr">
        <is>
          <t>MUS</t>
        </is>
      </c>
      <c r="B1832" s="7" t="inlineStr">
        <is>
          <t>Mauritius</t>
        </is>
      </c>
      <c r="C1832" s="7" t="inlineStr">
        <is>
          <t>Sub-Saharan Africa</t>
        </is>
      </c>
      <c r="D1832" s="7" t="inlineStr">
        <is>
          <t>Upper middle income</t>
        </is>
      </c>
      <c r="E1832" s="7" t="b">
        <v>1</v>
      </c>
      <c r="F1832" s="7" t="inlineStr">
        <is>
          <t>coal_rents_pct_gdp</t>
        </is>
      </c>
      <c r="G1832" s="7" t="n">
        <v>0</v>
      </c>
      <c r="H1832" s="7" t="inlineStr">
        <is>
          <t>2021</t>
        </is>
      </c>
      <c r="I1832" s="7" t="inlineStr">
        <is>
          <t>API_NY_GDP_COAL_RT_ZS_DS2_en_csv_v2_35370.zip</t>
        </is>
      </c>
    </row>
    <row r="1833">
      <c r="A1833" s="7" t="inlineStr">
        <is>
          <t>MUS</t>
        </is>
      </c>
      <c r="B1833" s="7" t="inlineStr">
        <is>
          <t>Mauritius</t>
        </is>
      </c>
      <c r="C1833" s="7" t="inlineStr">
        <is>
          <t>Sub-Saharan Africa</t>
        </is>
      </c>
      <c r="D1833" s="7" t="inlineStr">
        <is>
          <t>Upper middle income</t>
        </is>
      </c>
      <c r="E1833" s="7" t="b">
        <v>1</v>
      </c>
      <c r="F1833" s="7" t="inlineStr">
        <is>
          <t>em_coal_mt</t>
        </is>
      </c>
      <c r="G1833" s="7" t="n">
        <v>1.149</v>
      </c>
      <c r="H1833" s="7" t="n">
        <v>2024</v>
      </c>
      <c r="I1833" s="7" t="inlineStr">
        <is>
          <t>release_generation_yearly_global.csv (Ember)</t>
        </is>
      </c>
    </row>
    <row r="1834">
      <c r="A1834" s="7" t="inlineStr">
        <is>
          <t>MUS</t>
        </is>
      </c>
      <c r="B1834" s="7" t="inlineStr">
        <is>
          <t>Mauritius</t>
        </is>
      </c>
      <c r="C1834" s="7" t="inlineStr">
        <is>
          <t>Sub-Saharan Africa</t>
        </is>
      </c>
      <c r="D1834" s="7" t="inlineStr">
        <is>
          <t>Upper middle income</t>
        </is>
      </c>
      <c r="E1834" s="7" t="b">
        <v>1</v>
      </c>
      <c r="F1834" s="7" t="inlineStr">
        <is>
          <t>em_gas_mt</t>
        </is>
      </c>
      <c r="G1834" s="7" t="n">
        <v>0</v>
      </c>
      <c r="H1834" s="7" t="n">
        <v>2024</v>
      </c>
      <c r="I1834" s="7" t="inlineStr">
        <is>
          <t>release_generation_yearly_global.csv (Ember)</t>
        </is>
      </c>
    </row>
    <row r="1835">
      <c r="A1835" s="7" t="inlineStr">
        <is>
          <t>MUS</t>
        </is>
      </c>
      <c r="B1835" s="7" t="inlineStr">
        <is>
          <t>Mauritius</t>
        </is>
      </c>
      <c r="C1835" s="7" t="inlineStr">
        <is>
          <t>Sub-Saharan Africa</t>
        </is>
      </c>
      <c r="D1835" s="7" t="inlineStr">
        <is>
          <t>Upper middle income</t>
        </is>
      </c>
      <c r="E1835" s="7" t="b">
        <v>1</v>
      </c>
      <c r="F1835" s="7" t="inlineStr">
        <is>
          <t>em_oil_mt</t>
        </is>
      </c>
      <c r="G1835" s="7" t="n">
        <v>0.961</v>
      </c>
      <c r="H1835" s="7" t="n">
        <v>2024</v>
      </c>
      <c r="I1835" s="7" t="inlineStr">
        <is>
          <t>release_generation_yearly_global.csv (Ember)</t>
        </is>
      </c>
    </row>
    <row r="1836">
      <c r="A1836" s="7" t="inlineStr">
        <is>
          <t>MUS</t>
        </is>
      </c>
      <c r="B1836" s="7" t="inlineStr">
        <is>
          <t>Mauritius</t>
        </is>
      </c>
      <c r="C1836" s="7" t="inlineStr">
        <is>
          <t>Sub-Saharan Africa</t>
        </is>
      </c>
      <c r="D1836" s="7" t="inlineStr">
        <is>
          <t>Upper middle income</t>
        </is>
      </c>
      <c r="E1836" s="7" t="b">
        <v>1</v>
      </c>
      <c r="F1836" s="7" t="inlineStr">
        <is>
          <t>ff_subsidy_explicit_pct_gdp</t>
        </is>
      </c>
      <c r="G1836" s="7" t="n">
        <v>0.768</v>
      </c>
      <c r="H1836" s="7" t="inlineStr">
        <is>
          <t>2024</t>
        </is>
      </c>
      <c r="I1836" s="7" t="inlineStr">
        <is>
          <t>imffossilfuelsubsidiesdata.xlsb</t>
        </is>
      </c>
    </row>
    <row r="1837">
      <c r="A1837" s="7" t="inlineStr">
        <is>
          <t>MUS</t>
        </is>
      </c>
      <c r="B1837" s="7" t="inlineStr">
        <is>
          <t>Mauritius</t>
        </is>
      </c>
      <c r="C1837" s="7" t="inlineStr">
        <is>
          <t>Sub-Saharan Africa</t>
        </is>
      </c>
      <c r="D1837" s="7" t="inlineStr">
        <is>
          <t>Upper middle income</t>
        </is>
      </c>
      <c r="E1837" s="7" t="b">
        <v>1</v>
      </c>
      <c r="F1837" s="7" t="inlineStr">
        <is>
          <t>fuel_exports_pct_merch</t>
        </is>
      </c>
      <c r="G1837" s="7" t="n">
        <v>0.001</v>
      </c>
      <c r="H1837" s="7" t="inlineStr">
        <is>
          <t>2024</t>
        </is>
      </c>
      <c r="I1837" s="7" t="inlineStr">
        <is>
          <t>API_TX_VAL_FUEL_ZS_UN_DS2_en_csv_v2_33055.zip</t>
        </is>
      </c>
    </row>
    <row r="1838">
      <c r="A1838" s="7" t="inlineStr">
        <is>
          <t>MUS</t>
        </is>
      </c>
      <c r="B1838" s="7" t="inlineStr">
        <is>
          <t>Mauritius</t>
        </is>
      </c>
      <c r="C1838" s="7" t="inlineStr">
        <is>
          <t>Sub-Saharan Africa</t>
        </is>
      </c>
      <c r="D1838" s="7" t="inlineStr">
        <is>
          <t>Upper middle income</t>
        </is>
      </c>
      <c r="E1838" s="7" t="b">
        <v>1</v>
      </c>
      <c r="F1838" s="7" t="inlineStr">
        <is>
          <t>gen_coal_twh</t>
        </is>
      </c>
      <c r="G1838" s="7" t="n">
        <v>1.34</v>
      </c>
      <c r="H1838" s="7" t="n">
        <v>2024</v>
      </c>
      <c r="I1838" s="7" t="inlineStr">
        <is>
          <t>release_generation_yearly_global.csv (Ember)</t>
        </is>
      </c>
    </row>
    <row r="1839">
      <c r="A1839" s="7" t="inlineStr">
        <is>
          <t>MUS</t>
        </is>
      </c>
      <c r="B1839" s="7" t="inlineStr">
        <is>
          <t>Mauritius</t>
        </is>
      </c>
      <c r="C1839" s="7" t="inlineStr">
        <is>
          <t>Sub-Saharan Africa</t>
        </is>
      </c>
      <c r="D1839" s="7" t="inlineStr">
        <is>
          <t>Upper middle income</t>
        </is>
      </c>
      <c r="E1839" s="7" t="b">
        <v>1</v>
      </c>
      <c r="F1839" s="7" t="inlineStr">
        <is>
          <t>gen_gas_twh</t>
        </is>
      </c>
      <c r="G1839" s="7" t="n">
        <v>0</v>
      </c>
      <c r="H1839" s="7" t="n">
        <v>2024</v>
      </c>
      <c r="I1839" s="7" t="inlineStr">
        <is>
          <t>release_generation_yearly_global.csv (Ember)</t>
        </is>
      </c>
    </row>
    <row r="1840">
      <c r="A1840" s="7" t="inlineStr">
        <is>
          <t>MUS</t>
        </is>
      </c>
      <c r="B1840" s="7" t="inlineStr">
        <is>
          <t>Mauritius</t>
        </is>
      </c>
      <c r="C1840" s="7" t="inlineStr">
        <is>
          <t>Sub-Saharan Africa</t>
        </is>
      </c>
      <c r="D1840" s="7" t="inlineStr">
        <is>
          <t>Upper middle income</t>
        </is>
      </c>
      <c r="E1840" s="7" t="b">
        <v>1</v>
      </c>
      <c r="F1840" s="7" t="inlineStr">
        <is>
          <t>gen_oil_twh</t>
        </is>
      </c>
      <c r="G1840" s="7" t="n">
        <v>1.46</v>
      </c>
      <c r="H1840" s="7" t="n">
        <v>2024</v>
      </c>
      <c r="I1840" s="7" t="inlineStr">
        <is>
          <t>release_generation_yearly_global.csv (Ember)</t>
        </is>
      </c>
    </row>
    <row r="1841">
      <c r="A1841" s="7" t="inlineStr">
        <is>
          <t>MUS</t>
        </is>
      </c>
      <c r="B1841" s="7" t="inlineStr">
        <is>
          <t>Mauritius</t>
        </is>
      </c>
      <c r="C1841" s="7" t="inlineStr">
        <is>
          <t>Sub-Saharan Africa</t>
        </is>
      </c>
      <c r="D1841" s="7" t="inlineStr">
        <is>
          <t>Upper middle income</t>
        </is>
      </c>
      <c r="E1841" s="7" t="b">
        <v>1</v>
      </c>
      <c r="F1841" s="7" t="inlineStr">
        <is>
          <t>gen_total_twh</t>
        </is>
      </c>
      <c r="G1841" s="7" t="n">
        <v>3.41</v>
      </c>
      <c r="H1841" s="7" t="n">
        <v>2024</v>
      </c>
      <c r="I1841" s="7" t="inlineStr">
        <is>
          <t>release_generation_yearly_global.csv (Ember)</t>
        </is>
      </c>
    </row>
    <row r="1842">
      <c r="A1842" s="7" t="inlineStr">
        <is>
          <t>MUS</t>
        </is>
      </c>
      <c r="B1842" s="7" t="inlineStr">
        <is>
          <t>Mauritius</t>
        </is>
      </c>
      <c r="C1842" s="7" t="inlineStr">
        <is>
          <t>Sub-Saharan Africa</t>
        </is>
      </c>
      <c r="D1842" s="7" t="inlineStr">
        <is>
          <t>Upper middle income</t>
        </is>
      </c>
      <c r="E1842" s="7" t="b">
        <v>1</v>
      </c>
      <c r="F1842" s="7" t="inlineStr">
        <is>
          <t>power_market_structure</t>
        </is>
      </c>
      <c r="G1842" s="7" t="n">
        <v>2</v>
      </c>
      <c r="H1842" s="7" t="inlineStr">
        <is>
          <t>2013</t>
        </is>
      </c>
      <c r="I1842" s="7" t="inlineStr">
        <is>
          <t>dataverse_files.zip</t>
        </is>
      </c>
    </row>
    <row r="1843">
      <c r="A1843" s="7" t="inlineStr">
        <is>
          <t>MUS</t>
        </is>
      </c>
      <c r="B1843" s="7" t="inlineStr">
        <is>
          <t>Mauritius</t>
        </is>
      </c>
      <c r="C1843" s="7" t="inlineStr">
        <is>
          <t>Sub-Saharan Africa</t>
        </is>
      </c>
      <c r="D1843" s="7" t="inlineStr">
        <is>
          <t>Upper middle income</t>
        </is>
      </c>
      <c r="E1843" s="7" t="b">
        <v>1</v>
      </c>
      <c r="F1843" s="7" t="inlineStr">
        <is>
          <t>price_coal_power_usd_gj</t>
        </is>
      </c>
      <c r="G1843" s="7" t="n">
        <v>5.35</v>
      </c>
      <c r="H1843" s="7" t="inlineStr">
        <is>
          <t>2024</t>
        </is>
      </c>
      <c r="I1843" s="7" t="inlineStr">
        <is>
          <t>imffossilfuelsubsidiesdata.xlsb</t>
        </is>
      </c>
    </row>
    <row r="1844">
      <c r="A1844" s="7" t="inlineStr">
        <is>
          <t>MUS</t>
        </is>
      </c>
      <c r="B1844" s="7" t="inlineStr">
        <is>
          <t>Mauritius</t>
        </is>
      </c>
      <c r="C1844" s="7" t="inlineStr">
        <is>
          <t>Sub-Saharan Africa</t>
        </is>
      </c>
      <c r="D1844" s="7" t="inlineStr">
        <is>
          <t>Upper middle income</t>
        </is>
      </c>
      <c r="E1844" s="7" t="b">
        <v>1</v>
      </c>
      <c r="F1844" s="7" t="inlineStr">
        <is>
          <t>price_electricity_residential_usd_kwh</t>
        </is>
      </c>
      <c r="G1844" s="7" t="n">
        <v>0.132</v>
      </c>
      <c r="H1844" s="7" t="inlineStr">
        <is>
          <t>2024</t>
        </is>
      </c>
      <c r="I1844" s="7" t="inlineStr">
        <is>
          <t>imffossilfuelsubsidiesdata.xlsb</t>
        </is>
      </c>
    </row>
    <row r="1845">
      <c r="A1845" s="7" t="inlineStr">
        <is>
          <t>MUS</t>
        </is>
      </c>
      <c r="B1845" s="7" t="inlineStr">
        <is>
          <t>Mauritius</t>
        </is>
      </c>
      <c r="C1845" s="7" t="inlineStr">
        <is>
          <t>Sub-Saharan Africa</t>
        </is>
      </c>
      <c r="D1845" s="7" t="inlineStr">
        <is>
          <t>Upper middle income</t>
        </is>
      </c>
      <c r="E1845" s="7" t="b">
        <v>1</v>
      </c>
      <c r="F1845" s="7" t="inlineStr">
        <is>
          <t>price_gas_industry_usd_gj</t>
        </is>
      </c>
      <c r="G1845" s="7" t="n">
        <v>5.104</v>
      </c>
      <c r="H1845" s="7" t="inlineStr">
        <is>
          <t>2024</t>
        </is>
      </c>
      <c r="I1845" s="7" t="inlineStr">
        <is>
          <t>imffossilfuelsubsidiesdata.xlsb</t>
        </is>
      </c>
    </row>
    <row r="1846">
      <c r="A1846" s="7" t="inlineStr">
        <is>
          <t>MUS</t>
        </is>
      </c>
      <c r="B1846" s="7" t="inlineStr">
        <is>
          <t>Mauritius</t>
        </is>
      </c>
      <c r="C1846" s="7" t="inlineStr">
        <is>
          <t>Sub-Saharan Africa</t>
        </is>
      </c>
      <c r="D1846" s="7" t="inlineStr">
        <is>
          <t>Upper middle income</t>
        </is>
      </c>
      <c r="E1846" s="7" t="b">
        <v>1</v>
      </c>
      <c r="F1846" s="7" t="inlineStr">
        <is>
          <t>price_gas_power_usd_gj</t>
        </is>
      </c>
      <c r="G1846" s="7" t="n">
        <v>3.781</v>
      </c>
      <c r="H1846" s="7" t="inlineStr">
        <is>
          <t>2024</t>
        </is>
      </c>
      <c r="I1846" s="7" t="inlineStr">
        <is>
          <t>imffossilfuelsubsidiesdata.xlsb</t>
        </is>
      </c>
    </row>
    <row r="1847">
      <c r="A1847" s="7" t="inlineStr">
        <is>
          <t>MWI</t>
        </is>
      </c>
      <c r="B1847" s="7" t="inlineStr">
        <is>
          <t>Malawi</t>
        </is>
      </c>
      <c r="C1847" s="7" t="inlineStr">
        <is>
          <t>Sub-Saharan Africa</t>
        </is>
      </c>
      <c r="D1847" s="7" t="inlineStr">
        <is>
          <t>Low income</t>
        </is>
      </c>
      <c r="E1847" s="7" t="b">
        <v>1</v>
      </c>
      <c r="F1847" s="7" t="inlineStr">
        <is>
          <t>coal_rents_pct_gdp</t>
        </is>
      </c>
      <c r="G1847" s="7" t="n">
        <v>0.017</v>
      </c>
      <c r="H1847" s="7" t="inlineStr">
        <is>
          <t>2021</t>
        </is>
      </c>
      <c r="I1847" s="7" t="inlineStr">
        <is>
          <t>API_NY_GDP_COAL_RT_ZS_DS2_en_csv_v2_35370.zip</t>
        </is>
      </c>
    </row>
    <row r="1848">
      <c r="A1848" s="7" t="inlineStr">
        <is>
          <t>MWI</t>
        </is>
      </c>
      <c r="B1848" s="7" t="inlineStr">
        <is>
          <t>Malawi</t>
        </is>
      </c>
      <c r="C1848" s="7" t="inlineStr">
        <is>
          <t>Sub-Saharan Africa</t>
        </is>
      </c>
      <c r="D1848" s="7" t="inlineStr">
        <is>
          <t>Low income</t>
        </is>
      </c>
      <c r="E1848" s="7" t="b">
        <v>1</v>
      </c>
      <c r="F1848" s="7" t="inlineStr">
        <is>
          <t>em_coal_mt</t>
        </is>
      </c>
      <c r="G1848" s="7" t="n">
        <v>0</v>
      </c>
      <c r="H1848" s="7" t="n">
        <v>2024</v>
      </c>
      <c r="I1848" s="7" t="inlineStr">
        <is>
          <t>release_generation_yearly_global.csv (Ember)</t>
        </is>
      </c>
    </row>
    <row r="1849">
      <c r="A1849" s="7" t="inlineStr">
        <is>
          <t>MWI</t>
        </is>
      </c>
      <c r="B1849" s="7" t="inlineStr">
        <is>
          <t>Malawi</t>
        </is>
      </c>
      <c r="C1849" s="7" t="inlineStr">
        <is>
          <t>Sub-Saharan Africa</t>
        </is>
      </c>
      <c r="D1849" s="7" t="inlineStr">
        <is>
          <t>Low income</t>
        </is>
      </c>
      <c r="E1849" s="7" t="b">
        <v>1</v>
      </c>
      <c r="F1849" s="7" t="inlineStr">
        <is>
          <t>em_gas_mt</t>
        </is>
      </c>
      <c r="G1849" s="7" t="n">
        <v>0</v>
      </c>
      <c r="H1849" s="7" t="n">
        <v>2024</v>
      </c>
      <c r="I1849" s="7" t="inlineStr">
        <is>
          <t>release_generation_yearly_global.csv (Ember)</t>
        </is>
      </c>
    </row>
    <row r="1850">
      <c r="A1850" s="7" t="inlineStr">
        <is>
          <t>MWI</t>
        </is>
      </c>
      <c r="B1850" s="7" t="inlineStr">
        <is>
          <t>Malawi</t>
        </is>
      </c>
      <c r="C1850" s="7" t="inlineStr">
        <is>
          <t>Sub-Saharan Africa</t>
        </is>
      </c>
      <c r="D1850" s="7" t="inlineStr">
        <is>
          <t>Low income</t>
        </is>
      </c>
      <c r="E1850" s="7" t="b">
        <v>1</v>
      </c>
      <c r="F1850" s="7" t="inlineStr">
        <is>
          <t>em_oil_mt</t>
        </is>
      </c>
      <c r="G1850" s="7" t="n">
        <v>0.053</v>
      </c>
      <c r="H1850" s="7" t="n">
        <v>2024</v>
      </c>
      <c r="I1850" s="7" t="inlineStr">
        <is>
          <t>release_generation_yearly_global.csv (Ember)</t>
        </is>
      </c>
    </row>
    <row r="1851">
      <c r="A1851" s="7" t="inlineStr">
        <is>
          <t>MWI</t>
        </is>
      </c>
      <c r="B1851" s="7" t="inlineStr">
        <is>
          <t>Malawi</t>
        </is>
      </c>
      <c r="C1851" s="7" t="inlineStr">
        <is>
          <t>Sub-Saharan Africa</t>
        </is>
      </c>
      <c r="D1851" s="7" t="inlineStr">
        <is>
          <t>Low income</t>
        </is>
      </c>
      <c r="E1851" s="7" t="b">
        <v>1</v>
      </c>
      <c r="F1851" s="7" t="inlineStr">
        <is>
          <t>ff_subsidy_explicit_pct_gdp</t>
        </is>
      </c>
      <c r="G1851" s="7" t="n">
        <v>0.03</v>
      </c>
      <c r="H1851" s="7" t="inlineStr">
        <is>
          <t>2024</t>
        </is>
      </c>
      <c r="I1851" s="7" t="inlineStr">
        <is>
          <t>imffossilfuelsubsidiesdata.xlsb</t>
        </is>
      </c>
    </row>
    <row r="1852">
      <c r="A1852" s="7" t="inlineStr">
        <is>
          <t>MWI</t>
        </is>
      </c>
      <c r="B1852" s="7" t="inlineStr">
        <is>
          <t>Malawi</t>
        </is>
      </c>
      <c r="C1852" s="7" t="inlineStr">
        <is>
          <t>Sub-Saharan Africa</t>
        </is>
      </c>
      <c r="D1852" s="7" t="inlineStr">
        <is>
          <t>Low income</t>
        </is>
      </c>
      <c r="E1852" s="7" t="b">
        <v>1</v>
      </c>
      <c r="F1852" s="7" t="inlineStr">
        <is>
          <t>fuel_exports_pct_merch</t>
        </is>
      </c>
      <c r="G1852" s="7" t="n">
        <v>0.005</v>
      </c>
      <c r="H1852" s="7" t="inlineStr">
        <is>
          <t>2024</t>
        </is>
      </c>
      <c r="I1852" s="7" t="inlineStr">
        <is>
          <t>API_TX_VAL_FUEL_ZS_UN_DS2_en_csv_v2_33055.zip</t>
        </is>
      </c>
    </row>
    <row r="1853">
      <c r="A1853" s="7" t="inlineStr">
        <is>
          <t>MWI</t>
        </is>
      </c>
      <c r="B1853" s="7" t="inlineStr">
        <is>
          <t>Malawi</t>
        </is>
      </c>
      <c r="C1853" s="7" t="inlineStr">
        <is>
          <t>Sub-Saharan Africa</t>
        </is>
      </c>
      <c r="D1853" s="7" t="inlineStr">
        <is>
          <t>Low income</t>
        </is>
      </c>
      <c r="E1853" s="7" t="b">
        <v>1</v>
      </c>
      <c r="F1853" s="7" t="inlineStr">
        <is>
          <t>gen_coal_twh</t>
        </is>
      </c>
      <c r="G1853" s="7" t="n">
        <v>0</v>
      </c>
      <c r="H1853" s="7" t="n">
        <v>2024</v>
      </c>
      <c r="I1853" s="7" t="inlineStr">
        <is>
          <t>release_generation_yearly_global.csv (Ember)</t>
        </is>
      </c>
    </row>
    <row r="1854">
      <c r="A1854" s="7" t="inlineStr">
        <is>
          <t>MWI</t>
        </is>
      </c>
      <c r="B1854" s="7" t="inlineStr">
        <is>
          <t>Malawi</t>
        </is>
      </c>
      <c r="C1854" s="7" t="inlineStr">
        <is>
          <t>Sub-Saharan Africa</t>
        </is>
      </c>
      <c r="D1854" s="7" t="inlineStr">
        <is>
          <t>Low income</t>
        </is>
      </c>
      <c r="E1854" s="7" t="b">
        <v>1</v>
      </c>
      <c r="F1854" s="7" t="inlineStr">
        <is>
          <t>gen_gas_twh</t>
        </is>
      </c>
      <c r="G1854" s="7" t="n">
        <v>0</v>
      </c>
      <c r="H1854" s="7" t="n">
        <v>2024</v>
      </c>
      <c r="I1854" s="7" t="inlineStr">
        <is>
          <t>release_generation_yearly_global.csv (Ember)</t>
        </is>
      </c>
    </row>
    <row r="1855">
      <c r="A1855" s="7" t="inlineStr">
        <is>
          <t>MWI</t>
        </is>
      </c>
      <c r="B1855" s="7" t="inlineStr">
        <is>
          <t>Malawi</t>
        </is>
      </c>
      <c r="C1855" s="7" t="inlineStr">
        <is>
          <t>Sub-Saharan Africa</t>
        </is>
      </c>
      <c r="D1855" s="7" t="inlineStr">
        <is>
          <t>Low income</t>
        </is>
      </c>
      <c r="E1855" s="7" t="b">
        <v>1</v>
      </c>
      <c r="F1855" s="7" t="inlineStr">
        <is>
          <t>gen_oil_twh</t>
        </is>
      </c>
      <c r="G1855" s="7" t="n">
        <v>0.08</v>
      </c>
      <c r="H1855" s="7" t="n">
        <v>2024</v>
      </c>
      <c r="I1855" s="7" t="inlineStr">
        <is>
          <t>release_generation_yearly_global.csv (Ember)</t>
        </is>
      </c>
    </row>
    <row r="1856">
      <c r="A1856" s="7" t="inlineStr">
        <is>
          <t>MWI</t>
        </is>
      </c>
      <c r="B1856" s="7" t="inlineStr">
        <is>
          <t>Malawi</t>
        </is>
      </c>
      <c r="C1856" s="7" t="inlineStr">
        <is>
          <t>Sub-Saharan Africa</t>
        </is>
      </c>
      <c r="D1856" s="7" t="inlineStr">
        <is>
          <t>Low income</t>
        </is>
      </c>
      <c r="E1856" s="7" t="b">
        <v>1</v>
      </c>
      <c r="F1856" s="7" t="inlineStr">
        <is>
          <t>gen_total_twh</t>
        </is>
      </c>
      <c r="G1856" s="7" t="n">
        <v>1.83</v>
      </c>
      <c r="H1856" s="7" t="n">
        <v>2024</v>
      </c>
      <c r="I1856" s="7" t="inlineStr">
        <is>
          <t>release_generation_yearly_global.csv (Ember)</t>
        </is>
      </c>
    </row>
    <row r="1857">
      <c r="A1857" s="7" t="inlineStr">
        <is>
          <t>MWI</t>
        </is>
      </c>
      <c r="B1857" s="7" t="inlineStr">
        <is>
          <t>Malawi</t>
        </is>
      </c>
      <c r="C1857" s="7" t="inlineStr">
        <is>
          <t>Sub-Saharan Africa</t>
        </is>
      </c>
      <c r="D1857" s="7" t="inlineStr">
        <is>
          <t>Low income</t>
        </is>
      </c>
      <c r="E1857" s="7" t="b">
        <v>1</v>
      </c>
      <c r="F1857" s="7" t="inlineStr">
        <is>
          <t>power_market_structure</t>
        </is>
      </c>
      <c r="G1857" s="7" t="n">
        <v>1</v>
      </c>
      <c r="H1857" s="7" t="inlineStr">
        <is>
          <t>2013</t>
        </is>
      </c>
      <c r="I1857" s="7" t="inlineStr">
        <is>
          <t>dataverse_files.zip</t>
        </is>
      </c>
    </row>
    <row r="1858">
      <c r="A1858" s="7" t="inlineStr">
        <is>
          <t>MWI</t>
        </is>
      </c>
      <c r="B1858" s="7" t="inlineStr">
        <is>
          <t>Malawi</t>
        </is>
      </c>
      <c r="C1858" s="7" t="inlineStr">
        <is>
          <t>Sub-Saharan Africa</t>
        </is>
      </c>
      <c r="D1858" s="7" t="inlineStr">
        <is>
          <t>Low income</t>
        </is>
      </c>
      <c r="E1858" s="7" t="b">
        <v>1</v>
      </c>
      <c r="F1858" s="7" t="inlineStr">
        <is>
          <t>price_coal_power_usd_gj</t>
        </is>
      </c>
      <c r="G1858" s="7" t="n">
        <v>5.575</v>
      </c>
      <c r="H1858" s="7" t="inlineStr">
        <is>
          <t>2024</t>
        </is>
      </c>
      <c r="I1858" s="7" t="inlineStr">
        <is>
          <t>imffossilfuelsubsidiesdata.xlsb</t>
        </is>
      </c>
    </row>
    <row r="1859">
      <c r="A1859" s="7" t="inlineStr">
        <is>
          <t>MWI</t>
        </is>
      </c>
      <c r="B1859" s="7" t="inlineStr">
        <is>
          <t>Malawi</t>
        </is>
      </c>
      <c r="C1859" s="7" t="inlineStr">
        <is>
          <t>Sub-Saharan Africa</t>
        </is>
      </c>
      <c r="D1859" s="7" t="inlineStr">
        <is>
          <t>Low income</t>
        </is>
      </c>
      <c r="E1859" s="7" t="b">
        <v>1</v>
      </c>
      <c r="F1859" s="7" t="inlineStr">
        <is>
          <t>price_electricity_residential_usd_kwh</t>
        </is>
      </c>
      <c r="G1859" s="7" t="n">
        <v>0.064</v>
      </c>
      <c r="H1859" s="7" t="inlineStr">
        <is>
          <t>2024</t>
        </is>
      </c>
      <c r="I1859" s="7" t="inlineStr">
        <is>
          <t>imffossilfuelsubsidiesdata.xlsb</t>
        </is>
      </c>
    </row>
    <row r="1860">
      <c r="A1860" s="7" t="inlineStr">
        <is>
          <t>MWI</t>
        </is>
      </c>
      <c r="B1860" s="7" t="inlineStr">
        <is>
          <t>Malawi</t>
        </is>
      </c>
      <c r="C1860" s="7" t="inlineStr">
        <is>
          <t>Sub-Saharan Africa</t>
        </is>
      </c>
      <c r="D1860" s="7" t="inlineStr">
        <is>
          <t>Low income</t>
        </is>
      </c>
      <c r="E1860" s="7" t="b">
        <v>1</v>
      </c>
      <c r="F1860" s="7" t="inlineStr">
        <is>
          <t>price_gas_industry_usd_gj</t>
        </is>
      </c>
      <c r="G1860" s="7" t="n">
        <v>12.761</v>
      </c>
      <c r="H1860" s="7" t="inlineStr">
        <is>
          <t>2024</t>
        </is>
      </c>
      <c r="I1860" s="7" t="inlineStr">
        <is>
          <t>imffossilfuelsubsidiesdata.xlsb</t>
        </is>
      </c>
    </row>
    <row r="1861">
      <c r="A1861" s="7" t="inlineStr">
        <is>
          <t>MWI</t>
        </is>
      </c>
      <c r="B1861" s="7" t="inlineStr">
        <is>
          <t>Malawi</t>
        </is>
      </c>
      <c r="C1861" s="7" t="inlineStr">
        <is>
          <t>Sub-Saharan Africa</t>
        </is>
      </c>
      <c r="D1861" s="7" t="inlineStr">
        <is>
          <t>Low income</t>
        </is>
      </c>
      <c r="E1861" s="7" t="b">
        <v>1</v>
      </c>
      <c r="F1861" s="7" t="inlineStr">
        <is>
          <t>price_gas_power_usd_gj</t>
        </is>
      </c>
      <c r="G1861" s="7" t="n">
        <v>11.438</v>
      </c>
      <c r="H1861" s="7" t="inlineStr">
        <is>
          <t>2024</t>
        </is>
      </c>
      <c r="I1861" s="7" t="inlineStr">
        <is>
          <t>imffossilfuelsubsidiesdata.xlsb</t>
        </is>
      </c>
    </row>
    <row r="1862">
      <c r="A1862" s="7" t="inlineStr">
        <is>
          <t>MWI</t>
        </is>
      </c>
      <c r="B1862" s="7" t="inlineStr">
        <is>
          <t>Malawi</t>
        </is>
      </c>
      <c r="C1862" s="7" t="inlineStr">
        <is>
          <t>Sub-Saharan Africa</t>
        </is>
      </c>
      <c r="D1862" s="7" t="inlineStr">
        <is>
          <t>Low income</t>
        </is>
      </c>
      <c r="E1862" s="7" t="b">
        <v>1</v>
      </c>
      <c r="F1862" s="7" t="inlineStr">
        <is>
          <t>rise_renewable_energy_score</t>
        </is>
      </c>
      <c r="G1862" s="7" t="n">
        <v>38.037</v>
      </c>
      <c r="H1862" s="7" t="inlineStr">
        <is>
          <t>2023</t>
        </is>
      </c>
      <c r="I1862" s="7" t="inlineStr">
        <is>
          <t>WB_RISE_WIDEF.csv</t>
        </is>
      </c>
    </row>
    <row r="1863">
      <c r="A1863" s="7" t="inlineStr">
        <is>
          <t>MYS</t>
        </is>
      </c>
      <c r="B1863" s="7" t="inlineStr">
        <is>
          <t>Malaysia</t>
        </is>
      </c>
      <c r="C1863" s="7" t="inlineStr">
        <is>
          <t>East Asia &amp; Pacific</t>
        </is>
      </c>
      <c r="D1863" s="7" t="inlineStr">
        <is>
          <t>Upper middle income</t>
        </is>
      </c>
      <c r="E1863" s="7" t="b">
        <v>1</v>
      </c>
      <c r="F1863" s="7" t="inlineStr">
        <is>
          <t>coal_rents_pct_gdp</t>
        </is>
      </c>
      <c r="G1863" s="7" t="n">
        <v>0.025</v>
      </c>
      <c r="H1863" s="7" t="inlineStr">
        <is>
          <t>2021</t>
        </is>
      </c>
      <c r="I1863" s="7" t="inlineStr">
        <is>
          <t>API_NY_GDP_COAL_RT_ZS_DS2_en_csv_v2_35370.zip</t>
        </is>
      </c>
    </row>
    <row r="1864">
      <c r="A1864" s="7" t="inlineStr">
        <is>
          <t>MYS</t>
        </is>
      </c>
      <c r="B1864" s="7" t="inlineStr">
        <is>
          <t>Malaysia</t>
        </is>
      </c>
      <c r="C1864" s="7" t="inlineStr">
        <is>
          <t>East Asia &amp; Pacific</t>
        </is>
      </c>
      <c r="D1864" s="7" t="inlineStr">
        <is>
          <t>Upper middle income</t>
        </is>
      </c>
      <c r="E1864" s="7" t="b">
        <v>1</v>
      </c>
      <c r="F1864" s="7" t="inlineStr">
        <is>
          <t>em_coal_mt</t>
        </is>
      </c>
      <c r="G1864" s="7" t="n">
        <v>71.996</v>
      </c>
      <c r="H1864" s="7" t="n">
        <v>2024</v>
      </c>
      <c r="I1864" s="7" t="inlineStr">
        <is>
          <t>release_generation_yearly_global.csv (Ember)</t>
        </is>
      </c>
    </row>
    <row r="1865">
      <c r="A1865" s="7" t="inlineStr">
        <is>
          <t>MYS</t>
        </is>
      </c>
      <c r="B1865" s="7" t="inlineStr">
        <is>
          <t>Malaysia</t>
        </is>
      </c>
      <c r="C1865" s="7" t="inlineStr">
        <is>
          <t>East Asia &amp; Pacific</t>
        </is>
      </c>
      <c r="D1865" s="7" t="inlineStr">
        <is>
          <t>Upper middle income</t>
        </is>
      </c>
      <c r="E1865" s="7" t="b">
        <v>1</v>
      </c>
      <c r="F1865" s="7" t="inlineStr">
        <is>
          <t>em_gas_mt</t>
        </is>
      </c>
      <c r="G1865" s="7" t="n">
        <v>45.059</v>
      </c>
      <c r="H1865" s="7" t="n">
        <v>2024</v>
      </c>
      <c r="I1865" s="7" t="inlineStr">
        <is>
          <t>release_generation_yearly_global.csv (Ember)</t>
        </is>
      </c>
    </row>
    <row r="1866">
      <c r="A1866" s="7" t="inlineStr">
        <is>
          <t>MYS</t>
        </is>
      </c>
      <c r="B1866" s="7" t="inlineStr">
        <is>
          <t>Malaysia</t>
        </is>
      </c>
      <c r="C1866" s="7" t="inlineStr">
        <is>
          <t>East Asia &amp; Pacific</t>
        </is>
      </c>
      <c r="D1866" s="7" t="inlineStr">
        <is>
          <t>Upper middle income</t>
        </is>
      </c>
      <c r="E1866" s="7" t="b">
        <v>1</v>
      </c>
      <c r="F1866" s="7" t="inlineStr">
        <is>
          <t>em_oil_mt</t>
        </is>
      </c>
      <c r="G1866" s="7" t="n">
        <v>0.757</v>
      </c>
      <c r="H1866" s="7" t="n">
        <v>2024</v>
      </c>
      <c r="I1866" s="7" t="inlineStr">
        <is>
          <t>release_generation_yearly_global.csv (Ember)</t>
        </is>
      </c>
    </row>
    <row r="1867">
      <c r="A1867" s="7" t="inlineStr">
        <is>
          <t>MYS</t>
        </is>
      </c>
      <c r="B1867" s="7" t="inlineStr">
        <is>
          <t>Malaysia</t>
        </is>
      </c>
      <c r="C1867" s="7" t="inlineStr">
        <is>
          <t>East Asia &amp; Pacific</t>
        </is>
      </c>
      <c r="D1867" s="7" t="inlineStr">
        <is>
          <t>Upper middle income</t>
        </is>
      </c>
      <c r="E1867" s="7" t="b">
        <v>1</v>
      </c>
      <c r="F1867" s="7" t="inlineStr">
        <is>
          <t>ff_subsidy_explicit_pct_gdp</t>
        </is>
      </c>
      <c r="G1867" s="7" t="n">
        <v>1.712</v>
      </c>
      <c r="H1867" s="7" t="inlineStr">
        <is>
          <t>2024</t>
        </is>
      </c>
      <c r="I1867" s="7" t="inlineStr">
        <is>
          <t>imffossilfuelsubsidiesdata.xlsb</t>
        </is>
      </c>
    </row>
    <row r="1868">
      <c r="A1868" s="7" t="inlineStr">
        <is>
          <t>MYS</t>
        </is>
      </c>
      <c r="B1868" s="7" t="inlineStr">
        <is>
          <t>Malaysia</t>
        </is>
      </c>
      <c r="C1868" s="7" t="inlineStr">
        <is>
          <t>East Asia &amp; Pacific</t>
        </is>
      </c>
      <c r="D1868" s="7" t="inlineStr">
        <is>
          <t>Upper middle income</t>
        </is>
      </c>
      <c r="E1868" s="7" t="b">
        <v>1</v>
      </c>
      <c r="F1868" s="7" t="inlineStr">
        <is>
          <t>fuel_exports_pct_merch</t>
        </is>
      </c>
      <c r="G1868" s="7" t="n">
        <v>11.159</v>
      </c>
      <c r="H1868" s="7" t="inlineStr">
        <is>
          <t>2025</t>
        </is>
      </c>
      <c r="I1868" s="7" t="inlineStr">
        <is>
          <t>API_TX_VAL_FUEL_ZS_UN_DS2_en_csv_v2_33055.zip</t>
        </is>
      </c>
    </row>
    <row r="1869">
      <c r="A1869" s="7" t="inlineStr">
        <is>
          <t>MYS</t>
        </is>
      </c>
      <c r="B1869" s="7" t="inlineStr">
        <is>
          <t>Malaysia</t>
        </is>
      </c>
      <c r="C1869" s="7" t="inlineStr">
        <is>
          <t>East Asia &amp; Pacific</t>
        </is>
      </c>
      <c r="D1869" s="7" t="inlineStr">
        <is>
          <t>Upper middle income</t>
        </is>
      </c>
      <c r="E1869" s="7" t="b">
        <v>1</v>
      </c>
      <c r="F1869" s="7" t="inlineStr">
        <is>
          <t>gen_coal_twh</t>
        </is>
      </c>
      <c r="G1869" s="7" t="n">
        <v>85.3</v>
      </c>
      <c r="H1869" s="7" t="n">
        <v>2024</v>
      </c>
      <c r="I1869" s="7" t="inlineStr">
        <is>
          <t>release_generation_yearly_global.csv (Ember)</t>
        </is>
      </c>
    </row>
    <row r="1870">
      <c r="A1870" s="7" t="inlineStr">
        <is>
          <t>MYS</t>
        </is>
      </c>
      <c r="B1870" s="7" t="inlineStr">
        <is>
          <t>Malaysia</t>
        </is>
      </c>
      <c r="C1870" s="7" t="inlineStr">
        <is>
          <t>East Asia &amp; Pacific</t>
        </is>
      </c>
      <c r="D1870" s="7" t="inlineStr">
        <is>
          <t>Upper middle income</t>
        </is>
      </c>
      <c r="E1870" s="7" t="b">
        <v>1</v>
      </c>
      <c r="F1870" s="7" t="inlineStr">
        <is>
          <t>gen_gas_twh</t>
        </is>
      </c>
      <c r="G1870" s="7" t="n">
        <v>71.31999999999999</v>
      </c>
      <c r="H1870" s="7" t="n">
        <v>2024</v>
      </c>
      <c r="I1870" s="7" t="inlineStr">
        <is>
          <t>release_generation_yearly_global.csv (Ember)</t>
        </is>
      </c>
    </row>
    <row r="1871">
      <c r="A1871" s="7" t="inlineStr">
        <is>
          <t>MYS</t>
        </is>
      </c>
      <c r="B1871" s="7" t="inlineStr">
        <is>
          <t>Malaysia</t>
        </is>
      </c>
      <c r="C1871" s="7" t="inlineStr">
        <is>
          <t>East Asia &amp; Pacific</t>
        </is>
      </c>
      <c r="D1871" s="7" t="inlineStr">
        <is>
          <t>Upper middle income</t>
        </is>
      </c>
      <c r="E1871" s="7" t="b">
        <v>1</v>
      </c>
      <c r="F1871" s="7" t="inlineStr">
        <is>
          <t>gen_oil_twh</t>
        </is>
      </c>
      <c r="G1871" s="7" t="n">
        <v>1.15</v>
      </c>
      <c r="H1871" s="7" t="n">
        <v>2024</v>
      </c>
      <c r="I1871" s="7" t="inlineStr">
        <is>
          <t>release_generation_yearly_global.csv (Ember)</t>
        </is>
      </c>
    </row>
    <row r="1872">
      <c r="A1872" s="7" t="inlineStr">
        <is>
          <t>MYS</t>
        </is>
      </c>
      <c r="B1872" s="7" t="inlineStr">
        <is>
          <t>Malaysia</t>
        </is>
      </c>
      <c r="C1872" s="7" t="inlineStr">
        <is>
          <t>East Asia &amp; Pacific</t>
        </is>
      </c>
      <c r="D1872" s="7" t="inlineStr">
        <is>
          <t>Upper middle income</t>
        </is>
      </c>
      <c r="E1872" s="7" t="b">
        <v>1</v>
      </c>
      <c r="F1872" s="7" t="inlineStr">
        <is>
          <t>gen_total_twh</t>
        </is>
      </c>
      <c r="G1872" s="7" t="n">
        <v>198.12</v>
      </c>
      <c r="H1872" s="7" t="n">
        <v>2024</v>
      </c>
      <c r="I1872" s="7" t="inlineStr">
        <is>
          <t>release_generation_yearly_global.csv (Ember)</t>
        </is>
      </c>
    </row>
    <row r="1873">
      <c r="A1873" s="7" t="inlineStr">
        <is>
          <t>MYS</t>
        </is>
      </c>
      <c r="B1873" s="7" t="inlineStr">
        <is>
          <t>Malaysia</t>
        </is>
      </c>
      <c r="C1873" s="7" t="inlineStr">
        <is>
          <t>East Asia &amp; Pacific</t>
        </is>
      </c>
      <c r="D1873" s="7" t="inlineStr">
        <is>
          <t>Upper middle income</t>
        </is>
      </c>
      <c r="E1873" s="7" t="b">
        <v>1</v>
      </c>
      <c r="F1873" s="7" t="inlineStr">
        <is>
          <t>power_market_structure</t>
        </is>
      </c>
      <c r="G1873" s="7" t="n">
        <v>2</v>
      </c>
      <c r="H1873" s="7" t="inlineStr">
        <is>
          <t>2013</t>
        </is>
      </c>
      <c r="I1873" s="7" t="inlineStr">
        <is>
          <t>dataverse_files.zip</t>
        </is>
      </c>
    </row>
    <row r="1874">
      <c r="A1874" s="7" t="inlineStr">
        <is>
          <t>MYS</t>
        </is>
      </c>
      <c r="B1874" s="7" t="inlineStr">
        <is>
          <t>Malaysia</t>
        </is>
      </c>
      <c r="C1874" s="7" t="inlineStr">
        <is>
          <t>East Asia &amp; Pacific</t>
        </is>
      </c>
      <c r="D1874" s="7" t="inlineStr">
        <is>
          <t>Upper middle income</t>
        </is>
      </c>
      <c r="E1874" s="7" t="b">
        <v>1</v>
      </c>
      <c r="F1874" s="7" t="inlineStr">
        <is>
          <t>price_coal_power_usd_gj</t>
        </is>
      </c>
      <c r="G1874" s="7" t="n">
        <v>4.558</v>
      </c>
      <c r="H1874" s="7" t="inlineStr">
        <is>
          <t>2024</t>
        </is>
      </c>
      <c r="I1874" s="7" t="inlineStr">
        <is>
          <t>imffossilfuelsubsidiesdata.xlsb</t>
        </is>
      </c>
    </row>
    <row r="1875">
      <c r="A1875" s="7" t="inlineStr">
        <is>
          <t>MYS</t>
        </is>
      </c>
      <c r="B1875" s="7" t="inlineStr">
        <is>
          <t>Malaysia</t>
        </is>
      </c>
      <c r="C1875" s="7" t="inlineStr">
        <is>
          <t>East Asia &amp; Pacific</t>
        </is>
      </c>
      <c r="D1875" s="7" t="inlineStr">
        <is>
          <t>Upper middle income</t>
        </is>
      </c>
      <c r="E1875" s="7" t="b">
        <v>1</v>
      </c>
      <c r="F1875" s="7" t="inlineStr">
        <is>
          <t>price_electricity_residential_usd_kwh</t>
        </is>
      </c>
      <c r="G1875" s="7" t="n">
        <v>0.043</v>
      </c>
      <c r="H1875" s="7" t="inlineStr">
        <is>
          <t>2024</t>
        </is>
      </c>
      <c r="I1875" s="7" t="inlineStr">
        <is>
          <t>imffossilfuelsubsidiesdata.xlsb</t>
        </is>
      </c>
    </row>
    <row r="1876">
      <c r="A1876" s="7" t="inlineStr">
        <is>
          <t>MYS</t>
        </is>
      </c>
      <c r="B1876" s="7" t="inlineStr">
        <is>
          <t>Malaysia</t>
        </is>
      </c>
      <c r="C1876" s="7" t="inlineStr">
        <is>
          <t>East Asia &amp; Pacific</t>
        </is>
      </c>
      <c r="D1876" s="7" t="inlineStr">
        <is>
          <t>Upper middle income</t>
        </is>
      </c>
      <c r="E1876" s="7" t="b">
        <v>1</v>
      </c>
      <c r="F1876" s="7" t="inlineStr">
        <is>
          <t>price_gas_industry_usd_gj</t>
        </is>
      </c>
      <c r="G1876" s="7" t="n">
        <v>7.769</v>
      </c>
      <c r="H1876" s="7" t="inlineStr">
        <is>
          <t>2024</t>
        </is>
      </c>
      <c r="I1876" s="7" t="inlineStr">
        <is>
          <t>imffossilfuelsubsidiesdata.xlsb</t>
        </is>
      </c>
    </row>
    <row r="1877">
      <c r="A1877" s="7" t="inlineStr">
        <is>
          <t>MYS</t>
        </is>
      </c>
      <c r="B1877" s="7" t="inlineStr">
        <is>
          <t>Malaysia</t>
        </is>
      </c>
      <c r="C1877" s="7" t="inlineStr">
        <is>
          <t>East Asia &amp; Pacific</t>
        </is>
      </c>
      <c r="D1877" s="7" t="inlineStr">
        <is>
          <t>Upper middle income</t>
        </is>
      </c>
      <c r="E1877" s="7" t="b">
        <v>1</v>
      </c>
      <c r="F1877" s="7" t="inlineStr">
        <is>
          <t>price_gas_power_usd_gj</t>
        </is>
      </c>
      <c r="G1877" s="7" t="n">
        <v>7.642</v>
      </c>
      <c r="H1877" s="7" t="inlineStr">
        <is>
          <t>2024</t>
        </is>
      </c>
      <c r="I1877" s="7" t="inlineStr">
        <is>
          <t>imffossilfuelsubsidiesdata.xlsb</t>
        </is>
      </c>
    </row>
    <row r="1878">
      <c r="A1878" s="7" t="inlineStr">
        <is>
          <t>MYS</t>
        </is>
      </c>
      <c r="B1878" s="7" t="inlineStr">
        <is>
          <t>Malaysia</t>
        </is>
      </c>
      <c r="C1878" s="7" t="inlineStr">
        <is>
          <t>East Asia &amp; Pacific</t>
        </is>
      </c>
      <c r="D1878" s="7" t="inlineStr">
        <is>
          <t>Upper middle income</t>
        </is>
      </c>
      <c r="E1878" s="7" t="b">
        <v>1</v>
      </c>
      <c r="F1878" s="7" t="inlineStr">
        <is>
          <t>rise_renewable_energy_score</t>
        </is>
      </c>
      <c r="G1878" s="7" t="n">
        <v>27.955</v>
      </c>
      <c r="H1878" s="7" t="inlineStr">
        <is>
          <t>2023</t>
        </is>
      </c>
      <c r="I1878" s="7" t="inlineStr">
        <is>
          <t>WB_RISE_WIDEF.csv</t>
        </is>
      </c>
    </row>
    <row r="1879">
      <c r="A1879" s="7" t="inlineStr">
        <is>
          <t>NAM</t>
        </is>
      </c>
      <c r="B1879" s="7" t="inlineStr">
        <is>
          <t>Namibia</t>
        </is>
      </c>
      <c r="C1879" s="7" t="inlineStr">
        <is>
          <t>Sub-Saharan Africa</t>
        </is>
      </c>
      <c r="D1879" s="7" t="inlineStr">
        <is>
          <t>Lower middle income</t>
        </is>
      </c>
      <c r="E1879" s="7" t="b">
        <v>1</v>
      </c>
      <c r="F1879" s="7" t="inlineStr">
        <is>
          <t>coal_rents_pct_gdp</t>
        </is>
      </c>
      <c r="G1879" s="7" t="n">
        <v>0</v>
      </c>
      <c r="H1879" s="7" t="inlineStr">
        <is>
          <t>2021</t>
        </is>
      </c>
      <c r="I1879" s="7" t="inlineStr">
        <is>
          <t>API_NY_GDP_COAL_RT_ZS_DS2_en_csv_v2_35370.zip</t>
        </is>
      </c>
    </row>
    <row r="1880">
      <c r="A1880" s="7" t="inlineStr">
        <is>
          <t>NAM</t>
        </is>
      </c>
      <c r="B1880" s="7" t="inlineStr">
        <is>
          <t>Namibia</t>
        </is>
      </c>
      <c r="C1880" s="7" t="inlineStr">
        <is>
          <t>Sub-Saharan Africa</t>
        </is>
      </c>
      <c r="D1880" s="7" t="inlineStr">
        <is>
          <t>Lower middle income</t>
        </is>
      </c>
      <c r="E1880" s="7" t="b">
        <v>1</v>
      </c>
      <c r="F1880" s="7" t="inlineStr">
        <is>
          <t>em_coal_mt</t>
        </is>
      </c>
      <c r="G1880" s="7" t="n">
        <v>0.034</v>
      </c>
      <c r="H1880" s="7" t="n">
        <v>2024</v>
      </c>
      <c r="I1880" s="7" t="inlineStr">
        <is>
          <t>release_generation_yearly_global.csv (Ember)</t>
        </is>
      </c>
    </row>
    <row r="1881">
      <c r="A1881" s="7" t="inlineStr">
        <is>
          <t>NAM</t>
        </is>
      </c>
      <c r="B1881" s="7" t="inlineStr">
        <is>
          <t>Namibia</t>
        </is>
      </c>
      <c r="C1881" s="7" t="inlineStr">
        <is>
          <t>Sub-Saharan Africa</t>
        </is>
      </c>
      <c r="D1881" s="7" t="inlineStr">
        <is>
          <t>Lower middle income</t>
        </is>
      </c>
      <c r="E1881" s="7" t="b">
        <v>1</v>
      </c>
      <c r="F1881" s="7" t="inlineStr">
        <is>
          <t>em_gas_mt</t>
        </is>
      </c>
      <c r="G1881" s="7" t="n">
        <v>0</v>
      </c>
      <c r="H1881" s="7" t="n">
        <v>2024</v>
      </c>
      <c r="I1881" s="7" t="inlineStr">
        <is>
          <t>release_generation_yearly_global.csv (Ember)</t>
        </is>
      </c>
    </row>
    <row r="1882">
      <c r="A1882" s="7" t="inlineStr">
        <is>
          <t>NAM</t>
        </is>
      </c>
      <c r="B1882" s="7" t="inlineStr">
        <is>
          <t>Namibia</t>
        </is>
      </c>
      <c r="C1882" s="7" t="inlineStr">
        <is>
          <t>Sub-Saharan Africa</t>
        </is>
      </c>
      <c r="D1882" s="7" t="inlineStr">
        <is>
          <t>Lower middle income</t>
        </is>
      </c>
      <c r="E1882" s="7" t="b">
        <v>1</v>
      </c>
      <c r="F1882" s="7" t="inlineStr">
        <is>
          <t>em_oil_mt</t>
        </is>
      </c>
      <c r="G1882" s="7" t="n">
        <v>0</v>
      </c>
      <c r="H1882" s="7" t="n">
        <v>2024</v>
      </c>
      <c r="I1882" s="7" t="inlineStr">
        <is>
          <t>release_generation_yearly_global.csv (Ember)</t>
        </is>
      </c>
    </row>
    <row r="1883">
      <c r="A1883" s="7" t="inlineStr">
        <is>
          <t>NAM</t>
        </is>
      </c>
      <c r="B1883" s="7" t="inlineStr">
        <is>
          <t>Namibia</t>
        </is>
      </c>
      <c r="C1883" s="7" t="inlineStr">
        <is>
          <t>Sub-Saharan Africa</t>
        </is>
      </c>
      <c r="D1883" s="7" t="inlineStr">
        <is>
          <t>Lower middle income</t>
        </is>
      </c>
      <c r="E1883" s="7" t="b">
        <v>1</v>
      </c>
      <c r="F1883" s="7" t="inlineStr">
        <is>
          <t>ff_subsidy_explicit_pct_gdp</t>
        </is>
      </c>
      <c r="G1883" s="7" t="n">
        <v>0.008999999999999999</v>
      </c>
      <c r="H1883" s="7" t="inlineStr">
        <is>
          <t>2024</t>
        </is>
      </c>
      <c r="I1883" s="7" t="inlineStr">
        <is>
          <t>imffossilfuelsubsidiesdata.xlsb</t>
        </is>
      </c>
    </row>
    <row r="1884">
      <c r="A1884" s="7" t="inlineStr">
        <is>
          <t>NAM</t>
        </is>
      </c>
      <c r="B1884" s="7" t="inlineStr">
        <is>
          <t>Namibia</t>
        </is>
      </c>
      <c r="C1884" s="7" t="inlineStr">
        <is>
          <t>Sub-Saharan Africa</t>
        </is>
      </c>
      <c r="D1884" s="7" t="inlineStr">
        <is>
          <t>Lower middle income</t>
        </is>
      </c>
      <c r="E1884" s="7" t="b">
        <v>1</v>
      </c>
      <c r="F1884" s="7" t="inlineStr">
        <is>
          <t>fuel_exports_pct_merch</t>
        </is>
      </c>
      <c r="G1884" s="7" t="n">
        <v>1.283</v>
      </c>
      <c r="H1884" s="7" t="inlineStr">
        <is>
          <t>2024</t>
        </is>
      </c>
      <c r="I1884" s="7" t="inlineStr">
        <is>
          <t>API_TX_VAL_FUEL_ZS_UN_DS2_en_csv_v2_33055.zip</t>
        </is>
      </c>
    </row>
    <row r="1885">
      <c r="A1885" s="7" t="inlineStr">
        <is>
          <t>NAM</t>
        </is>
      </c>
      <c r="B1885" s="7" t="inlineStr">
        <is>
          <t>Namibia</t>
        </is>
      </c>
      <c r="C1885" s="7" t="inlineStr">
        <is>
          <t>Sub-Saharan Africa</t>
        </is>
      </c>
      <c r="D1885" s="7" t="inlineStr">
        <is>
          <t>Lower middle income</t>
        </is>
      </c>
      <c r="E1885" s="7" t="b">
        <v>1</v>
      </c>
      <c r="F1885" s="7" t="inlineStr">
        <is>
          <t>gen_coal_twh</t>
        </is>
      </c>
      <c r="G1885" s="7" t="n">
        <v>0.04</v>
      </c>
      <c r="H1885" s="7" t="n">
        <v>2024</v>
      </c>
      <c r="I1885" s="7" t="inlineStr">
        <is>
          <t>release_generation_yearly_global.csv (Ember)</t>
        </is>
      </c>
    </row>
    <row r="1886">
      <c r="A1886" s="7" t="inlineStr">
        <is>
          <t>NAM</t>
        </is>
      </c>
      <c r="B1886" s="7" t="inlineStr">
        <is>
          <t>Namibia</t>
        </is>
      </c>
      <c r="C1886" s="7" t="inlineStr">
        <is>
          <t>Sub-Saharan Africa</t>
        </is>
      </c>
      <c r="D1886" s="7" t="inlineStr">
        <is>
          <t>Lower middle income</t>
        </is>
      </c>
      <c r="E1886" s="7" t="b">
        <v>1</v>
      </c>
      <c r="F1886" s="7" t="inlineStr">
        <is>
          <t>gen_gas_twh</t>
        </is>
      </c>
      <c r="G1886" s="7" t="n">
        <v>0</v>
      </c>
      <c r="H1886" s="7" t="n">
        <v>2024</v>
      </c>
      <c r="I1886" s="7" t="inlineStr">
        <is>
          <t>release_generation_yearly_global.csv (Ember)</t>
        </is>
      </c>
    </row>
    <row r="1887">
      <c r="A1887" s="7" t="inlineStr">
        <is>
          <t>NAM</t>
        </is>
      </c>
      <c r="B1887" s="7" t="inlineStr">
        <is>
          <t>Namibia</t>
        </is>
      </c>
      <c r="C1887" s="7" t="inlineStr">
        <is>
          <t>Sub-Saharan Africa</t>
        </is>
      </c>
      <c r="D1887" s="7" t="inlineStr">
        <is>
          <t>Lower middle income</t>
        </is>
      </c>
      <c r="E1887" s="7" t="b">
        <v>1</v>
      </c>
      <c r="F1887" s="7" t="inlineStr">
        <is>
          <t>gen_oil_twh</t>
        </is>
      </c>
      <c r="G1887" s="7" t="n">
        <v>0</v>
      </c>
      <c r="H1887" s="7" t="n">
        <v>2024</v>
      </c>
      <c r="I1887" s="7" t="inlineStr">
        <is>
          <t>release_generation_yearly_global.csv (Ember)</t>
        </is>
      </c>
    </row>
    <row r="1888">
      <c r="A1888" s="7" t="inlineStr">
        <is>
          <t>NAM</t>
        </is>
      </c>
      <c r="B1888" s="7" t="inlineStr">
        <is>
          <t>Namibia</t>
        </is>
      </c>
      <c r="C1888" s="7" t="inlineStr">
        <is>
          <t>Sub-Saharan Africa</t>
        </is>
      </c>
      <c r="D1888" s="7" t="inlineStr">
        <is>
          <t>Lower middle income</t>
        </is>
      </c>
      <c r="E1888" s="7" t="b">
        <v>1</v>
      </c>
      <c r="F1888" s="7" t="inlineStr">
        <is>
          <t>gen_total_twh</t>
        </is>
      </c>
      <c r="G1888" s="7" t="n">
        <v>1.64</v>
      </c>
      <c r="H1888" s="7" t="n">
        <v>2024</v>
      </c>
      <c r="I1888" s="7" t="inlineStr">
        <is>
          <t>release_generation_yearly_global.csv (Ember)</t>
        </is>
      </c>
    </row>
    <row r="1889">
      <c r="A1889" s="7" t="inlineStr">
        <is>
          <t>NAM</t>
        </is>
      </c>
      <c r="B1889" s="7" t="inlineStr">
        <is>
          <t>Namibia</t>
        </is>
      </c>
      <c r="C1889" s="7" t="inlineStr">
        <is>
          <t>Sub-Saharan Africa</t>
        </is>
      </c>
      <c r="D1889" s="7" t="inlineStr">
        <is>
          <t>Lower middle income</t>
        </is>
      </c>
      <c r="E1889" s="7" t="b">
        <v>1</v>
      </c>
      <c r="F1889" s="7" t="inlineStr">
        <is>
          <t>power_market_structure</t>
        </is>
      </c>
      <c r="G1889" s="7" t="n">
        <v>1</v>
      </c>
      <c r="H1889" s="7" t="inlineStr">
        <is>
          <t>2013</t>
        </is>
      </c>
      <c r="I1889" s="7" t="inlineStr">
        <is>
          <t>dataverse_files.zip</t>
        </is>
      </c>
    </row>
    <row r="1890">
      <c r="A1890" s="7" t="inlineStr">
        <is>
          <t>NAM</t>
        </is>
      </c>
      <c r="B1890" s="7" t="inlineStr">
        <is>
          <t>Namibia</t>
        </is>
      </c>
      <c r="C1890" s="7" t="inlineStr">
        <is>
          <t>Sub-Saharan Africa</t>
        </is>
      </c>
      <c r="D1890" s="7" t="inlineStr">
        <is>
          <t>Lower middle income</t>
        </is>
      </c>
      <c r="E1890" s="7" t="b">
        <v>1</v>
      </c>
      <c r="F1890" s="7" t="inlineStr">
        <is>
          <t>price_coal_power_usd_gj</t>
        </is>
      </c>
      <c r="G1890" s="7" t="n">
        <v>5.575</v>
      </c>
      <c r="H1890" s="7" t="inlineStr">
        <is>
          <t>2024</t>
        </is>
      </c>
      <c r="I1890" s="7" t="inlineStr">
        <is>
          <t>imffossilfuelsubsidiesdata.xlsb</t>
        </is>
      </c>
    </row>
    <row r="1891">
      <c r="A1891" s="7" t="inlineStr">
        <is>
          <t>NAM</t>
        </is>
      </c>
      <c r="B1891" s="7" t="inlineStr">
        <is>
          <t>Namibia</t>
        </is>
      </c>
      <c r="C1891" s="7" t="inlineStr">
        <is>
          <t>Sub-Saharan Africa</t>
        </is>
      </c>
      <c r="D1891" s="7" t="inlineStr">
        <is>
          <t>Lower middle income</t>
        </is>
      </c>
      <c r="E1891" s="7" t="b">
        <v>1</v>
      </c>
      <c r="F1891" s="7" t="inlineStr">
        <is>
          <t>price_electricity_residential_usd_kwh</t>
        </is>
      </c>
      <c r="G1891" s="7" t="n">
        <v>0.148</v>
      </c>
      <c r="H1891" s="7" t="inlineStr">
        <is>
          <t>2024</t>
        </is>
      </c>
      <c r="I1891" s="7" t="inlineStr">
        <is>
          <t>imffossilfuelsubsidiesdata.xlsb</t>
        </is>
      </c>
    </row>
    <row r="1892">
      <c r="A1892" s="7" t="inlineStr">
        <is>
          <t>NAM</t>
        </is>
      </c>
      <c r="B1892" s="7" t="inlineStr">
        <is>
          <t>Namibia</t>
        </is>
      </c>
      <c r="C1892" s="7" t="inlineStr">
        <is>
          <t>Sub-Saharan Africa</t>
        </is>
      </c>
      <c r="D1892" s="7" t="inlineStr">
        <is>
          <t>Lower middle income</t>
        </is>
      </c>
      <c r="E1892" s="7" t="b">
        <v>1</v>
      </c>
      <c r="F1892" s="7" t="inlineStr">
        <is>
          <t>price_gas_industry_usd_gj</t>
        </is>
      </c>
      <c r="G1892" s="7" t="n">
        <v>12.766</v>
      </c>
      <c r="H1892" s="7" t="inlineStr">
        <is>
          <t>2024</t>
        </is>
      </c>
      <c r="I1892" s="7" t="inlineStr">
        <is>
          <t>imffossilfuelsubsidiesdata.xlsb</t>
        </is>
      </c>
    </row>
    <row r="1893">
      <c r="A1893" s="7" t="inlineStr">
        <is>
          <t>NAM</t>
        </is>
      </c>
      <c r="B1893" s="7" t="inlineStr">
        <is>
          <t>Namibia</t>
        </is>
      </c>
      <c r="C1893" s="7" t="inlineStr">
        <is>
          <t>Sub-Saharan Africa</t>
        </is>
      </c>
      <c r="D1893" s="7" t="inlineStr">
        <is>
          <t>Lower middle income</t>
        </is>
      </c>
      <c r="E1893" s="7" t="b">
        <v>1</v>
      </c>
      <c r="F1893" s="7" t="inlineStr">
        <is>
          <t>price_gas_power_usd_gj</t>
        </is>
      </c>
      <c r="G1893" s="7" t="n">
        <v>11.442</v>
      </c>
      <c r="H1893" s="7" t="inlineStr">
        <is>
          <t>2024</t>
        </is>
      </c>
      <c r="I1893" s="7" t="inlineStr">
        <is>
          <t>imffossilfuelsubsidiesdata.xlsb</t>
        </is>
      </c>
    </row>
    <row r="1894">
      <c r="A1894" s="7" t="inlineStr">
        <is>
          <t>NCL</t>
        </is>
      </c>
      <c r="B1894" s="7" t="inlineStr">
        <is>
          <t>New Caledonia</t>
        </is>
      </c>
      <c r="C1894" s="7" t="inlineStr">
        <is>
          <t>East Asia &amp; Pacific</t>
        </is>
      </c>
      <c r="D1894" s="7" t="inlineStr">
        <is>
          <t>High income</t>
        </is>
      </c>
      <c r="E1894" s="7" t="b">
        <v>0</v>
      </c>
      <c r="F1894" s="7" t="inlineStr">
        <is>
          <t>coal_rents_pct_gdp</t>
        </is>
      </c>
      <c r="G1894" s="7" t="n">
        <v>0</v>
      </c>
      <c r="H1894" s="7" t="inlineStr">
        <is>
          <t>2021</t>
        </is>
      </c>
      <c r="I1894" s="7" t="inlineStr">
        <is>
          <t>API_NY_GDP_COAL_RT_ZS_DS2_en_csv_v2_35370.zip</t>
        </is>
      </c>
    </row>
    <row r="1895">
      <c r="A1895" s="7" t="inlineStr">
        <is>
          <t>NCL</t>
        </is>
      </c>
      <c r="B1895" s="7" t="inlineStr">
        <is>
          <t>New Caledonia</t>
        </is>
      </c>
      <c r="C1895" s="7" t="inlineStr">
        <is>
          <t>East Asia &amp; Pacific</t>
        </is>
      </c>
      <c r="D1895" s="7" t="inlineStr">
        <is>
          <t>High income</t>
        </is>
      </c>
      <c r="E1895" s="7" t="b">
        <v>0</v>
      </c>
      <c r="F1895" s="7" t="inlineStr">
        <is>
          <t>em_coal_mt</t>
        </is>
      </c>
      <c r="G1895" s="7" t="n">
        <v>0.985</v>
      </c>
      <c r="H1895" s="7" t="n">
        <v>2024</v>
      </c>
      <c r="I1895" s="7" t="inlineStr">
        <is>
          <t>release_generation_yearly_global.csv (Ember)</t>
        </is>
      </c>
    </row>
    <row r="1896">
      <c r="A1896" s="7" t="inlineStr">
        <is>
          <t>NCL</t>
        </is>
      </c>
      <c r="B1896" s="7" t="inlineStr">
        <is>
          <t>New Caledonia</t>
        </is>
      </c>
      <c r="C1896" s="7" t="inlineStr">
        <is>
          <t>East Asia &amp; Pacific</t>
        </is>
      </c>
      <c r="D1896" s="7" t="inlineStr">
        <is>
          <t>High income</t>
        </is>
      </c>
      <c r="E1896" s="7" t="b">
        <v>0</v>
      </c>
      <c r="F1896" s="7" t="inlineStr">
        <is>
          <t>em_gas_mt</t>
        </is>
      </c>
      <c r="G1896" s="7" t="n">
        <v>0</v>
      </c>
      <c r="H1896" s="7" t="n">
        <v>2024</v>
      </c>
      <c r="I1896" s="7" t="inlineStr">
        <is>
          <t>release_generation_yearly_global.csv (Ember)</t>
        </is>
      </c>
    </row>
    <row r="1897">
      <c r="A1897" s="7" t="inlineStr">
        <is>
          <t>NCL</t>
        </is>
      </c>
      <c r="B1897" s="7" t="inlineStr">
        <is>
          <t>New Caledonia</t>
        </is>
      </c>
      <c r="C1897" s="7" t="inlineStr">
        <is>
          <t>East Asia &amp; Pacific</t>
        </is>
      </c>
      <c r="D1897" s="7" t="inlineStr">
        <is>
          <t>High income</t>
        </is>
      </c>
      <c r="E1897" s="7" t="b">
        <v>0</v>
      </c>
      <c r="F1897" s="7" t="inlineStr">
        <is>
          <t>em_oil_mt</t>
        </is>
      </c>
      <c r="G1897" s="7" t="n">
        <v>0.75</v>
      </c>
      <c r="H1897" s="7" t="n">
        <v>2024</v>
      </c>
      <c r="I1897" s="7" t="inlineStr">
        <is>
          <t>release_generation_yearly_global.csv (Ember)</t>
        </is>
      </c>
    </row>
    <row r="1898">
      <c r="A1898" s="7" t="inlineStr">
        <is>
          <t>NCL</t>
        </is>
      </c>
      <c r="B1898" s="7" t="inlineStr">
        <is>
          <t>New Caledonia</t>
        </is>
      </c>
      <c r="C1898" s="7" t="inlineStr">
        <is>
          <t>East Asia &amp; Pacific</t>
        </is>
      </c>
      <c r="D1898" s="7" t="inlineStr">
        <is>
          <t>High income</t>
        </is>
      </c>
      <c r="E1898" s="7" t="b">
        <v>0</v>
      </c>
      <c r="F1898" s="7" t="inlineStr">
        <is>
          <t>fuel_exports_pct_merch</t>
        </is>
      </c>
      <c r="G1898" s="7" t="n">
        <v>0.011</v>
      </c>
      <c r="H1898" s="7" t="inlineStr">
        <is>
          <t>2015</t>
        </is>
      </c>
      <c r="I1898" s="7" t="inlineStr">
        <is>
          <t>API_TX_VAL_FUEL_ZS_UN_DS2_en_csv_v2_33055.zip</t>
        </is>
      </c>
    </row>
    <row r="1899">
      <c r="A1899" s="7" t="inlineStr">
        <is>
          <t>NCL</t>
        </is>
      </c>
      <c r="B1899" s="7" t="inlineStr">
        <is>
          <t>New Caledonia</t>
        </is>
      </c>
      <c r="C1899" s="7" t="inlineStr">
        <is>
          <t>East Asia &amp; Pacific</t>
        </is>
      </c>
      <c r="D1899" s="7" t="inlineStr">
        <is>
          <t>High income</t>
        </is>
      </c>
      <c r="E1899" s="7" t="b">
        <v>0</v>
      </c>
      <c r="F1899" s="7" t="inlineStr">
        <is>
          <t>gen_coal_twh</t>
        </is>
      </c>
      <c r="G1899" s="7" t="n">
        <v>1.14</v>
      </c>
      <c r="H1899" s="7" t="n">
        <v>2024</v>
      </c>
      <c r="I1899" s="7" t="inlineStr">
        <is>
          <t>release_generation_yearly_global.csv (Ember)</t>
        </is>
      </c>
    </row>
    <row r="1900">
      <c r="A1900" s="7" t="inlineStr">
        <is>
          <t>NCL</t>
        </is>
      </c>
      <c r="B1900" s="7" t="inlineStr">
        <is>
          <t>New Caledonia</t>
        </is>
      </c>
      <c r="C1900" s="7" t="inlineStr">
        <is>
          <t>East Asia &amp; Pacific</t>
        </is>
      </c>
      <c r="D1900" s="7" t="inlineStr">
        <is>
          <t>High income</t>
        </is>
      </c>
      <c r="E1900" s="7" t="b">
        <v>0</v>
      </c>
      <c r="F1900" s="7" t="inlineStr">
        <is>
          <t>gen_gas_twh</t>
        </is>
      </c>
      <c r="G1900" s="7" t="n">
        <v>0</v>
      </c>
      <c r="H1900" s="7" t="n">
        <v>2024</v>
      </c>
      <c r="I1900" s="7" t="inlineStr">
        <is>
          <t>release_generation_yearly_global.csv (Ember)</t>
        </is>
      </c>
    </row>
    <row r="1901">
      <c r="A1901" s="7" t="inlineStr">
        <is>
          <t>NCL</t>
        </is>
      </c>
      <c r="B1901" s="7" t="inlineStr">
        <is>
          <t>New Caledonia</t>
        </is>
      </c>
      <c r="C1901" s="7" t="inlineStr">
        <is>
          <t>East Asia &amp; Pacific</t>
        </is>
      </c>
      <c r="D1901" s="7" t="inlineStr">
        <is>
          <t>High income</t>
        </is>
      </c>
      <c r="E1901" s="7" t="b">
        <v>0</v>
      </c>
      <c r="F1901" s="7" t="inlineStr">
        <is>
          <t>gen_oil_twh</t>
        </is>
      </c>
      <c r="G1901" s="7" t="n">
        <v>1.14</v>
      </c>
      <c r="H1901" s="7" t="n">
        <v>2024</v>
      </c>
      <c r="I1901" s="7" t="inlineStr">
        <is>
          <t>release_generation_yearly_global.csv (Ember)</t>
        </is>
      </c>
    </row>
    <row r="1902">
      <c r="A1902" s="7" t="inlineStr">
        <is>
          <t>NCL</t>
        </is>
      </c>
      <c r="B1902" s="7" t="inlineStr">
        <is>
          <t>New Caledonia</t>
        </is>
      </c>
      <c r="C1902" s="7" t="inlineStr">
        <is>
          <t>East Asia &amp; Pacific</t>
        </is>
      </c>
      <c r="D1902" s="7" t="inlineStr">
        <is>
          <t>High income</t>
        </is>
      </c>
      <c r="E1902" s="7" t="b">
        <v>0</v>
      </c>
      <c r="F1902" s="7" t="inlineStr">
        <is>
          <t>gen_total_twh</t>
        </is>
      </c>
      <c r="G1902" s="7" t="n">
        <v>3.12</v>
      </c>
      <c r="H1902" s="7" t="n">
        <v>2024</v>
      </c>
      <c r="I1902" s="7" t="inlineStr">
        <is>
          <t>release_generation_yearly_global.csv (Ember)</t>
        </is>
      </c>
    </row>
    <row r="1903">
      <c r="A1903" s="7" t="inlineStr">
        <is>
          <t>NER</t>
        </is>
      </c>
      <c r="B1903" s="7" t="inlineStr">
        <is>
          <t>Niger</t>
        </is>
      </c>
      <c r="C1903" s="7" t="inlineStr">
        <is>
          <t>Sub-Saharan Africa</t>
        </is>
      </c>
      <c r="D1903" s="7" t="inlineStr">
        <is>
          <t>Low income</t>
        </is>
      </c>
      <c r="E1903" s="7" t="b">
        <v>1</v>
      </c>
      <c r="F1903" s="7" t="inlineStr">
        <is>
          <t>coal_rents_pct_gdp</t>
        </is>
      </c>
      <c r="G1903" s="7" t="n">
        <v>0.037</v>
      </c>
      <c r="H1903" s="7" t="inlineStr">
        <is>
          <t>2021</t>
        </is>
      </c>
      <c r="I1903" s="7" t="inlineStr">
        <is>
          <t>API_NY_GDP_COAL_RT_ZS_DS2_en_csv_v2_35370.zip</t>
        </is>
      </c>
    </row>
    <row r="1904">
      <c r="A1904" s="7" t="inlineStr">
        <is>
          <t>NER</t>
        </is>
      </c>
      <c r="B1904" s="7" t="inlineStr">
        <is>
          <t>Niger</t>
        </is>
      </c>
      <c r="C1904" s="7" t="inlineStr">
        <is>
          <t>Sub-Saharan Africa</t>
        </is>
      </c>
      <c r="D1904" s="7" t="inlineStr">
        <is>
          <t>Low income</t>
        </is>
      </c>
      <c r="E1904" s="7" t="b">
        <v>1</v>
      </c>
      <c r="F1904" s="7" t="inlineStr">
        <is>
          <t>em_coal_mt</t>
        </is>
      </c>
      <c r="G1904" s="7" t="n">
        <v>0.146</v>
      </c>
      <c r="H1904" s="7" t="n">
        <v>2024</v>
      </c>
      <c r="I1904" s="7" t="inlineStr">
        <is>
          <t>release_generation_yearly_global.csv (Ember)</t>
        </is>
      </c>
    </row>
    <row r="1905">
      <c r="A1905" s="7" t="inlineStr">
        <is>
          <t>NER</t>
        </is>
      </c>
      <c r="B1905" s="7" t="inlineStr">
        <is>
          <t>Niger</t>
        </is>
      </c>
      <c r="C1905" s="7" t="inlineStr">
        <is>
          <t>Sub-Saharan Africa</t>
        </is>
      </c>
      <c r="D1905" s="7" t="inlineStr">
        <is>
          <t>Low income</t>
        </is>
      </c>
      <c r="E1905" s="7" t="b">
        <v>1</v>
      </c>
      <c r="F1905" s="7" t="inlineStr">
        <is>
          <t>em_gas_mt</t>
        </is>
      </c>
      <c r="G1905" s="7" t="n">
        <v>0.029</v>
      </c>
      <c r="H1905" s="7" t="n">
        <v>2024</v>
      </c>
      <c r="I1905" s="7" t="inlineStr">
        <is>
          <t>release_generation_yearly_global.csv (Ember)</t>
        </is>
      </c>
    </row>
    <row r="1906">
      <c r="A1906" s="7" t="inlineStr">
        <is>
          <t>NER</t>
        </is>
      </c>
      <c r="B1906" s="7" t="inlineStr">
        <is>
          <t>Niger</t>
        </is>
      </c>
      <c r="C1906" s="7" t="inlineStr">
        <is>
          <t>Sub-Saharan Africa</t>
        </is>
      </c>
      <c r="D1906" s="7" t="inlineStr">
        <is>
          <t>Low income</t>
        </is>
      </c>
      <c r="E1906" s="7" t="b">
        <v>1</v>
      </c>
      <c r="F1906" s="7" t="inlineStr">
        <is>
          <t>em_oil_mt</t>
        </is>
      </c>
      <c r="G1906" s="7" t="n">
        <v>0.461</v>
      </c>
      <c r="H1906" s="7" t="n">
        <v>2024</v>
      </c>
      <c r="I1906" s="7" t="inlineStr">
        <is>
          <t>release_generation_yearly_global.csv (Ember)</t>
        </is>
      </c>
    </row>
    <row r="1907">
      <c r="A1907" s="7" t="inlineStr">
        <is>
          <t>NER</t>
        </is>
      </c>
      <c r="B1907" s="7" t="inlineStr">
        <is>
          <t>Niger</t>
        </is>
      </c>
      <c r="C1907" s="7" t="inlineStr">
        <is>
          <t>Sub-Saharan Africa</t>
        </is>
      </c>
      <c r="D1907" s="7" t="inlineStr">
        <is>
          <t>Low income</t>
        </is>
      </c>
      <c r="E1907" s="7" t="b">
        <v>1</v>
      </c>
      <c r="F1907" s="7" t="inlineStr">
        <is>
          <t>ff_subsidy_explicit_pct_gdp</t>
        </is>
      </c>
      <c r="G1907" s="7" t="n">
        <v>0.869</v>
      </c>
      <c r="H1907" s="7" t="inlineStr">
        <is>
          <t>2024</t>
        </is>
      </c>
      <c r="I1907" s="7" t="inlineStr">
        <is>
          <t>imffossilfuelsubsidiesdata.xlsb</t>
        </is>
      </c>
    </row>
    <row r="1908">
      <c r="A1908" s="7" t="inlineStr">
        <is>
          <t>NER</t>
        </is>
      </c>
      <c r="B1908" s="7" t="inlineStr">
        <is>
          <t>Niger</t>
        </is>
      </c>
      <c r="C1908" s="7" t="inlineStr">
        <is>
          <t>Sub-Saharan Africa</t>
        </is>
      </c>
      <c r="D1908" s="7" t="inlineStr">
        <is>
          <t>Low income</t>
        </is>
      </c>
      <c r="E1908" s="7" t="b">
        <v>1</v>
      </c>
      <c r="F1908" s="7" t="inlineStr">
        <is>
          <t>fuel_exports_pct_merch</t>
        </is>
      </c>
      <c r="G1908" s="7" t="n">
        <v>87.99299999999999</v>
      </c>
      <c r="H1908" s="7" t="inlineStr">
        <is>
          <t>2024</t>
        </is>
      </c>
      <c r="I1908" s="7" t="inlineStr">
        <is>
          <t>API_TX_VAL_FUEL_ZS_UN_DS2_en_csv_v2_33055.zip</t>
        </is>
      </c>
    </row>
    <row r="1909">
      <c r="A1909" s="7" t="inlineStr">
        <is>
          <t>NER</t>
        </is>
      </c>
      <c r="B1909" s="7" t="inlineStr">
        <is>
          <t>Niger</t>
        </is>
      </c>
      <c r="C1909" s="7" t="inlineStr">
        <is>
          <t>Sub-Saharan Africa</t>
        </is>
      </c>
      <c r="D1909" s="7" t="inlineStr">
        <is>
          <t>Low income</t>
        </is>
      </c>
      <c r="E1909" s="7" t="b">
        <v>1</v>
      </c>
      <c r="F1909" s="7" t="inlineStr">
        <is>
          <t>gen_coal_twh</t>
        </is>
      </c>
      <c r="G1909" s="7" t="n">
        <v>0.17</v>
      </c>
      <c r="H1909" s="7" t="n">
        <v>2024</v>
      </c>
      <c r="I1909" s="7" t="inlineStr">
        <is>
          <t>release_generation_yearly_global.csv (Ember)</t>
        </is>
      </c>
    </row>
    <row r="1910">
      <c r="A1910" s="7" t="inlineStr">
        <is>
          <t>NER</t>
        </is>
      </c>
      <c r="B1910" s="7" t="inlineStr">
        <is>
          <t>Niger</t>
        </is>
      </c>
      <c r="C1910" s="7" t="inlineStr">
        <is>
          <t>Sub-Saharan Africa</t>
        </is>
      </c>
      <c r="D1910" s="7" t="inlineStr">
        <is>
          <t>Low income</t>
        </is>
      </c>
      <c r="E1910" s="7" t="b">
        <v>1</v>
      </c>
      <c r="F1910" s="7" t="inlineStr">
        <is>
          <t>gen_gas_twh</t>
        </is>
      </c>
      <c r="G1910" s="7" t="n">
        <v>0.05</v>
      </c>
      <c r="H1910" s="7" t="n">
        <v>2024</v>
      </c>
      <c r="I1910" s="7" t="inlineStr">
        <is>
          <t>release_generation_yearly_global.csv (Ember)</t>
        </is>
      </c>
    </row>
    <row r="1911">
      <c r="A1911" s="7" t="inlineStr">
        <is>
          <t>NER</t>
        </is>
      </c>
      <c r="B1911" s="7" t="inlineStr">
        <is>
          <t>Niger</t>
        </is>
      </c>
      <c r="C1911" s="7" t="inlineStr">
        <is>
          <t>Sub-Saharan Africa</t>
        </is>
      </c>
      <c r="D1911" s="7" t="inlineStr">
        <is>
          <t>Low income</t>
        </is>
      </c>
      <c r="E1911" s="7" t="b">
        <v>1</v>
      </c>
      <c r="F1911" s="7" t="inlineStr">
        <is>
          <t>gen_oil_twh</t>
        </is>
      </c>
      <c r="G1911" s="7" t="n">
        <v>0.7</v>
      </c>
      <c r="H1911" s="7" t="n">
        <v>2024</v>
      </c>
      <c r="I1911" s="7" t="inlineStr">
        <is>
          <t>release_generation_yearly_global.csv (Ember)</t>
        </is>
      </c>
    </row>
    <row r="1912">
      <c r="A1912" s="7" t="inlineStr">
        <is>
          <t>NER</t>
        </is>
      </c>
      <c r="B1912" s="7" t="inlineStr">
        <is>
          <t>Niger</t>
        </is>
      </c>
      <c r="C1912" s="7" t="inlineStr">
        <is>
          <t>Sub-Saharan Africa</t>
        </is>
      </c>
      <c r="D1912" s="7" t="inlineStr">
        <is>
          <t>Low income</t>
        </is>
      </c>
      <c r="E1912" s="7" t="b">
        <v>1</v>
      </c>
      <c r="F1912" s="7" t="inlineStr">
        <is>
          <t>gen_total_twh</t>
        </is>
      </c>
      <c r="G1912" s="7" t="n">
        <v>0.95</v>
      </c>
      <c r="H1912" s="7" t="n">
        <v>2024</v>
      </c>
      <c r="I1912" s="7" t="inlineStr">
        <is>
          <t>release_generation_yearly_global.csv (Ember)</t>
        </is>
      </c>
    </row>
    <row r="1913">
      <c r="A1913" s="7" t="inlineStr">
        <is>
          <t>NER</t>
        </is>
      </c>
      <c r="B1913" s="7" t="inlineStr">
        <is>
          <t>Niger</t>
        </is>
      </c>
      <c r="C1913" s="7" t="inlineStr">
        <is>
          <t>Sub-Saharan Africa</t>
        </is>
      </c>
      <c r="D1913" s="7" t="inlineStr">
        <is>
          <t>Low income</t>
        </is>
      </c>
      <c r="E1913" s="7" t="b">
        <v>1</v>
      </c>
      <c r="F1913" s="7" t="inlineStr">
        <is>
          <t>power_market_structure</t>
        </is>
      </c>
      <c r="G1913" s="7" t="n">
        <v>2</v>
      </c>
      <c r="H1913" s="7" t="inlineStr">
        <is>
          <t>2013</t>
        </is>
      </c>
      <c r="I1913" s="7" t="inlineStr">
        <is>
          <t>dataverse_files.zip</t>
        </is>
      </c>
    </row>
    <row r="1914">
      <c r="A1914" s="7" t="inlineStr">
        <is>
          <t>NER</t>
        </is>
      </c>
      <c r="B1914" s="7" t="inlineStr">
        <is>
          <t>Niger</t>
        </is>
      </c>
      <c r="C1914" s="7" t="inlineStr">
        <is>
          <t>Sub-Saharan Africa</t>
        </is>
      </c>
      <c r="D1914" s="7" t="inlineStr">
        <is>
          <t>Low income</t>
        </is>
      </c>
      <c r="E1914" s="7" t="b">
        <v>1</v>
      </c>
      <c r="F1914" s="7" t="inlineStr">
        <is>
          <t>price_coal_power_usd_gj</t>
        </is>
      </c>
      <c r="G1914" s="7" t="n">
        <v>2.049</v>
      </c>
      <c r="H1914" s="7" t="inlineStr">
        <is>
          <t>2024</t>
        </is>
      </c>
      <c r="I1914" s="7" t="inlineStr">
        <is>
          <t>imffossilfuelsubsidiesdata.xlsb</t>
        </is>
      </c>
    </row>
    <row r="1915">
      <c r="A1915" s="7" t="inlineStr">
        <is>
          <t>NER</t>
        </is>
      </c>
      <c r="B1915" s="7" t="inlineStr">
        <is>
          <t>Niger</t>
        </is>
      </c>
      <c r="C1915" s="7" t="inlineStr">
        <is>
          <t>Sub-Saharan Africa</t>
        </is>
      </c>
      <c r="D1915" s="7" t="inlineStr">
        <is>
          <t>Low income</t>
        </is>
      </c>
      <c r="E1915" s="7" t="b">
        <v>1</v>
      </c>
      <c r="F1915" s="7" t="inlineStr">
        <is>
          <t>price_electricity_residential_usd_kwh</t>
        </is>
      </c>
      <c r="G1915" s="7" t="n">
        <v>0.146</v>
      </c>
      <c r="H1915" s="7" t="inlineStr">
        <is>
          <t>2024</t>
        </is>
      </c>
      <c r="I1915" s="7" t="inlineStr">
        <is>
          <t>imffossilfuelsubsidiesdata.xlsb</t>
        </is>
      </c>
    </row>
    <row r="1916">
      <c r="A1916" s="7" t="inlineStr">
        <is>
          <t>NER</t>
        </is>
      </c>
      <c r="B1916" s="7" t="inlineStr">
        <is>
          <t>Niger</t>
        </is>
      </c>
      <c r="C1916" s="7" t="inlineStr">
        <is>
          <t>Sub-Saharan Africa</t>
        </is>
      </c>
      <c r="D1916" s="7" t="inlineStr">
        <is>
          <t>Low income</t>
        </is>
      </c>
      <c r="E1916" s="7" t="b">
        <v>1</v>
      </c>
      <c r="F1916" s="7" t="inlineStr">
        <is>
          <t>price_gas_industry_usd_gj</t>
        </is>
      </c>
      <c r="G1916" s="7" t="n">
        <v>6.853</v>
      </c>
      <c r="H1916" s="7" t="inlineStr">
        <is>
          <t>2024</t>
        </is>
      </c>
      <c r="I1916" s="7" t="inlineStr">
        <is>
          <t>imffossilfuelsubsidiesdata.xlsb</t>
        </is>
      </c>
    </row>
    <row r="1917">
      <c r="A1917" s="7" t="inlineStr">
        <is>
          <t>NER</t>
        </is>
      </c>
      <c r="B1917" s="7" t="inlineStr">
        <is>
          <t>Niger</t>
        </is>
      </c>
      <c r="C1917" s="7" t="inlineStr">
        <is>
          <t>Sub-Saharan Africa</t>
        </is>
      </c>
      <c r="D1917" s="7" t="inlineStr">
        <is>
          <t>Low income</t>
        </is>
      </c>
      <c r="E1917" s="7" t="b">
        <v>1</v>
      </c>
      <c r="F1917" s="7" t="inlineStr">
        <is>
          <t>price_gas_power_usd_gj</t>
        </is>
      </c>
      <c r="G1917" s="7" t="n">
        <v>6.191</v>
      </c>
      <c r="H1917" s="7" t="inlineStr">
        <is>
          <t>2024</t>
        </is>
      </c>
      <c r="I1917" s="7" t="inlineStr">
        <is>
          <t>imffossilfuelsubsidiesdata.xlsb</t>
        </is>
      </c>
    </row>
    <row r="1918">
      <c r="A1918" s="7" t="inlineStr">
        <is>
          <t>NER</t>
        </is>
      </c>
      <c r="B1918" s="7" t="inlineStr">
        <is>
          <t>Niger</t>
        </is>
      </c>
      <c r="C1918" s="7" t="inlineStr">
        <is>
          <t>Sub-Saharan Africa</t>
        </is>
      </c>
      <c r="D1918" s="7" t="inlineStr">
        <is>
          <t>Low income</t>
        </is>
      </c>
      <c r="E1918" s="7" t="b">
        <v>1</v>
      </c>
      <c r="F1918" s="7" t="inlineStr">
        <is>
          <t>rise_renewable_energy_score</t>
        </is>
      </c>
      <c r="G1918" s="7" t="n">
        <v>16.426</v>
      </c>
      <c r="H1918" s="7" t="inlineStr">
        <is>
          <t>2023</t>
        </is>
      </c>
      <c r="I1918" s="7" t="inlineStr">
        <is>
          <t>WB_RISE_WIDEF.csv</t>
        </is>
      </c>
    </row>
    <row r="1919">
      <c r="A1919" s="7" t="inlineStr">
        <is>
          <t>NGA</t>
        </is>
      </c>
      <c r="B1919" s="7" t="inlineStr">
        <is>
          <t>Nigeria</t>
        </is>
      </c>
      <c r="C1919" s="7" t="inlineStr">
        <is>
          <t>Sub-Saharan Africa</t>
        </is>
      </c>
      <c r="D1919" s="7" t="inlineStr">
        <is>
          <t>Lower middle income</t>
        </is>
      </c>
      <c r="E1919" s="7" t="b">
        <v>0</v>
      </c>
      <c r="F1919" s="7" t="inlineStr">
        <is>
          <t>coal_rents_pct_gdp</t>
        </is>
      </c>
      <c r="G1919" s="7" t="n">
        <v>0</v>
      </c>
      <c r="H1919" s="7" t="inlineStr">
        <is>
          <t>2021</t>
        </is>
      </c>
      <c r="I1919" s="7" t="inlineStr">
        <is>
          <t>API_NY_GDP_COAL_RT_ZS_DS2_en_csv_v2_35370.zip</t>
        </is>
      </c>
    </row>
    <row r="1920">
      <c r="A1920" s="7" t="inlineStr">
        <is>
          <t>NGA</t>
        </is>
      </c>
      <c r="B1920" s="7" t="inlineStr">
        <is>
          <t>Nigeria</t>
        </is>
      </c>
      <c r="C1920" s="7" t="inlineStr">
        <is>
          <t>Sub-Saharan Africa</t>
        </is>
      </c>
      <c r="D1920" s="7" t="inlineStr">
        <is>
          <t>Lower middle income</t>
        </is>
      </c>
      <c r="E1920" s="7" t="b">
        <v>0</v>
      </c>
      <c r="F1920" s="7" t="inlineStr">
        <is>
          <t>em_coal_mt</t>
        </is>
      </c>
      <c r="G1920" s="7" t="n">
        <v>0</v>
      </c>
      <c r="H1920" s="7" t="n">
        <v>2024</v>
      </c>
      <c r="I1920" s="7" t="inlineStr">
        <is>
          <t>release_generation_yearly_global.csv (Ember)</t>
        </is>
      </c>
    </row>
    <row r="1921">
      <c r="A1921" s="7" t="inlineStr">
        <is>
          <t>NGA</t>
        </is>
      </c>
      <c r="B1921" s="7" t="inlineStr">
        <is>
          <t>Nigeria</t>
        </is>
      </c>
      <c r="C1921" s="7" t="inlineStr">
        <is>
          <t>Sub-Saharan Africa</t>
        </is>
      </c>
      <c r="D1921" s="7" t="inlineStr">
        <is>
          <t>Lower middle income</t>
        </is>
      </c>
      <c r="E1921" s="7" t="b">
        <v>0</v>
      </c>
      <c r="F1921" s="7" t="inlineStr">
        <is>
          <t>em_gas_mt</t>
        </is>
      </c>
      <c r="G1921" s="7" t="n">
        <v>18.378</v>
      </c>
      <c r="H1921" s="7" t="n">
        <v>2024</v>
      </c>
      <c r="I1921" s="7" t="inlineStr">
        <is>
          <t>release_generation_yearly_global.csv (Ember)</t>
        </is>
      </c>
    </row>
    <row r="1922">
      <c r="A1922" s="7" t="inlineStr">
        <is>
          <t>NGA</t>
        </is>
      </c>
      <c r="B1922" s="7" t="inlineStr">
        <is>
          <t>Nigeria</t>
        </is>
      </c>
      <c r="C1922" s="7" t="inlineStr">
        <is>
          <t>Sub-Saharan Africa</t>
        </is>
      </c>
      <c r="D1922" s="7" t="inlineStr">
        <is>
          <t>Lower middle income</t>
        </is>
      </c>
      <c r="E1922" s="7" t="b">
        <v>0</v>
      </c>
      <c r="F1922" s="7" t="inlineStr">
        <is>
          <t>em_oil_mt</t>
        </is>
      </c>
      <c r="G1922" s="7" t="n">
        <v>0</v>
      </c>
      <c r="H1922" s="7" t="n">
        <v>2024</v>
      </c>
      <c r="I1922" s="7" t="inlineStr">
        <is>
          <t>release_generation_yearly_global.csv (Ember)</t>
        </is>
      </c>
    </row>
    <row r="1923">
      <c r="A1923" s="7" t="inlineStr">
        <is>
          <t>NGA</t>
        </is>
      </c>
      <c r="B1923" s="7" t="inlineStr">
        <is>
          <t>Nigeria</t>
        </is>
      </c>
      <c r="C1923" s="7" t="inlineStr">
        <is>
          <t>Sub-Saharan Africa</t>
        </is>
      </c>
      <c r="D1923" s="7" t="inlineStr">
        <is>
          <t>Lower middle income</t>
        </is>
      </c>
      <c r="E1923" s="7" t="b">
        <v>0</v>
      </c>
      <c r="F1923" s="7" t="inlineStr">
        <is>
          <t>ff_subsidy_explicit_pct_gdp</t>
        </is>
      </c>
      <c r="G1923" s="7" t="n">
        <v>2.834</v>
      </c>
      <c r="H1923" s="7" t="inlineStr">
        <is>
          <t>2024</t>
        </is>
      </c>
      <c r="I1923" s="7" t="inlineStr">
        <is>
          <t>imffossilfuelsubsidiesdata.xlsb</t>
        </is>
      </c>
    </row>
    <row r="1924">
      <c r="A1924" s="7" t="inlineStr">
        <is>
          <t>NGA</t>
        </is>
      </c>
      <c r="B1924" s="7" t="inlineStr">
        <is>
          <t>Nigeria</t>
        </is>
      </c>
      <c r="C1924" s="7" t="inlineStr">
        <is>
          <t>Sub-Saharan Africa</t>
        </is>
      </c>
      <c r="D1924" s="7" t="inlineStr">
        <is>
          <t>Lower middle income</t>
        </is>
      </c>
      <c r="E1924" s="7" t="b">
        <v>0</v>
      </c>
      <c r="F1924" s="7" t="inlineStr">
        <is>
          <t>fuel_exports_pct_merch</t>
        </is>
      </c>
      <c r="G1924" s="7" t="n">
        <v>88.61499999999999</v>
      </c>
      <c r="H1924" s="7" t="inlineStr">
        <is>
          <t>2024</t>
        </is>
      </c>
      <c r="I1924" s="7" t="inlineStr">
        <is>
          <t>API_TX_VAL_FUEL_ZS_UN_DS2_en_csv_v2_33055.zip</t>
        </is>
      </c>
    </row>
    <row r="1925">
      <c r="A1925" s="7" t="inlineStr">
        <is>
          <t>NGA</t>
        </is>
      </c>
      <c r="B1925" s="7" t="inlineStr">
        <is>
          <t>Nigeria</t>
        </is>
      </c>
      <c r="C1925" s="7" t="inlineStr">
        <is>
          <t>Sub-Saharan Africa</t>
        </is>
      </c>
      <c r="D1925" s="7" t="inlineStr">
        <is>
          <t>Lower middle income</t>
        </is>
      </c>
      <c r="E1925" s="7" t="b">
        <v>0</v>
      </c>
      <c r="F1925" s="7" t="inlineStr">
        <is>
          <t>gen_coal_twh</t>
        </is>
      </c>
      <c r="G1925" s="7" t="n">
        <v>0</v>
      </c>
      <c r="H1925" s="7" t="n">
        <v>2024</v>
      </c>
      <c r="I1925" s="7" t="inlineStr">
        <is>
          <t>release_generation_yearly_global.csv (Ember)</t>
        </is>
      </c>
    </row>
    <row r="1926">
      <c r="A1926" s="7" t="inlineStr">
        <is>
          <t>NGA</t>
        </is>
      </c>
      <c r="B1926" s="7" t="inlineStr">
        <is>
          <t>Nigeria</t>
        </is>
      </c>
      <c r="C1926" s="7" t="inlineStr">
        <is>
          <t>Sub-Saharan Africa</t>
        </is>
      </c>
      <c r="D1926" s="7" t="inlineStr">
        <is>
          <t>Lower middle income</t>
        </is>
      </c>
      <c r="E1926" s="7" t="b">
        <v>0</v>
      </c>
      <c r="F1926" s="7" t="inlineStr">
        <is>
          <t>gen_gas_twh</t>
        </is>
      </c>
      <c r="G1926" s="7" t="n">
        <v>28.17</v>
      </c>
      <c r="H1926" s="7" t="n">
        <v>2024</v>
      </c>
      <c r="I1926" s="7" t="inlineStr">
        <is>
          <t>release_generation_yearly_global.csv (Ember)</t>
        </is>
      </c>
    </row>
    <row r="1927">
      <c r="A1927" s="7" t="inlineStr">
        <is>
          <t>NGA</t>
        </is>
      </c>
      <c r="B1927" s="7" t="inlineStr">
        <is>
          <t>Nigeria</t>
        </is>
      </c>
      <c r="C1927" s="7" t="inlineStr">
        <is>
          <t>Sub-Saharan Africa</t>
        </is>
      </c>
      <c r="D1927" s="7" t="inlineStr">
        <is>
          <t>Lower middle income</t>
        </is>
      </c>
      <c r="E1927" s="7" t="b">
        <v>0</v>
      </c>
      <c r="F1927" s="7" t="inlineStr">
        <is>
          <t>gen_oil_twh</t>
        </is>
      </c>
      <c r="G1927" s="7" t="n">
        <v>0</v>
      </c>
      <c r="H1927" s="7" t="n">
        <v>2024</v>
      </c>
      <c r="I1927" s="7" t="inlineStr">
        <is>
          <t>release_generation_yearly_global.csv (Ember)</t>
        </is>
      </c>
    </row>
    <row r="1928">
      <c r="A1928" s="7" t="inlineStr">
        <is>
          <t>NGA</t>
        </is>
      </c>
      <c r="B1928" s="7" t="inlineStr">
        <is>
          <t>Nigeria</t>
        </is>
      </c>
      <c r="C1928" s="7" t="inlineStr">
        <is>
          <t>Sub-Saharan Africa</t>
        </is>
      </c>
      <c r="D1928" s="7" t="inlineStr">
        <is>
          <t>Lower middle income</t>
        </is>
      </c>
      <c r="E1928" s="7" t="b">
        <v>0</v>
      </c>
      <c r="F1928" s="7" t="inlineStr">
        <is>
          <t>gen_total_twh</t>
        </is>
      </c>
      <c r="G1928" s="7" t="n">
        <v>37.56</v>
      </c>
      <c r="H1928" s="7" t="n">
        <v>2024</v>
      </c>
      <c r="I1928" s="7" t="inlineStr">
        <is>
          <t>release_generation_yearly_global.csv (Ember)</t>
        </is>
      </c>
    </row>
    <row r="1929">
      <c r="A1929" s="7" t="inlineStr">
        <is>
          <t>NGA</t>
        </is>
      </c>
      <c r="B1929" s="7" t="inlineStr">
        <is>
          <t>Nigeria</t>
        </is>
      </c>
      <c r="C1929" s="7" t="inlineStr">
        <is>
          <t>Sub-Saharan Africa</t>
        </is>
      </c>
      <c r="D1929" s="7" t="inlineStr">
        <is>
          <t>Lower middle income</t>
        </is>
      </c>
      <c r="E1929" s="7" t="b">
        <v>0</v>
      </c>
      <c r="F1929" s="7" t="inlineStr">
        <is>
          <t>power_market_structure</t>
        </is>
      </c>
      <c r="G1929" s="7" t="n">
        <v>3</v>
      </c>
      <c r="H1929" s="7" t="inlineStr">
        <is>
          <t>2013</t>
        </is>
      </c>
      <c r="I1929" s="7" t="inlineStr">
        <is>
          <t>dataverse_files.zip</t>
        </is>
      </c>
    </row>
    <row r="1930">
      <c r="A1930" s="7" t="inlineStr">
        <is>
          <t>NGA</t>
        </is>
      </c>
      <c r="B1930" s="7" t="inlineStr">
        <is>
          <t>Nigeria</t>
        </is>
      </c>
      <c r="C1930" s="7" t="inlineStr">
        <is>
          <t>Sub-Saharan Africa</t>
        </is>
      </c>
      <c r="D1930" s="7" t="inlineStr">
        <is>
          <t>Lower middle income</t>
        </is>
      </c>
      <c r="E1930" s="7" t="b">
        <v>0</v>
      </c>
      <c r="F1930" s="7" t="inlineStr">
        <is>
          <t>price_coal_power_usd_gj</t>
        </is>
      </c>
      <c r="G1930" s="7" t="n">
        <v>2.049</v>
      </c>
      <c r="H1930" s="7" t="inlineStr">
        <is>
          <t>2024</t>
        </is>
      </c>
      <c r="I1930" s="7" t="inlineStr">
        <is>
          <t>imffossilfuelsubsidiesdata.xlsb</t>
        </is>
      </c>
    </row>
    <row r="1931">
      <c r="A1931" s="7" t="inlineStr">
        <is>
          <t>NGA</t>
        </is>
      </c>
      <c r="B1931" s="7" t="inlineStr">
        <is>
          <t>Nigeria</t>
        </is>
      </c>
      <c r="C1931" s="7" t="inlineStr">
        <is>
          <t>Sub-Saharan Africa</t>
        </is>
      </c>
      <c r="D1931" s="7" t="inlineStr">
        <is>
          <t>Lower middle income</t>
        </is>
      </c>
      <c r="E1931" s="7" t="b">
        <v>0</v>
      </c>
      <c r="F1931" s="7" t="inlineStr">
        <is>
          <t>price_electricity_residential_usd_kwh</t>
        </is>
      </c>
      <c r="G1931" s="7" t="n">
        <v>0.07000000000000001</v>
      </c>
      <c r="H1931" s="7" t="inlineStr">
        <is>
          <t>2024</t>
        </is>
      </c>
      <c r="I1931" s="7" t="inlineStr">
        <is>
          <t>imffossilfuelsubsidiesdata.xlsb</t>
        </is>
      </c>
    </row>
    <row r="1932">
      <c r="A1932" s="7" t="inlineStr">
        <is>
          <t>NGA</t>
        </is>
      </c>
      <c r="B1932" s="7" t="inlineStr">
        <is>
          <t>Nigeria</t>
        </is>
      </c>
      <c r="C1932" s="7" t="inlineStr">
        <is>
          <t>Sub-Saharan Africa</t>
        </is>
      </c>
      <c r="D1932" s="7" t="inlineStr">
        <is>
          <t>Lower middle income</t>
        </is>
      </c>
      <c r="E1932" s="7" t="b">
        <v>0</v>
      </c>
      <c r="F1932" s="7" t="inlineStr">
        <is>
          <t>price_gas_industry_usd_gj</t>
        </is>
      </c>
      <c r="G1932" s="7" t="n">
        <v>5.007</v>
      </c>
      <c r="H1932" s="7" t="inlineStr">
        <is>
          <t>2024</t>
        </is>
      </c>
      <c r="I1932" s="7" t="inlineStr">
        <is>
          <t>imffossilfuelsubsidiesdata.xlsb</t>
        </is>
      </c>
    </row>
    <row r="1933">
      <c r="A1933" s="7" t="inlineStr">
        <is>
          <t>NGA</t>
        </is>
      </c>
      <c r="B1933" s="7" t="inlineStr">
        <is>
          <t>Nigeria</t>
        </is>
      </c>
      <c r="C1933" s="7" t="inlineStr">
        <is>
          <t>Sub-Saharan Africa</t>
        </is>
      </c>
      <c r="D1933" s="7" t="inlineStr">
        <is>
          <t>Lower middle income</t>
        </is>
      </c>
      <c r="E1933" s="7" t="b">
        <v>0</v>
      </c>
      <c r="F1933" s="7" t="inlineStr">
        <is>
          <t>price_gas_power_usd_gj</t>
        </is>
      </c>
      <c r="G1933" s="7" t="n">
        <v>4.62</v>
      </c>
      <c r="H1933" s="7" t="inlineStr">
        <is>
          <t>2024</t>
        </is>
      </c>
      <c r="I1933" s="7" t="inlineStr">
        <is>
          <t>imffossilfuelsubsidiesdata.xlsb</t>
        </is>
      </c>
    </row>
    <row r="1934">
      <c r="A1934" s="7" t="inlineStr">
        <is>
          <t>NGA</t>
        </is>
      </c>
      <c r="B1934" s="7" t="inlineStr">
        <is>
          <t>Nigeria</t>
        </is>
      </c>
      <c r="C1934" s="7" t="inlineStr">
        <is>
          <t>Sub-Saharan Africa</t>
        </is>
      </c>
      <c r="D1934" s="7" t="inlineStr">
        <is>
          <t>Lower middle income</t>
        </is>
      </c>
      <c r="E1934" s="7" t="b">
        <v>0</v>
      </c>
      <c r="F1934" s="7" t="inlineStr">
        <is>
          <t>rise_renewable_energy_score</t>
        </is>
      </c>
      <c r="G1934" s="7" t="n">
        <v>32.415</v>
      </c>
      <c r="H1934" s="7" t="inlineStr">
        <is>
          <t>2023</t>
        </is>
      </c>
      <c r="I1934" s="7" t="inlineStr">
        <is>
          <t>WB_RISE_WIDEF.csv</t>
        </is>
      </c>
    </row>
    <row r="1935">
      <c r="A1935" s="7" t="inlineStr">
        <is>
          <t>NIC</t>
        </is>
      </c>
      <c r="B1935" s="7" t="inlineStr">
        <is>
          <t>Nicaragua</t>
        </is>
      </c>
      <c r="C1935" s="7" t="inlineStr">
        <is>
          <t>Latin America &amp; Caribbean</t>
        </is>
      </c>
      <c r="D1935" s="7" t="inlineStr">
        <is>
          <t>Lower middle income</t>
        </is>
      </c>
      <c r="E1935" s="7" t="b">
        <v>0</v>
      </c>
      <c r="F1935" s="7" t="inlineStr">
        <is>
          <t>coal_rents_pct_gdp</t>
        </is>
      </c>
      <c r="G1935" s="7" t="n">
        <v>0</v>
      </c>
      <c r="H1935" s="7" t="inlineStr">
        <is>
          <t>2021</t>
        </is>
      </c>
      <c r="I1935" s="7" t="inlineStr">
        <is>
          <t>API_NY_GDP_COAL_RT_ZS_DS2_en_csv_v2_35370.zip</t>
        </is>
      </c>
    </row>
    <row r="1936">
      <c r="A1936" s="7" t="inlineStr">
        <is>
          <t>NIC</t>
        </is>
      </c>
      <c r="B1936" s="7" t="inlineStr">
        <is>
          <t>Nicaragua</t>
        </is>
      </c>
      <c r="C1936" s="7" t="inlineStr">
        <is>
          <t>Latin America &amp; Caribbean</t>
        </is>
      </c>
      <c r="D1936" s="7" t="inlineStr">
        <is>
          <t>Lower middle income</t>
        </is>
      </c>
      <c r="E1936" s="7" t="b">
        <v>0</v>
      </c>
      <c r="F1936" s="7" t="inlineStr">
        <is>
          <t>em_coal_mt</t>
        </is>
      </c>
      <c r="G1936" s="7" t="n">
        <v>0</v>
      </c>
      <c r="H1936" s="7" t="n">
        <v>2024</v>
      </c>
      <c r="I1936" s="7" t="inlineStr">
        <is>
          <t>release_generation_yearly_global.csv (Ember)</t>
        </is>
      </c>
    </row>
    <row r="1937">
      <c r="A1937" s="7" t="inlineStr">
        <is>
          <t>NIC</t>
        </is>
      </c>
      <c r="B1937" s="7" t="inlineStr">
        <is>
          <t>Nicaragua</t>
        </is>
      </c>
      <c r="C1937" s="7" t="inlineStr">
        <is>
          <t>Latin America &amp; Caribbean</t>
        </is>
      </c>
      <c r="D1937" s="7" t="inlineStr">
        <is>
          <t>Lower middle income</t>
        </is>
      </c>
      <c r="E1937" s="7" t="b">
        <v>0</v>
      </c>
      <c r="F1937" s="7" t="inlineStr">
        <is>
          <t>em_gas_mt</t>
        </is>
      </c>
      <c r="G1937" s="7" t="n">
        <v>0</v>
      </c>
      <c r="H1937" s="7" t="n">
        <v>2024</v>
      </c>
      <c r="I1937" s="7" t="inlineStr">
        <is>
          <t>release_generation_yearly_global.csv (Ember)</t>
        </is>
      </c>
    </row>
    <row r="1938">
      <c r="A1938" s="7" t="inlineStr">
        <is>
          <t>NIC</t>
        </is>
      </c>
      <c r="B1938" s="7" t="inlineStr">
        <is>
          <t>Nicaragua</t>
        </is>
      </c>
      <c r="C1938" s="7" t="inlineStr">
        <is>
          <t>Latin America &amp; Caribbean</t>
        </is>
      </c>
      <c r="D1938" s="7" t="inlineStr">
        <is>
          <t>Lower middle income</t>
        </is>
      </c>
      <c r="E1938" s="7" t="b">
        <v>0</v>
      </c>
      <c r="F1938" s="7" t="inlineStr">
        <is>
          <t>em_oil_mt</t>
        </is>
      </c>
      <c r="G1938" s="7" t="n">
        <v>1.119</v>
      </c>
      <c r="H1938" s="7" t="n">
        <v>2024</v>
      </c>
      <c r="I1938" s="7" t="inlineStr">
        <is>
          <t>release_generation_yearly_global.csv (Ember)</t>
        </is>
      </c>
    </row>
    <row r="1939">
      <c r="A1939" s="7" t="inlineStr">
        <is>
          <t>NIC</t>
        </is>
      </c>
      <c r="B1939" s="7" t="inlineStr">
        <is>
          <t>Nicaragua</t>
        </is>
      </c>
      <c r="C1939" s="7" t="inlineStr">
        <is>
          <t>Latin America &amp; Caribbean</t>
        </is>
      </c>
      <c r="D1939" s="7" t="inlineStr">
        <is>
          <t>Lower middle income</t>
        </is>
      </c>
      <c r="E1939" s="7" t="b">
        <v>0</v>
      </c>
      <c r="F1939" s="7" t="inlineStr">
        <is>
          <t>ff_subsidy_explicit_pct_gdp</t>
        </is>
      </c>
      <c r="G1939" s="7" t="n">
        <v>0.227</v>
      </c>
      <c r="H1939" s="7" t="inlineStr">
        <is>
          <t>2024</t>
        </is>
      </c>
      <c r="I1939" s="7" t="inlineStr">
        <is>
          <t>imffossilfuelsubsidiesdata.xlsb</t>
        </is>
      </c>
    </row>
    <row r="1940">
      <c r="A1940" s="7" t="inlineStr">
        <is>
          <t>NIC</t>
        </is>
      </c>
      <c r="B1940" s="7" t="inlineStr">
        <is>
          <t>Nicaragua</t>
        </is>
      </c>
      <c r="C1940" s="7" t="inlineStr">
        <is>
          <t>Latin America &amp; Caribbean</t>
        </is>
      </c>
      <c r="D1940" s="7" t="inlineStr">
        <is>
          <t>Lower middle income</t>
        </is>
      </c>
      <c r="E1940" s="7" t="b">
        <v>0</v>
      </c>
      <c r="F1940" s="7" t="inlineStr">
        <is>
          <t>fuel_exports_pct_merch</t>
        </is>
      </c>
      <c r="G1940" s="7" t="n">
        <v>0.739</v>
      </c>
      <c r="H1940" s="7" t="inlineStr">
        <is>
          <t>2024</t>
        </is>
      </c>
      <c r="I1940" s="7" t="inlineStr">
        <is>
          <t>API_TX_VAL_FUEL_ZS_UN_DS2_en_csv_v2_33055.zip</t>
        </is>
      </c>
    </row>
    <row r="1941">
      <c r="A1941" s="7" t="inlineStr">
        <is>
          <t>NIC</t>
        </is>
      </c>
      <c r="B1941" s="7" t="inlineStr">
        <is>
          <t>Nicaragua</t>
        </is>
      </c>
      <c r="C1941" s="7" t="inlineStr">
        <is>
          <t>Latin America &amp; Caribbean</t>
        </is>
      </c>
      <c r="D1941" s="7" t="inlineStr">
        <is>
          <t>Lower middle income</t>
        </is>
      </c>
      <c r="E1941" s="7" t="b">
        <v>0</v>
      </c>
      <c r="F1941" s="7" t="inlineStr">
        <is>
          <t>gen_coal_twh</t>
        </is>
      </c>
      <c r="G1941" s="7" t="n">
        <v>0</v>
      </c>
      <c r="H1941" s="7" t="n">
        <v>2024</v>
      </c>
      <c r="I1941" s="7" t="inlineStr">
        <is>
          <t>release_generation_yearly_global.csv (Ember)</t>
        </is>
      </c>
    </row>
    <row r="1942">
      <c r="A1942" s="7" t="inlineStr">
        <is>
          <t>NIC</t>
        </is>
      </c>
      <c r="B1942" s="7" t="inlineStr">
        <is>
          <t>Nicaragua</t>
        </is>
      </c>
      <c r="C1942" s="7" t="inlineStr">
        <is>
          <t>Latin America &amp; Caribbean</t>
        </is>
      </c>
      <c r="D1942" s="7" t="inlineStr">
        <is>
          <t>Lower middle income</t>
        </is>
      </c>
      <c r="E1942" s="7" t="b">
        <v>0</v>
      </c>
      <c r="F1942" s="7" t="inlineStr">
        <is>
          <t>gen_gas_twh</t>
        </is>
      </c>
      <c r="G1942" s="7" t="n">
        <v>0</v>
      </c>
      <c r="H1942" s="7" t="n">
        <v>2024</v>
      </c>
      <c r="I1942" s="7" t="inlineStr">
        <is>
          <t>release_generation_yearly_global.csv (Ember)</t>
        </is>
      </c>
    </row>
    <row r="1943">
      <c r="A1943" s="7" t="inlineStr">
        <is>
          <t>NIC</t>
        </is>
      </c>
      <c r="B1943" s="7" t="inlineStr">
        <is>
          <t>Nicaragua</t>
        </is>
      </c>
      <c r="C1943" s="7" t="inlineStr">
        <is>
          <t>Latin America &amp; Caribbean</t>
        </is>
      </c>
      <c r="D1943" s="7" t="inlineStr">
        <is>
          <t>Lower middle income</t>
        </is>
      </c>
      <c r="E1943" s="7" t="b">
        <v>0</v>
      </c>
      <c r="F1943" s="7" t="inlineStr">
        <is>
          <t>gen_oil_twh</t>
        </is>
      </c>
      <c r="G1943" s="7" t="n">
        <v>1.7</v>
      </c>
      <c r="H1943" s="7" t="n">
        <v>2024</v>
      </c>
      <c r="I1943" s="7" t="inlineStr">
        <is>
          <t>release_generation_yearly_global.csv (Ember)</t>
        </is>
      </c>
    </row>
    <row r="1944">
      <c r="A1944" s="7" t="inlineStr">
        <is>
          <t>NIC</t>
        </is>
      </c>
      <c r="B1944" s="7" t="inlineStr">
        <is>
          <t>Nicaragua</t>
        </is>
      </c>
      <c r="C1944" s="7" t="inlineStr">
        <is>
          <t>Latin America &amp; Caribbean</t>
        </is>
      </c>
      <c r="D1944" s="7" t="inlineStr">
        <is>
          <t>Lower middle income</t>
        </is>
      </c>
      <c r="E1944" s="7" t="b">
        <v>0</v>
      </c>
      <c r="F1944" s="7" t="inlineStr">
        <is>
          <t>gen_total_twh</t>
        </is>
      </c>
      <c r="G1944" s="7" t="n">
        <v>4.52</v>
      </c>
      <c r="H1944" s="7" t="n">
        <v>2024</v>
      </c>
      <c r="I1944" s="7" t="inlineStr">
        <is>
          <t>release_generation_yearly_global.csv (Ember)</t>
        </is>
      </c>
    </row>
    <row r="1945">
      <c r="A1945" s="7" t="inlineStr">
        <is>
          <t>NIC</t>
        </is>
      </c>
      <c r="B1945" s="7" t="inlineStr">
        <is>
          <t>Nicaragua</t>
        </is>
      </c>
      <c r="C1945" s="7" t="inlineStr">
        <is>
          <t>Latin America &amp; Caribbean</t>
        </is>
      </c>
      <c r="D1945" s="7" t="inlineStr">
        <is>
          <t>Lower middle income</t>
        </is>
      </c>
      <c r="E1945" s="7" t="b">
        <v>0</v>
      </c>
      <c r="F1945" s="7" t="inlineStr">
        <is>
          <t>power_market_structure</t>
        </is>
      </c>
      <c r="G1945" s="7" t="n">
        <v>3</v>
      </c>
      <c r="H1945" s="7" t="inlineStr">
        <is>
          <t>2013</t>
        </is>
      </c>
      <c r="I1945" s="7" t="inlineStr">
        <is>
          <t>dataverse_files.zip</t>
        </is>
      </c>
    </row>
    <row r="1946">
      <c r="A1946" s="7" t="inlineStr">
        <is>
          <t>NIC</t>
        </is>
      </c>
      <c r="B1946" s="7" t="inlineStr">
        <is>
          <t>Nicaragua</t>
        </is>
      </c>
      <c r="C1946" s="7" t="inlineStr">
        <is>
          <t>Latin America &amp; Caribbean</t>
        </is>
      </c>
      <c r="D1946" s="7" t="inlineStr">
        <is>
          <t>Lower middle income</t>
        </is>
      </c>
      <c r="E1946" s="7" t="b">
        <v>0</v>
      </c>
      <c r="F1946" s="7" t="inlineStr">
        <is>
          <t>price_coal_power_usd_gj</t>
        </is>
      </c>
      <c r="G1946" s="7" t="n">
        <v>5.575</v>
      </c>
      <c r="H1946" s="7" t="inlineStr">
        <is>
          <t>2024</t>
        </is>
      </c>
      <c r="I1946" s="7" t="inlineStr">
        <is>
          <t>imffossilfuelsubsidiesdata.xlsb</t>
        </is>
      </c>
    </row>
    <row r="1947">
      <c r="A1947" s="7" t="inlineStr">
        <is>
          <t>NIC</t>
        </is>
      </c>
      <c r="B1947" s="7" t="inlineStr">
        <is>
          <t>Nicaragua</t>
        </is>
      </c>
      <c r="C1947" s="7" t="inlineStr">
        <is>
          <t>Latin America &amp; Caribbean</t>
        </is>
      </c>
      <c r="D1947" s="7" t="inlineStr">
        <is>
          <t>Lower middle income</t>
        </is>
      </c>
      <c r="E1947" s="7" t="b">
        <v>0</v>
      </c>
      <c r="F1947" s="7" t="inlineStr">
        <is>
          <t>price_electricity_residential_usd_kwh</t>
        </is>
      </c>
      <c r="G1947" s="7" t="n">
        <v>0.183</v>
      </c>
      <c r="H1947" s="7" t="inlineStr">
        <is>
          <t>2024</t>
        </is>
      </c>
      <c r="I1947" s="7" t="inlineStr">
        <is>
          <t>imffossilfuelsubsidiesdata.xlsb</t>
        </is>
      </c>
    </row>
    <row r="1948">
      <c r="A1948" s="7" t="inlineStr">
        <is>
          <t>NIC</t>
        </is>
      </c>
      <c r="B1948" s="7" t="inlineStr">
        <is>
          <t>Nicaragua</t>
        </is>
      </c>
      <c r="C1948" s="7" t="inlineStr">
        <is>
          <t>Latin America &amp; Caribbean</t>
        </is>
      </c>
      <c r="D1948" s="7" t="inlineStr">
        <is>
          <t>Lower middle income</t>
        </is>
      </c>
      <c r="E1948" s="7" t="b">
        <v>0</v>
      </c>
      <c r="F1948" s="7" t="inlineStr">
        <is>
          <t>price_gas_industry_usd_gj</t>
        </is>
      </c>
      <c r="G1948" s="7" t="n">
        <v>7.414</v>
      </c>
      <c r="H1948" s="7" t="inlineStr">
        <is>
          <t>2024</t>
        </is>
      </c>
      <c r="I1948" s="7" t="inlineStr">
        <is>
          <t>imffossilfuelsubsidiesdata.xlsb</t>
        </is>
      </c>
    </row>
    <row r="1949">
      <c r="A1949" s="7" t="inlineStr">
        <is>
          <t>NIC</t>
        </is>
      </c>
      <c r="B1949" s="7" t="inlineStr">
        <is>
          <t>Nicaragua</t>
        </is>
      </c>
      <c r="C1949" s="7" t="inlineStr">
        <is>
          <t>Latin America &amp; Caribbean</t>
        </is>
      </c>
      <c r="D1949" s="7" t="inlineStr">
        <is>
          <t>Lower middle income</t>
        </is>
      </c>
      <c r="E1949" s="7" t="b">
        <v>0</v>
      </c>
      <c r="F1949" s="7" t="inlineStr">
        <is>
          <t>price_gas_power_usd_gj</t>
        </is>
      </c>
      <c r="G1949" s="7" t="n">
        <v>6.09</v>
      </c>
      <c r="H1949" s="7" t="inlineStr">
        <is>
          <t>2024</t>
        </is>
      </c>
      <c r="I1949" s="7" t="inlineStr">
        <is>
          <t>imffossilfuelsubsidiesdata.xlsb</t>
        </is>
      </c>
    </row>
    <row r="1950">
      <c r="A1950" s="7" t="inlineStr">
        <is>
          <t>NIC</t>
        </is>
      </c>
      <c r="B1950" s="7" t="inlineStr">
        <is>
          <t>Nicaragua</t>
        </is>
      </c>
      <c r="C1950" s="7" t="inlineStr">
        <is>
          <t>Latin America &amp; Caribbean</t>
        </is>
      </c>
      <c r="D1950" s="7" t="inlineStr">
        <is>
          <t>Lower middle income</t>
        </is>
      </c>
      <c r="E1950" s="7" t="b">
        <v>0</v>
      </c>
      <c r="F1950" s="7" t="inlineStr">
        <is>
          <t>rise_renewable_energy_score</t>
        </is>
      </c>
      <c r="G1950" s="7" t="n">
        <v>35.876</v>
      </c>
      <c r="H1950" s="7" t="inlineStr">
        <is>
          <t>2023</t>
        </is>
      </c>
      <c r="I1950" s="7" t="inlineStr">
        <is>
          <t>WB_RISE_WIDEF.csv</t>
        </is>
      </c>
    </row>
    <row r="1951">
      <c r="A1951" s="7" t="inlineStr">
        <is>
          <t>NLD</t>
        </is>
      </c>
      <c r="B1951" s="7" t="inlineStr">
        <is>
          <t>Netherlands</t>
        </is>
      </c>
      <c r="C1951" s="7" t="inlineStr">
        <is>
          <t>Europe &amp; Central Asia</t>
        </is>
      </c>
      <c r="D1951" s="7" t="inlineStr">
        <is>
          <t>High income</t>
        </is>
      </c>
      <c r="E1951" s="7" t="b">
        <v>0</v>
      </c>
      <c r="F1951" s="7" t="inlineStr">
        <is>
          <t>coal_rents_pct_gdp</t>
        </is>
      </c>
      <c r="G1951" s="7" t="n">
        <v>0</v>
      </c>
      <c r="H1951" s="7" t="inlineStr">
        <is>
          <t>2021</t>
        </is>
      </c>
      <c r="I1951" s="7" t="inlineStr">
        <is>
          <t>API_NY_GDP_COAL_RT_ZS_DS2_en_csv_v2_35370.zip</t>
        </is>
      </c>
    </row>
    <row r="1952">
      <c r="A1952" s="7" t="inlineStr">
        <is>
          <t>NLD</t>
        </is>
      </c>
      <c r="B1952" s="7" t="inlineStr">
        <is>
          <t>Netherlands</t>
        </is>
      </c>
      <c r="C1952" s="7" t="inlineStr">
        <is>
          <t>Europe &amp; Central Asia</t>
        </is>
      </c>
      <c r="D1952" s="7" t="inlineStr">
        <is>
          <t>High income</t>
        </is>
      </c>
      <c r="E1952" s="7" t="b">
        <v>0</v>
      </c>
      <c r="F1952" s="7" t="inlineStr">
        <is>
          <t>em_coal_mt</t>
        </is>
      </c>
      <c r="G1952" s="7" t="n">
        <v>6.695</v>
      </c>
      <c r="H1952" s="7" t="n">
        <v>2024</v>
      </c>
      <c r="I1952" s="7" t="inlineStr">
        <is>
          <t>release_generation_yearly_global.csv (Ember)</t>
        </is>
      </c>
    </row>
    <row r="1953">
      <c r="A1953" s="7" t="inlineStr">
        <is>
          <t>NLD</t>
        </is>
      </c>
      <c r="B1953" s="7" t="inlineStr">
        <is>
          <t>Netherlands</t>
        </is>
      </c>
      <c r="C1953" s="7" t="inlineStr">
        <is>
          <t>Europe &amp; Central Asia</t>
        </is>
      </c>
      <c r="D1953" s="7" t="inlineStr">
        <is>
          <t>High income</t>
        </is>
      </c>
      <c r="E1953" s="7" t="b">
        <v>0</v>
      </c>
      <c r="F1953" s="7" t="inlineStr">
        <is>
          <t>em_gas_mt</t>
        </is>
      </c>
      <c r="G1953" s="7" t="n">
        <v>17.815</v>
      </c>
      <c r="H1953" s="7" t="n">
        <v>2024</v>
      </c>
      <c r="I1953" s="7" t="inlineStr">
        <is>
          <t>release_generation_yearly_global.csv (Ember)</t>
        </is>
      </c>
    </row>
    <row r="1954">
      <c r="A1954" s="7" t="inlineStr">
        <is>
          <t>NLD</t>
        </is>
      </c>
      <c r="B1954" s="7" t="inlineStr">
        <is>
          <t>Netherlands</t>
        </is>
      </c>
      <c r="C1954" s="7" t="inlineStr">
        <is>
          <t>Europe &amp; Central Asia</t>
        </is>
      </c>
      <c r="D1954" s="7" t="inlineStr">
        <is>
          <t>High income</t>
        </is>
      </c>
      <c r="E1954" s="7" t="b">
        <v>0</v>
      </c>
      <c r="F1954" s="7" t="inlineStr">
        <is>
          <t>em_oil_mt</t>
        </is>
      </c>
      <c r="G1954" s="7" t="n">
        <v>3.244</v>
      </c>
      <c r="H1954" s="7" t="n">
        <v>2024</v>
      </c>
      <c r="I1954" s="7" t="inlineStr">
        <is>
          <t>release_generation_yearly_global.csv (Ember)</t>
        </is>
      </c>
    </row>
    <row r="1955">
      <c r="A1955" s="7" t="inlineStr">
        <is>
          <t>NLD</t>
        </is>
      </c>
      <c r="B1955" s="7" t="inlineStr">
        <is>
          <t>Netherlands</t>
        </is>
      </c>
      <c r="C1955" s="7" t="inlineStr">
        <is>
          <t>Europe &amp; Central Asia</t>
        </is>
      </c>
      <c r="D1955" s="7" t="inlineStr">
        <is>
          <t>High income</t>
        </is>
      </c>
      <c r="E1955" s="7" t="b">
        <v>0</v>
      </c>
      <c r="F1955" s="7" t="inlineStr">
        <is>
          <t>ff_subsidy_explicit_pct_gdp</t>
        </is>
      </c>
      <c r="G1955" s="7" t="n">
        <v>0.042</v>
      </c>
      <c r="H1955" s="7" t="inlineStr">
        <is>
          <t>2024</t>
        </is>
      </c>
      <c r="I1955" s="7" t="inlineStr">
        <is>
          <t>imffossilfuelsubsidiesdata.xlsb</t>
        </is>
      </c>
    </row>
    <row r="1956">
      <c r="A1956" s="7" t="inlineStr">
        <is>
          <t>NLD</t>
        </is>
      </c>
      <c r="B1956" s="7" t="inlineStr">
        <is>
          <t>Netherlands</t>
        </is>
      </c>
      <c r="C1956" s="7" t="inlineStr">
        <is>
          <t>Europe &amp; Central Asia</t>
        </is>
      </c>
      <c r="D1956" s="7" t="inlineStr">
        <is>
          <t>High income</t>
        </is>
      </c>
      <c r="E1956" s="7" t="b">
        <v>0</v>
      </c>
      <c r="F1956" s="7" t="inlineStr">
        <is>
          <t>fuel_exports_pct_merch</t>
        </is>
      </c>
      <c r="G1956" s="7" t="n">
        <v>12.681</v>
      </c>
      <c r="H1956" s="7" t="inlineStr">
        <is>
          <t>2024</t>
        </is>
      </c>
      <c r="I1956" s="7" t="inlineStr">
        <is>
          <t>API_TX_VAL_FUEL_ZS_UN_DS2_en_csv_v2_33055.zip</t>
        </is>
      </c>
    </row>
    <row r="1957">
      <c r="A1957" s="7" t="inlineStr">
        <is>
          <t>NLD</t>
        </is>
      </c>
      <c r="B1957" s="7" t="inlineStr">
        <is>
          <t>Netherlands</t>
        </is>
      </c>
      <c r="C1957" s="7" t="inlineStr">
        <is>
          <t>Europe &amp; Central Asia</t>
        </is>
      </c>
      <c r="D1957" s="7" t="inlineStr">
        <is>
          <t>High income</t>
        </is>
      </c>
      <c r="E1957" s="7" t="b">
        <v>0</v>
      </c>
      <c r="F1957" s="7" t="inlineStr">
        <is>
          <t>gen_coal_twh</t>
        </is>
      </c>
      <c r="G1957" s="7" t="n">
        <v>7.47</v>
      </c>
      <c r="H1957" s="7" t="n">
        <v>2024</v>
      </c>
      <c r="I1957" s="7" t="inlineStr">
        <is>
          <t>release_generation_yearly_global.csv (Ember)</t>
        </is>
      </c>
    </row>
    <row r="1958">
      <c r="A1958" s="7" t="inlineStr">
        <is>
          <t>NLD</t>
        </is>
      </c>
      <c r="B1958" s="7" t="inlineStr">
        <is>
          <t>Netherlands</t>
        </is>
      </c>
      <c r="C1958" s="7" t="inlineStr">
        <is>
          <t>Europe &amp; Central Asia</t>
        </is>
      </c>
      <c r="D1958" s="7" t="inlineStr">
        <is>
          <t>High income</t>
        </is>
      </c>
      <c r="E1958" s="7" t="b">
        <v>0</v>
      </c>
      <c r="F1958" s="7" t="inlineStr">
        <is>
          <t>gen_gas_twh</t>
        </is>
      </c>
      <c r="G1958" s="7" t="n">
        <v>44.29</v>
      </c>
      <c r="H1958" s="7" t="n">
        <v>2024</v>
      </c>
      <c r="I1958" s="7" t="inlineStr">
        <is>
          <t>release_generation_yearly_global.csv (Ember)</t>
        </is>
      </c>
    </row>
    <row r="1959">
      <c r="A1959" s="7" t="inlineStr">
        <is>
          <t>NLD</t>
        </is>
      </c>
      <c r="B1959" s="7" t="inlineStr">
        <is>
          <t>Netherlands</t>
        </is>
      </c>
      <c r="C1959" s="7" t="inlineStr">
        <is>
          <t>Europe &amp; Central Asia</t>
        </is>
      </c>
      <c r="D1959" s="7" t="inlineStr">
        <is>
          <t>High income</t>
        </is>
      </c>
      <c r="E1959" s="7" t="b">
        <v>0</v>
      </c>
      <c r="F1959" s="7" t="inlineStr">
        <is>
          <t>gen_oil_twh</t>
        </is>
      </c>
      <c r="G1959" s="7" t="n">
        <v>4.93</v>
      </c>
      <c r="H1959" s="7" t="n">
        <v>2024</v>
      </c>
      <c r="I1959" s="7" t="inlineStr">
        <is>
          <t>release_generation_yearly_global.csv (Ember)</t>
        </is>
      </c>
    </row>
    <row r="1960">
      <c r="A1960" s="7" t="inlineStr">
        <is>
          <t>NLD</t>
        </is>
      </c>
      <c r="B1960" s="7" t="inlineStr">
        <is>
          <t>Netherlands</t>
        </is>
      </c>
      <c r="C1960" s="7" t="inlineStr">
        <is>
          <t>Europe &amp; Central Asia</t>
        </is>
      </c>
      <c r="D1960" s="7" t="inlineStr">
        <is>
          <t>High income</t>
        </is>
      </c>
      <c r="E1960" s="7" t="b">
        <v>0</v>
      </c>
      <c r="F1960" s="7" t="inlineStr">
        <is>
          <t>gen_total_twh</t>
        </is>
      </c>
      <c r="G1960" s="7" t="n">
        <v>122.33</v>
      </c>
      <c r="H1960" s="7" t="n">
        <v>2024</v>
      </c>
      <c r="I1960" s="7" t="inlineStr">
        <is>
          <t>release_generation_yearly_global.csv (Ember)</t>
        </is>
      </c>
    </row>
    <row r="1961">
      <c r="A1961" s="7" t="inlineStr">
        <is>
          <t>NLD</t>
        </is>
      </c>
      <c r="B1961" s="7" t="inlineStr">
        <is>
          <t>Netherlands</t>
        </is>
      </c>
      <c r="C1961" s="7" t="inlineStr">
        <is>
          <t>Europe &amp; Central Asia</t>
        </is>
      </c>
      <c r="D1961" s="7" t="inlineStr">
        <is>
          <t>High income</t>
        </is>
      </c>
      <c r="E1961" s="7" t="b">
        <v>0</v>
      </c>
      <c r="F1961" s="7" t="inlineStr">
        <is>
          <t>price_coal_power_usd_gj</t>
        </is>
      </c>
      <c r="G1961" s="7" t="n">
        <v>12.833</v>
      </c>
      <c r="H1961" s="7" t="inlineStr">
        <is>
          <t>2024</t>
        </is>
      </c>
      <c r="I1961" s="7" t="inlineStr">
        <is>
          <t>imffossilfuelsubsidiesdata.xlsb</t>
        </is>
      </c>
    </row>
    <row r="1962">
      <c r="A1962" s="7" t="inlineStr">
        <is>
          <t>NLD</t>
        </is>
      </c>
      <c r="B1962" s="7" t="inlineStr">
        <is>
          <t>Netherlands</t>
        </is>
      </c>
      <c r="C1962" s="7" t="inlineStr">
        <is>
          <t>Europe &amp; Central Asia</t>
        </is>
      </c>
      <c r="D1962" s="7" t="inlineStr">
        <is>
          <t>High income</t>
        </is>
      </c>
      <c r="E1962" s="7" t="b">
        <v>0</v>
      </c>
      <c r="F1962" s="7" t="inlineStr">
        <is>
          <t>price_electricity_residential_usd_kwh</t>
        </is>
      </c>
      <c r="G1962" s="7" t="n">
        <v>0.262</v>
      </c>
      <c r="H1962" s="7" t="inlineStr">
        <is>
          <t>2024</t>
        </is>
      </c>
      <c r="I1962" s="7" t="inlineStr">
        <is>
          <t>imffossilfuelsubsidiesdata.xlsb</t>
        </is>
      </c>
    </row>
    <row r="1963">
      <c r="A1963" s="7" t="inlineStr">
        <is>
          <t>NLD</t>
        </is>
      </c>
      <c r="B1963" s="7" t="inlineStr">
        <is>
          <t>Netherlands</t>
        </is>
      </c>
      <c r="C1963" s="7" t="inlineStr">
        <is>
          <t>Europe &amp; Central Asia</t>
        </is>
      </c>
      <c r="D1963" s="7" t="inlineStr">
        <is>
          <t>High income</t>
        </is>
      </c>
      <c r="E1963" s="7" t="b">
        <v>0</v>
      </c>
      <c r="F1963" s="7" t="inlineStr">
        <is>
          <t>price_gas_industry_usd_gj</t>
        </is>
      </c>
      <c r="G1963" s="7" t="n">
        <v>24.269</v>
      </c>
      <c r="H1963" s="7" t="inlineStr">
        <is>
          <t>2024</t>
        </is>
      </c>
      <c r="I1963" s="7" t="inlineStr">
        <is>
          <t>imffossilfuelsubsidiesdata.xlsb</t>
        </is>
      </c>
    </row>
    <row r="1964">
      <c r="A1964" s="7" t="inlineStr">
        <is>
          <t>NLD</t>
        </is>
      </c>
      <c r="B1964" s="7" t="inlineStr">
        <is>
          <t>Netherlands</t>
        </is>
      </c>
      <c r="C1964" s="7" t="inlineStr">
        <is>
          <t>Europe &amp; Central Asia</t>
        </is>
      </c>
      <c r="D1964" s="7" t="inlineStr">
        <is>
          <t>High income</t>
        </is>
      </c>
      <c r="E1964" s="7" t="b">
        <v>0</v>
      </c>
      <c r="F1964" s="7" t="inlineStr">
        <is>
          <t>price_gas_power_usd_gj</t>
        </is>
      </c>
      <c r="G1964" s="7" t="n">
        <v>24.269</v>
      </c>
      <c r="H1964" s="7" t="inlineStr">
        <is>
          <t>2024</t>
        </is>
      </c>
      <c r="I1964" s="7" t="inlineStr">
        <is>
          <t>imffossilfuelsubsidiesdata.xlsb</t>
        </is>
      </c>
    </row>
    <row r="1965">
      <c r="A1965" s="7" t="inlineStr">
        <is>
          <t>NLD</t>
        </is>
      </c>
      <c r="B1965" s="7" t="inlineStr">
        <is>
          <t>Netherlands</t>
        </is>
      </c>
      <c r="C1965" s="7" t="inlineStr">
        <is>
          <t>Europe &amp; Central Asia</t>
        </is>
      </c>
      <c r="D1965" s="7" t="inlineStr">
        <is>
          <t>High income</t>
        </is>
      </c>
      <c r="E1965" s="7" t="b">
        <v>0</v>
      </c>
      <c r="F1965" s="7" t="inlineStr">
        <is>
          <t>rise_renewable_energy_score</t>
        </is>
      </c>
      <c r="G1965" s="7" t="n">
        <v>82.611</v>
      </c>
      <c r="H1965" s="7" t="inlineStr">
        <is>
          <t>2023</t>
        </is>
      </c>
      <c r="I1965" s="7" t="inlineStr">
        <is>
          <t>WB_RISE_WIDEF.csv</t>
        </is>
      </c>
    </row>
    <row r="1966">
      <c r="A1966" s="7" t="inlineStr">
        <is>
          <t>NOR</t>
        </is>
      </c>
      <c r="B1966" s="7" t="inlineStr">
        <is>
          <t>Norway</t>
        </is>
      </c>
      <c r="C1966" s="7" t="inlineStr">
        <is>
          <t>Europe &amp; Central Asia</t>
        </is>
      </c>
      <c r="D1966" s="7" t="inlineStr">
        <is>
          <t>High income</t>
        </is>
      </c>
      <c r="E1966" s="7" t="b">
        <v>0</v>
      </c>
      <c r="F1966" s="7" t="inlineStr">
        <is>
          <t>coal_rents_pct_gdp</t>
        </is>
      </c>
      <c r="G1966" s="7" t="n">
        <v>0.001</v>
      </c>
      <c r="H1966" s="7" t="inlineStr">
        <is>
          <t>2021</t>
        </is>
      </c>
      <c r="I1966" s="7" t="inlineStr">
        <is>
          <t>API_NY_GDP_COAL_RT_ZS_DS2_en_csv_v2_35370.zip</t>
        </is>
      </c>
    </row>
    <row r="1967">
      <c r="A1967" s="7" t="inlineStr">
        <is>
          <t>NOR</t>
        </is>
      </c>
      <c r="B1967" s="7" t="inlineStr">
        <is>
          <t>Norway</t>
        </is>
      </c>
      <c r="C1967" s="7" t="inlineStr">
        <is>
          <t>Europe &amp; Central Asia</t>
        </is>
      </c>
      <c r="D1967" s="7" t="inlineStr">
        <is>
          <t>High income</t>
        </is>
      </c>
      <c r="E1967" s="7" t="b">
        <v>0</v>
      </c>
      <c r="F1967" s="7" t="inlineStr">
        <is>
          <t>em_coal_mt</t>
        </is>
      </c>
      <c r="G1967" s="7" t="n">
        <v>0</v>
      </c>
      <c r="H1967" s="7" t="n">
        <v>2024</v>
      </c>
      <c r="I1967" s="7" t="inlineStr">
        <is>
          <t>release_generation_yearly_global.csv (Ember)</t>
        </is>
      </c>
    </row>
    <row r="1968">
      <c r="A1968" s="7" t="inlineStr">
        <is>
          <t>NOR</t>
        </is>
      </c>
      <c r="B1968" s="7" t="inlineStr">
        <is>
          <t>Norway</t>
        </is>
      </c>
      <c r="C1968" s="7" t="inlineStr">
        <is>
          <t>Europe &amp; Central Asia</t>
        </is>
      </c>
      <c r="D1968" s="7" t="inlineStr">
        <is>
          <t>High income</t>
        </is>
      </c>
      <c r="E1968" s="7" t="b">
        <v>0</v>
      </c>
      <c r="F1968" s="7" t="inlineStr">
        <is>
          <t>em_gas_mt</t>
        </is>
      </c>
      <c r="G1968" s="7" t="n">
        <v>0.662</v>
      </c>
      <c r="H1968" s="7" t="n">
        <v>2024</v>
      </c>
      <c r="I1968" s="7" t="inlineStr">
        <is>
          <t>release_generation_yearly_global.csv (Ember)</t>
        </is>
      </c>
    </row>
    <row r="1969">
      <c r="A1969" s="7" t="inlineStr">
        <is>
          <t>NOR</t>
        </is>
      </c>
      <c r="B1969" s="7" t="inlineStr">
        <is>
          <t>Norway</t>
        </is>
      </c>
      <c r="C1969" s="7" t="inlineStr">
        <is>
          <t>Europe &amp; Central Asia</t>
        </is>
      </c>
      <c r="D1969" s="7" t="inlineStr">
        <is>
          <t>High income</t>
        </is>
      </c>
      <c r="E1969" s="7" t="b">
        <v>0</v>
      </c>
      <c r="F1969" s="7" t="inlineStr">
        <is>
          <t>em_oil_mt</t>
        </is>
      </c>
      <c r="G1969" s="7" t="n">
        <v>0.474</v>
      </c>
      <c r="H1969" s="7" t="n">
        <v>2024</v>
      </c>
      <c r="I1969" s="7" t="inlineStr">
        <is>
          <t>release_generation_yearly_global.csv (Ember)</t>
        </is>
      </c>
    </row>
    <row r="1970">
      <c r="A1970" s="7" t="inlineStr">
        <is>
          <t>NOR</t>
        </is>
      </c>
      <c r="B1970" s="7" t="inlineStr">
        <is>
          <t>Norway</t>
        </is>
      </c>
      <c r="C1970" s="7" t="inlineStr">
        <is>
          <t>Europe &amp; Central Asia</t>
        </is>
      </c>
      <c r="D1970" s="7" t="inlineStr">
        <is>
          <t>High income</t>
        </is>
      </c>
      <c r="E1970" s="7" t="b">
        <v>0</v>
      </c>
      <c r="F1970" s="7" t="inlineStr">
        <is>
          <t>ff_subsidy_explicit_pct_gdp</t>
        </is>
      </c>
      <c r="G1970" s="7" t="n">
        <v>0</v>
      </c>
      <c r="H1970" s="7" t="inlineStr">
        <is>
          <t>2024</t>
        </is>
      </c>
      <c r="I1970" s="7" t="inlineStr">
        <is>
          <t>imffossilfuelsubsidiesdata.xlsb</t>
        </is>
      </c>
    </row>
    <row r="1971">
      <c r="A1971" s="7" t="inlineStr">
        <is>
          <t>NOR</t>
        </is>
      </c>
      <c r="B1971" s="7" t="inlineStr">
        <is>
          <t>Norway</t>
        </is>
      </c>
      <c r="C1971" s="7" t="inlineStr">
        <is>
          <t>Europe &amp; Central Asia</t>
        </is>
      </c>
      <c r="D1971" s="7" t="inlineStr">
        <is>
          <t>High income</t>
        </is>
      </c>
      <c r="E1971" s="7" t="b">
        <v>0</v>
      </c>
      <c r="F1971" s="7" t="inlineStr">
        <is>
          <t>fuel_exports_pct_merch</t>
        </is>
      </c>
      <c r="G1971" s="7" t="n">
        <v>62.308</v>
      </c>
      <c r="H1971" s="7" t="inlineStr">
        <is>
          <t>2025</t>
        </is>
      </c>
      <c r="I1971" s="7" t="inlineStr">
        <is>
          <t>API_TX_VAL_FUEL_ZS_UN_DS2_en_csv_v2_33055.zip</t>
        </is>
      </c>
    </row>
    <row r="1972">
      <c r="A1972" s="7" t="inlineStr">
        <is>
          <t>NOR</t>
        </is>
      </c>
      <c r="B1972" s="7" t="inlineStr">
        <is>
          <t>Norway</t>
        </is>
      </c>
      <c r="C1972" s="7" t="inlineStr">
        <is>
          <t>Europe &amp; Central Asia</t>
        </is>
      </c>
      <c r="D1972" s="7" t="inlineStr">
        <is>
          <t>High income</t>
        </is>
      </c>
      <c r="E1972" s="7" t="b">
        <v>0</v>
      </c>
      <c r="F1972" s="7" t="inlineStr">
        <is>
          <t>gen_coal_twh</t>
        </is>
      </c>
      <c r="G1972" s="7" t="n">
        <v>0</v>
      </c>
      <c r="H1972" s="7" t="n">
        <v>2024</v>
      </c>
      <c r="I1972" s="7" t="inlineStr">
        <is>
          <t>release_generation_yearly_global.csv (Ember)</t>
        </is>
      </c>
    </row>
    <row r="1973">
      <c r="A1973" s="7" t="inlineStr">
        <is>
          <t>NOR</t>
        </is>
      </c>
      <c r="B1973" s="7" t="inlineStr">
        <is>
          <t>Norway</t>
        </is>
      </c>
      <c r="C1973" s="7" t="inlineStr">
        <is>
          <t>Europe &amp; Central Asia</t>
        </is>
      </c>
      <c r="D1973" s="7" t="inlineStr">
        <is>
          <t>High income</t>
        </is>
      </c>
      <c r="E1973" s="7" t="b">
        <v>0</v>
      </c>
      <c r="F1973" s="7" t="inlineStr">
        <is>
          <t>gen_gas_twh</t>
        </is>
      </c>
      <c r="G1973" s="7" t="n">
        <v>1.47</v>
      </c>
      <c r="H1973" s="7" t="n">
        <v>2024</v>
      </c>
      <c r="I1973" s="7" t="inlineStr">
        <is>
          <t>release_generation_yearly_global.csv (Ember)</t>
        </is>
      </c>
    </row>
    <row r="1974">
      <c r="A1974" s="7" t="inlineStr">
        <is>
          <t>NOR</t>
        </is>
      </c>
      <c r="B1974" s="7" t="inlineStr">
        <is>
          <t>Norway</t>
        </is>
      </c>
      <c r="C1974" s="7" t="inlineStr">
        <is>
          <t>Europe &amp; Central Asia</t>
        </is>
      </c>
      <c r="D1974" s="7" t="inlineStr">
        <is>
          <t>High income</t>
        </is>
      </c>
      <c r="E1974" s="7" t="b">
        <v>0</v>
      </c>
      <c r="F1974" s="7" t="inlineStr">
        <is>
          <t>gen_oil_twh</t>
        </is>
      </c>
      <c r="G1974" s="7" t="n">
        <v>0.72</v>
      </c>
      <c r="H1974" s="7" t="n">
        <v>2024</v>
      </c>
      <c r="I1974" s="7" t="inlineStr">
        <is>
          <t>release_generation_yearly_global.csv (Ember)</t>
        </is>
      </c>
    </row>
    <row r="1975">
      <c r="A1975" s="7" t="inlineStr">
        <is>
          <t>NOR</t>
        </is>
      </c>
      <c r="B1975" s="7" t="inlineStr">
        <is>
          <t>Norway</t>
        </is>
      </c>
      <c r="C1975" s="7" t="inlineStr">
        <is>
          <t>Europe &amp; Central Asia</t>
        </is>
      </c>
      <c r="D1975" s="7" t="inlineStr">
        <is>
          <t>High income</t>
        </is>
      </c>
      <c r="E1975" s="7" t="b">
        <v>0</v>
      </c>
      <c r="F1975" s="7" t="inlineStr">
        <is>
          <t>gen_total_twh</t>
        </is>
      </c>
      <c r="G1975" s="7" t="n">
        <v>157.11</v>
      </c>
      <c r="H1975" s="7" t="n">
        <v>2024</v>
      </c>
      <c r="I1975" s="7" t="inlineStr">
        <is>
          <t>release_generation_yearly_global.csv (Ember)</t>
        </is>
      </c>
    </row>
    <row r="1976">
      <c r="A1976" s="7" t="inlineStr">
        <is>
          <t>NOR</t>
        </is>
      </c>
      <c r="B1976" s="7" t="inlineStr">
        <is>
          <t>Norway</t>
        </is>
      </c>
      <c r="C1976" s="7" t="inlineStr">
        <is>
          <t>Europe &amp; Central Asia</t>
        </is>
      </c>
      <c r="D1976" s="7" t="inlineStr">
        <is>
          <t>High income</t>
        </is>
      </c>
      <c r="E1976" s="7" t="b">
        <v>0</v>
      </c>
      <c r="F1976" s="7" t="inlineStr">
        <is>
          <t>price_coal_power_usd_gj</t>
        </is>
      </c>
      <c r="G1976" s="7" t="n">
        <v>11.801</v>
      </c>
      <c r="H1976" s="7" t="inlineStr">
        <is>
          <t>2024</t>
        </is>
      </c>
      <c r="I1976" s="7" t="inlineStr">
        <is>
          <t>imffossilfuelsubsidiesdata.xlsb</t>
        </is>
      </c>
    </row>
    <row r="1977">
      <c r="A1977" s="7" t="inlineStr">
        <is>
          <t>NOR</t>
        </is>
      </c>
      <c r="B1977" s="7" t="inlineStr">
        <is>
          <t>Norway</t>
        </is>
      </c>
      <c r="C1977" s="7" t="inlineStr">
        <is>
          <t>Europe &amp; Central Asia</t>
        </is>
      </c>
      <c r="D1977" s="7" t="inlineStr">
        <is>
          <t>High income</t>
        </is>
      </c>
      <c r="E1977" s="7" t="b">
        <v>0</v>
      </c>
      <c r="F1977" s="7" t="inlineStr">
        <is>
          <t>price_electricity_residential_usd_kwh</t>
        </is>
      </c>
      <c r="G1977" s="7" t="n">
        <v>0.211</v>
      </c>
      <c r="H1977" s="7" t="inlineStr">
        <is>
          <t>2024</t>
        </is>
      </c>
      <c r="I1977" s="7" t="inlineStr">
        <is>
          <t>imffossilfuelsubsidiesdata.xlsb</t>
        </is>
      </c>
    </row>
    <row r="1978">
      <c r="A1978" s="7" t="inlineStr">
        <is>
          <t>NOR</t>
        </is>
      </c>
      <c r="B1978" s="7" t="inlineStr">
        <is>
          <t>Norway</t>
        </is>
      </c>
      <c r="C1978" s="7" t="inlineStr">
        <is>
          <t>Europe &amp; Central Asia</t>
        </is>
      </c>
      <c r="D1978" s="7" t="inlineStr">
        <is>
          <t>High income</t>
        </is>
      </c>
      <c r="E1978" s="7" t="b">
        <v>0</v>
      </c>
      <c r="F1978" s="7" t="inlineStr">
        <is>
          <t>price_gas_industry_usd_gj</t>
        </is>
      </c>
      <c r="G1978" s="7" t="n">
        <v>10.359</v>
      </c>
      <c r="H1978" s="7" t="inlineStr">
        <is>
          <t>2024</t>
        </is>
      </c>
      <c r="I1978" s="7" t="inlineStr">
        <is>
          <t>imffossilfuelsubsidiesdata.xlsb</t>
        </is>
      </c>
    </row>
    <row r="1979">
      <c r="A1979" s="7" t="inlineStr">
        <is>
          <t>NOR</t>
        </is>
      </c>
      <c r="B1979" s="7" t="inlineStr">
        <is>
          <t>Norway</t>
        </is>
      </c>
      <c r="C1979" s="7" t="inlineStr">
        <is>
          <t>Europe &amp; Central Asia</t>
        </is>
      </c>
      <c r="D1979" s="7" t="inlineStr">
        <is>
          <t>High income</t>
        </is>
      </c>
      <c r="E1979" s="7" t="b">
        <v>0</v>
      </c>
      <c r="F1979" s="7" t="inlineStr">
        <is>
          <t>price_gas_power_usd_gj</t>
        </is>
      </c>
      <c r="G1979" s="7" t="n">
        <v>9.683999999999999</v>
      </c>
      <c r="H1979" s="7" t="inlineStr">
        <is>
          <t>2024</t>
        </is>
      </c>
      <c r="I1979" s="7" t="inlineStr">
        <is>
          <t>imffossilfuelsubsidiesdata.xlsb</t>
        </is>
      </c>
    </row>
    <row r="1980">
      <c r="A1980" s="7" t="inlineStr">
        <is>
          <t>NOR</t>
        </is>
      </c>
      <c r="B1980" s="7" t="inlineStr">
        <is>
          <t>Norway</t>
        </is>
      </c>
      <c r="C1980" s="7" t="inlineStr">
        <is>
          <t>Europe &amp; Central Asia</t>
        </is>
      </c>
      <c r="D1980" s="7" t="inlineStr">
        <is>
          <t>High income</t>
        </is>
      </c>
      <c r="E1980" s="7" t="b">
        <v>0</v>
      </c>
      <c r="F1980" s="7" t="inlineStr">
        <is>
          <t>rise_renewable_energy_score</t>
        </is>
      </c>
      <c r="G1980" s="7" t="n">
        <v>69.48099999999999</v>
      </c>
      <c r="H1980" s="7" t="inlineStr">
        <is>
          <t>2023</t>
        </is>
      </c>
      <c r="I1980" s="7" t="inlineStr">
        <is>
          <t>WB_RISE_WIDEF.csv</t>
        </is>
      </c>
    </row>
    <row r="1981">
      <c r="A1981" s="7" t="inlineStr">
        <is>
          <t>NPL</t>
        </is>
      </c>
      <c r="B1981" s="7" t="inlineStr">
        <is>
          <t>Nepal</t>
        </is>
      </c>
      <c r="C1981" s="7" t="inlineStr">
        <is>
          <t>South Asia</t>
        </is>
      </c>
      <c r="D1981" s="7" t="inlineStr">
        <is>
          <t>Lower middle income</t>
        </is>
      </c>
      <c r="E1981" s="7" t="b">
        <v>1</v>
      </c>
      <c r="F1981" s="7" t="inlineStr">
        <is>
          <t>coal_rents_pct_gdp</t>
        </is>
      </c>
      <c r="G1981" s="7" t="n">
        <v>0.006</v>
      </c>
      <c r="H1981" s="7" t="inlineStr">
        <is>
          <t>2021</t>
        </is>
      </c>
      <c r="I1981" s="7" t="inlineStr">
        <is>
          <t>API_NY_GDP_COAL_RT_ZS_DS2_en_csv_v2_35370.zip</t>
        </is>
      </c>
    </row>
    <row r="1982">
      <c r="A1982" s="7" t="inlineStr">
        <is>
          <t>NPL</t>
        </is>
      </c>
      <c r="B1982" s="7" t="inlineStr">
        <is>
          <t>Nepal</t>
        </is>
      </c>
      <c r="C1982" s="7" t="inlineStr">
        <is>
          <t>South Asia</t>
        </is>
      </c>
      <c r="D1982" s="7" t="inlineStr">
        <is>
          <t>Lower middle income</t>
        </is>
      </c>
      <c r="E1982" s="7" t="b">
        <v>1</v>
      </c>
      <c r="F1982" s="7" t="inlineStr">
        <is>
          <t>em_coal_mt</t>
        </is>
      </c>
      <c r="G1982" s="7" t="n">
        <v>0</v>
      </c>
      <c r="H1982" s="7" t="n">
        <v>2024</v>
      </c>
      <c r="I1982" s="7" t="inlineStr">
        <is>
          <t>release_generation_yearly_global.csv (Ember)</t>
        </is>
      </c>
    </row>
    <row r="1983">
      <c r="A1983" s="7" t="inlineStr">
        <is>
          <t>NPL</t>
        </is>
      </c>
      <c r="B1983" s="7" t="inlineStr">
        <is>
          <t>Nepal</t>
        </is>
      </c>
      <c r="C1983" s="7" t="inlineStr">
        <is>
          <t>South Asia</t>
        </is>
      </c>
      <c r="D1983" s="7" t="inlineStr">
        <is>
          <t>Lower middle income</t>
        </is>
      </c>
      <c r="E1983" s="7" t="b">
        <v>1</v>
      </c>
      <c r="F1983" s="7" t="inlineStr">
        <is>
          <t>em_gas_mt</t>
        </is>
      </c>
      <c r="G1983" s="7" t="n">
        <v>0</v>
      </c>
      <c r="H1983" s="7" t="n">
        <v>2024</v>
      </c>
      <c r="I1983" s="7" t="inlineStr">
        <is>
          <t>release_generation_yearly_global.csv (Ember)</t>
        </is>
      </c>
    </row>
    <row r="1984">
      <c r="A1984" s="7" t="inlineStr">
        <is>
          <t>NPL</t>
        </is>
      </c>
      <c r="B1984" s="7" t="inlineStr">
        <is>
          <t>Nepal</t>
        </is>
      </c>
      <c r="C1984" s="7" t="inlineStr">
        <is>
          <t>South Asia</t>
        </is>
      </c>
      <c r="D1984" s="7" t="inlineStr">
        <is>
          <t>Lower middle income</t>
        </is>
      </c>
      <c r="E1984" s="7" t="b">
        <v>1</v>
      </c>
      <c r="F1984" s="7" t="inlineStr">
        <is>
          <t>em_oil_mt</t>
        </is>
      </c>
      <c r="G1984" s="7" t="n">
        <v>0</v>
      </c>
      <c r="H1984" s="7" t="n">
        <v>2024</v>
      </c>
      <c r="I1984" s="7" t="inlineStr">
        <is>
          <t>release_generation_yearly_global.csv (Ember)</t>
        </is>
      </c>
    </row>
    <row r="1985">
      <c r="A1985" s="7" t="inlineStr">
        <is>
          <t>NPL</t>
        </is>
      </c>
      <c r="B1985" s="7" t="inlineStr">
        <is>
          <t>Nepal</t>
        </is>
      </c>
      <c r="C1985" s="7" t="inlineStr">
        <is>
          <t>South Asia</t>
        </is>
      </c>
      <c r="D1985" s="7" t="inlineStr">
        <is>
          <t>Lower middle income</t>
        </is>
      </c>
      <c r="E1985" s="7" t="b">
        <v>1</v>
      </c>
      <c r="F1985" s="7" t="inlineStr">
        <is>
          <t>ff_subsidy_explicit_pct_gdp</t>
        </is>
      </c>
      <c r="G1985" s="7" t="n">
        <v>0.007</v>
      </c>
      <c r="H1985" s="7" t="inlineStr">
        <is>
          <t>2024</t>
        </is>
      </c>
      <c r="I1985" s="7" t="inlineStr">
        <is>
          <t>imffossilfuelsubsidiesdata.xlsb</t>
        </is>
      </c>
    </row>
    <row r="1986">
      <c r="A1986" s="7" t="inlineStr">
        <is>
          <t>NPL</t>
        </is>
      </c>
      <c r="B1986" s="7" t="inlineStr">
        <is>
          <t>Nepal</t>
        </is>
      </c>
      <c r="C1986" s="7" t="inlineStr">
        <is>
          <t>South Asia</t>
        </is>
      </c>
      <c r="D1986" s="7" t="inlineStr">
        <is>
          <t>Lower middle income</t>
        </is>
      </c>
      <c r="E1986" s="7" t="b">
        <v>1</v>
      </c>
      <c r="F1986" s="7" t="inlineStr">
        <is>
          <t>fuel_exports_pct_merch</t>
        </is>
      </c>
      <c r="G1986" s="7" t="n">
        <v>0</v>
      </c>
      <c r="H1986" s="7" t="inlineStr">
        <is>
          <t>2022</t>
        </is>
      </c>
      <c r="I1986" s="7" t="inlineStr">
        <is>
          <t>API_TX_VAL_FUEL_ZS_UN_DS2_en_csv_v2_33055.zip</t>
        </is>
      </c>
    </row>
    <row r="1987">
      <c r="A1987" s="7" t="inlineStr">
        <is>
          <t>NPL</t>
        </is>
      </c>
      <c r="B1987" s="7" t="inlineStr">
        <is>
          <t>Nepal</t>
        </is>
      </c>
      <c r="C1987" s="7" t="inlineStr">
        <is>
          <t>South Asia</t>
        </is>
      </c>
      <c r="D1987" s="7" t="inlineStr">
        <is>
          <t>Lower middle income</t>
        </is>
      </c>
      <c r="E1987" s="7" t="b">
        <v>1</v>
      </c>
      <c r="F1987" s="7" t="inlineStr">
        <is>
          <t>gen_coal_twh</t>
        </is>
      </c>
      <c r="G1987" s="7" t="n">
        <v>0</v>
      </c>
      <c r="H1987" s="7" t="n">
        <v>2024</v>
      </c>
      <c r="I1987" s="7" t="inlineStr">
        <is>
          <t>release_generation_yearly_global.csv (Ember)</t>
        </is>
      </c>
    </row>
    <row r="1988">
      <c r="A1988" s="7" t="inlineStr">
        <is>
          <t>NPL</t>
        </is>
      </c>
      <c r="B1988" s="7" t="inlineStr">
        <is>
          <t>Nepal</t>
        </is>
      </c>
      <c r="C1988" s="7" t="inlineStr">
        <is>
          <t>South Asia</t>
        </is>
      </c>
      <c r="D1988" s="7" t="inlineStr">
        <is>
          <t>Lower middle income</t>
        </is>
      </c>
      <c r="E1988" s="7" t="b">
        <v>1</v>
      </c>
      <c r="F1988" s="7" t="inlineStr">
        <is>
          <t>gen_gas_twh</t>
        </is>
      </c>
      <c r="G1988" s="7" t="n">
        <v>0</v>
      </c>
      <c r="H1988" s="7" t="n">
        <v>2024</v>
      </c>
      <c r="I1988" s="7" t="inlineStr">
        <is>
          <t>release_generation_yearly_global.csv (Ember)</t>
        </is>
      </c>
    </row>
    <row r="1989">
      <c r="A1989" s="7" t="inlineStr">
        <is>
          <t>NPL</t>
        </is>
      </c>
      <c r="B1989" s="7" t="inlineStr">
        <is>
          <t>Nepal</t>
        </is>
      </c>
      <c r="C1989" s="7" t="inlineStr">
        <is>
          <t>South Asia</t>
        </is>
      </c>
      <c r="D1989" s="7" t="inlineStr">
        <is>
          <t>Lower middle income</t>
        </is>
      </c>
      <c r="E1989" s="7" t="b">
        <v>1</v>
      </c>
      <c r="F1989" s="7" t="inlineStr">
        <is>
          <t>gen_oil_twh</t>
        </is>
      </c>
      <c r="G1989" s="7" t="n">
        <v>0</v>
      </c>
      <c r="H1989" s="7" t="n">
        <v>2024</v>
      </c>
      <c r="I1989" s="7" t="inlineStr">
        <is>
          <t>release_generation_yearly_global.csv (Ember)</t>
        </is>
      </c>
    </row>
    <row r="1990">
      <c r="A1990" s="7" t="inlineStr">
        <is>
          <t>NPL</t>
        </is>
      </c>
      <c r="B1990" s="7" t="inlineStr">
        <is>
          <t>Nepal</t>
        </is>
      </c>
      <c r="C1990" s="7" t="inlineStr">
        <is>
          <t>South Asia</t>
        </is>
      </c>
      <c r="D1990" s="7" t="inlineStr">
        <is>
          <t>Lower middle income</t>
        </is>
      </c>
      <c r="E1990" s="7" t="b">
        <v>1</v>
      </c>
      <c r="F1990" s="7" t="inlineStr">
        <is>
          <t>gen_total_twh</t>
        </is>
      </c>
      <c r="G1990" s="7" t="n">
        <v>11.13</v>
      </c>
      <c r="H1990" s="7" t="n">
        <v>2024</v>
      </c>
      <c r="I1990" s="7" t="inlineStr">
        <is>
          <t>release_generation_yearly_global.csv (Ember)</t>
        </is>
      </c>
    </row>
    <row r="1991">
      <c r="A1991" s="7" t="inlineStr">
        <is>
          <t>NPL</t>
        </is>
      </c>
      <c r="B1991" s="7" t="inlineStr">
        <is>
          <t>Nepal</t>
        </is>
      </c>
      <c r="C1991" s="7" t="inlineStr">
        <is>
          <t>South Asia</t>
        </is>
      </c>
      <c r="D1991" s="7" t="inlineStr">
        <is>
          <t>Lower middle income</t>
        </is>
      </c>
      <c r="E1991" s="7" t="b">
        <v>1</v>
      </c>
      <c r="F1991" s="7" t="inlineStr">
        <is>
          <t>power_market_structure</t>
        </is>
      </c>
      <c r="G1991" s="7" t="n">
        <v>2</v>
      </c>
      <c r="H1991" s="7" t="inlineStr">
        <is>
          <t>2013</t>
        </is>
      </c>
      <c r="I1991" s="7" t="inlineStr">
        <is>
          <t>dataverse_files.zip</t>
        </is>
      </c>
    </row>
    <row r="1992">
      <c r="A1992" s="7" t="inlineStr">
        <is>
          <t>NPL</t>
        </is>
      </c>
      <c r="B1992" s="7" t="inlineStr">
        <is>
          <t>Nepal</t>
        </is>
      </c>
      <c r="C1992" s="7" t="inlineStr">
        <is>
          <t>South Asia</t>
        </is>
      </c>
      <c r="D1992" s="7" t="inlineStr">
        <is>
          <t>Lower middle income</t>
        </is>
      </c>
      <c r="E1992" s="7" t="b">
        <v>1</v>
      </c>
      <c r="F1992" s="7" t="inlineStr">
        <is>
          <t>price_coal_power_usd_gj</t>
        </is>
      </c>
      <c r="G1992" s="7" t="n">
        <v>4.817</v>
      </c>
      <c r="H1992" s="7" t="inlineStr">
        <is>
          <t>2024</t>
        </is>
      </c>
      <c r="I1992" s="7" t="inlineStr">
        <is>
          <t>imffossilfuelsubsidiesdata.xlsb</t>
        </is>
      </c>
    </row>
    <row r="1993">
      <c r="A1993" s="7" t="inlineStr">
        <is>
          <t>NPL</t>
        </is>
      </c>
      <c r="B1993" s="7" t="inlineStr">
        <is>
          <t>Nepal</t>
        </is>
      </c>
      <c r="C1993" s="7" t="inlineStr">
        <is>
          <t>South Asia</t>
        </is>
      </c>
      <c r="D1993" s="7" t="inlineStr">
        <is>
          <t>Lower middle income</t>
        </is>
      </c>
      <c r="E1993" s="7" t="b">
        <v>1</v>
      </c>
      <c r="F1993" s="7" t="inlineStr">
        <is>
          <t>price_electricity_residential_usd_kwh</t>
        </is>
      </c>
      <c r="G1993" s="7" t="n">
        <v>0.058</v>
      </c>
      <c r="H1993" s="7" t="inlineStr">
        <is>
          <t>2024</t>
        </is>
      </c>
      <c r="I1993" s="7" t="inlineStr">
        <is>
          <t>imffossilfuelsubsidiesdata.xlsb</t>
        </is>
      </c>
    </row>
    <row r="1994">
      <c r="A1994" s="7" t="inlineStr">
        <is>
          <t>NPL</t>
        </is>
      </c>
      <c r="B1994" s="7" t="inlineStr">
        <is>
          <t>Nepal</t>
        </is>
      </c>
      <c r="C1994" s="7" t="inlineStr">
        <is>
          <t>South Asia</t>
        </is>
      </c>
      <c r="D1994" s="7" t="inlineStr">
        <is>
          <t>Lower middle income</t>
        </is>
      </c>
      <c r="E1994" s="7" t="b">
        <v>1</v>
      </c>
      <c r="F1994" s="7" t="inlineStr">
        <is>
          <t>price_gas_industry_usd_gj</t>
        </is>
      </c>
      <c r="G1994" s="7" t="n">
        <v>7.785</v>
      </c>
      <c r="H1994" s="7" t="inlineStr">
        <is>
          <t>2024</t>
        </is>
      </c>
      <c r="I1994" s="7" t="inlineStr">
        <is>
          <t>imffossilfuelsubsidiesdata.xlsb</t>
        </is>
      </c>
    </row>
    <row r="1995">
      <c r="A1995" s="7" t="inlineStr">
        <is>
          <t>NPL</t>
        </is>
      </c>
      <c r="B1995" s="7" t="inlineStr">
        <is>
          <t>Nepal</t>
        </is>
      </c>
      <c r="C1995" s="7" t="inlineStr">
        <is>
          <t>South Asia</t>
        </is>
      </c>
      <c r="D1995" s="7" t="inlineStr">
        <is>
          <t>Lower middle income</t>
        </is>
      </c>
      <c r="E1995" s="7" t="b">
        <v>1</v>
      </c>
      <c r="F1995" s="7" t="inlineStr">
        <is>
          <t>price_gas_power_usd_gj</t>
        </is>
      </c>
      <c r="G1995" s="7" t="n">
        <v>6.461</v>
      </c>
      <c r="H1995" s="7" t="inlineStr">
        <is>
          <t>2024</t>
        </is>
      </c>
      <c r="I1995" s="7" t="inlineStr">
        <is>
          <t>imffossilfuelsubsidiesdata.xlsb</t>
        </is>
      </c>
    </row>
    <row r="1996">
      <c r="A1996" s="7" t="inlineStr">
        <is>
          <t>NPL</t>
        </is>
      </c>
      <c r="B1996" s="7" t="inlineStr">
        <is>
          <t>Nepal</t>
        </is>
      </c>
      <c r="C1996" s="7" t="inlineStr">
        <is>
          <t>South Asia</t>
        </is>
      </c>
      <c r="D1996" s="7" t="inlineStr">
        <is>
          <t>Lower middle income</t>
        </is>
      </c>
      <c r="E1996" s="7" t="b">
        <v>1</v>
      </c>
      <c r="F1996" s="7" t="inlineStr">
        <is>
          <t>rise_renewable_energy_score</t>
        </is>
      </c>
      <c r="G1996" s="7" t="n">
        <v>20.325</v>
      </c>
      <c r="H1996" s="7" t="inlineStr">
        <is>
          <t>2023</t>
        </is>
      </c>
      <c r="I1996" s="7" t="inlineStr">
        <is>
          <t>WB_RISE_WIDEF.csv</t>
        </is>
      </c>
    </row>
    <row r="1997">
      <c r="A1997" s="7" t="inlineStr">
        <is>
          <t>NRU</t>
        </is>
      </c>
      <c r="B1997" s="7" t="inlineStr">
        <is>
          <t>Naoero</t>
        </is>
      </c>
      <c r="C1997" s="7" t="inlineStr">
        <is>
          <t>East Asia &amp; Pacific</t>
        </is>
      </c>
      <c r="D1997" s="7" t="inlineStr">
        <is>
          <t>High income</t>
        </is>
      </c>
      <c r="E1997" s="7" t="b">
        <v>0</v>
      </c>
      <c r="F1997" s="7" t="inlineStr">
        <is>
          <t>em_coal_mt</t>
        </is>
      </c>
      <c r="G1997" s="7" t="n">
        <v>0</v>
      </c>
      <c r="H1997" s="7" t="n">
        <v>2024</v>
      </c>
      <c r="I1997" s="7" t="inlineStr">
        <is>
          <t>release_generation_yearly_global.csv (Ember)</t>
        </is>
      </c>
    </row>
    <row r="1998">
      <c r="A1998" s="7" t="inlineStr">
        <is>
          <t>NRU</t>
        </is>
      </c>
      <c r="B1998" s="7" t="inlineStr">
        <is>
          <t>Naoero</t>
        </is>
      </c>
      <c r="C1998" s="7" t="inlineStr">
        <is>
          <t>East Asia &amp; Pacific</t>
        </is>
      </c>
      <c r="D1998" s="7" t="inlineStr">
        <is>
          <t>High income</t>
        </is>
      </c>
      <c r="E1998" s="7" t="b">
        <v>0</v>
      </c>
      <c r="F1998" s="7" t="inlineStr">
        <is>
          <t>em_gas_mt</t>
        </is>
      </c>
      <c r="G1998" s="7" t="n">
        <v>0</v>
      </c>
      <c r="H1998" s="7" t="n">
        <v>2024</v>
      </c>
      <c r="I1998" s="7" t="inlineStr">
        <is>
          <t>release_generation_yearly_global.csv (Ember)</t>
        </is>
      </c>
    </row>
    <row r="1999">
      <c r="A1999" s="7" t="inlineStr">
        <is>
          <t>NRU</t>
        </is>
      </c>
      <c r="B1999" s="7" t="inlineStr">
        <is>
          <t>Naoero</t>
        </is>
      </c>
      <c r="C1999" s="7" t="inlineStr">
        <is>
          <t>East Asia &amp; Pacific</t>
        </is>
      </c>
      <c r="D1999" s="7" t="inlineStr">
        <is>
          <t>High income</t>
        </is>
      </c>
      <c r="E1999" s="7" t="b">
        <v>0</v>
      </c>
      <c r="F1999" s="7" t="inlineStr">
        <is>
          <t>em_oil_mt</t>
        </is>
      </c>
      <c r="G1999" s="7" t="n">
        <v>0.026</v>
      </c>
      <c r="H1999" s="7" t="n">
        <v>2024</v>
      </c>
      <c r="I1999" s="7" t="inlineStr">
        <is>
          <t>release_generation_yearly_global.csv (Ember)</t>
        </is>
      </c>
    </row>
    <row r="2000">
      <c r="A2000" s="7" t="inlineStr">
        <is>
          <t>NRU</t>
        </is>
      </c>
      <c r="B2000" s="7" t="inlineStr">
        <is>
          <t>Naoero</t>
        </is>
      </c>
      <c r="C2000" s="7" t="inlineStr">
        <is>
          <t>East Asia &amp; Pacific</t>
        </is>
      </c>
      <c r="D2000" s="7" t="inlineStr">
        <is>
          <t>High income</t>
        </is>
      </c>
      <c r="E2000" s="7" t="b">
        <v>0</v>
      </c>
      <c r="F2000" s="7" t="inlineStr">
        <is>
          <t>ff_subsidy_explicit_pct_gdp</t>
        </is>
      </c>
      <c r="G2000" s="7" t="n">
        <v>0</v>
      </c>
      <c r="H2000" s="7" t="inlineStr">
        <is>
          <t>2024</t>
        </is>
      </c>
      <c r="I2000" s="7" t="inlineStr">
        <is>
          <t>imffossilfuelsubsidiesdata.xlsb</t>
        </is>
      </c>
    </row>
    <row r="2001">
      <c r="A2001" s="7" t="inlineStr">
        <is>
          <t>NRU</t>
        </is>
      </c>
      <c r="B2001" s="7" t="inlineStr">
        <is>
          <t>Naoero</t>
        </is>
      </c>
      <c r="C2001" s="7" t="inlineStr">
        <is>
          <t>East Asia &amp; Pacific</t>
        </is>
      </c>
      <c r="D2001" s="7" t="inlineStr">
        <is>
          <t>High income</t>
        </is>
      </c>
      <c r="E2001" s="7" t="b">
        <v>0</v>
      </c>
      <c r="F2001" s="7" t="inlineStr">
        <is>
          <t>gen_coal_twh</t>
        </is>
      </c>
      <c r="G2001" s="7" t="n">
        <v>0</v>
      </c>
      <c r="H2001" s="7" t="n">
        <v>2024</v>
      </c>
      <c r="I2001" s="7" t="inlineStr">
        <is>
          <t>release_generation_yearly_global.csv (Ember)</t>
        </is>
      </c>
    </row>
    <row r="2002">
      <c r="A2002" s="7" t="inlineStr">
        <is>
          <t>NRU</t>
        </is>
      </c>
      <c r="B2002" s="7" t="inlineStr">
        <is>
          <t>Naoero</t>
        </is>
      </c>
      <c r="C2002" s="7" t="inlineStr">
        <is>
          <t>East Asia &amp; Pacific</t>
        </is>
      </c>
      <c r="D2002" s="7" t="inlineStr">
        <is>
          <t>High income</t>
        </is>
      </c>
      <c r="E2002" s="7" t="b">
        <v>0</v>
      </c>
      <c r="F2002" s="7" t="inlineStr">
        <is>
          <t>gen_gas_twh</t>
        </is>
      </c>
      <c r="G2002" s="7" t="n">
        <v>0</v>
      </c>
      <c r="H2002" s="7" t="n">
        <v>2024</v>
      </c>
      <c r="I2002" s="7" t="inlineStr">
        <is>
          <t>release_generation_yearly_global.csv (Ember)</t>
        </is>
      </c>
    </row>
    <row r="2003">
      <c r="A2003" s="7" t="inlineStr">
        <is>
          <t>NRU</t>
        </is>
      </c>
      <c r="B2003" s="7" t="inlineStr">
        <is>
          <t>Naoero</t>
        </is>
      </c>
      <c r="C2003" s="7" t="inlineStr">
        <is>
          <t>East Asia &amp; Pacific</t>
        </is>
      </c>
      <c r="D2003" s="7" t="inlineStr">
        <is>
          <t>High income</t>
        </is>
      </c>
      <c r="E2003" s="7" t="b">
        <v>0</v>
      </c>
      <c r="F2003" s="7" t="inlineStr">
        <is>
          <t>gen_oil_twh</t>
        </is>
      </c>
      <c r="G2003" s="7" t="n">
        <v>0.04</v>
      </c>
      <c r="H2003" s="7" t="n">
        <v>2024</v>
      </c>
      <c r="I2003" s="7" t="inlineStr">
        <is>
          <t>release_generation_yearly_global.csv (Ember)</t>
        </is>
      </c>
    </row>
    <row r="2004">
      <c r="A2004" s="7" t="inlineStr">
        <is>
          <t>NRU</t>
        </is>
      </c>
      <c r="B2004" s="7" t="inlineStr">
        <is>
          <t>Naoero</t>
        </is>
      </c>
      <c r="C2004" s="7" t="inlineStr">
        <is>
          <t>East Asia &amp; Pacific</t>
        </is>
      </c>
      <c r="D2004" s="7" t="inlineStr">
        <is>
          <t>High income</t>
        </is>
      </c>
      <c r="E2004" s="7" t="b">
        <v>0</v>
      </c>
      <c r="F2004" s="7" t="inlineStr">
        <is>
          <t>gen_total_twh</t>
        </is>
      </c>
      <c r="G2004" s="7" t="n">
        <v>0.05</v>
      </c>
      <c r="H2004" s="7" t="n">
        <v>2024</v>
      </c>
      <c r="I2004" s="7" t="inlineStr">
        <is>
          <t>release_generation_yearly_global.csv (Ember)</t>
        </is>
      </c>
    </row>
    <row r="2005">
      <c r="A2005" s="7" t="inlineStr">
        <is>
          <t>NRU</t>
        </is>
      </c>
      <c r="B2005" s="7" t="inlineStr">
        <is>
          <t>Naoero</t>
        </is>
      </c>
      <c r="C2005" s="7" t="inlineStr">
        <is>
          <t>East Asia &amp; Pacific</t>
        </is>
      </c>
      <c r="D2005" s="7" t="inlineStr">
        <is>
          <t>High income</t>
        </is>
      </c>
      <c r="E2005" s="7" t="b">
        <v>0</v>
      </c>
      <c r="F2005" s="7" t="inlineStr">
        <is>
          <t>price_coal_power_usd_gj</t>
        </is>
      </c>
      <c r="G2005" s="7" t="n">
        <v>4.833</v>
      </c>
      <c r="H2005" s="7" t="inlineStr">
        <is>
          <t>2024</t>
        </is>
      </c>
      <c r="I2005" s="7" t="inlineStr">
        <is>
          <t>imffossilfuelsubsidiesdata.xlsb</t>
        </is>
      </c>
    </row>
    <row r="2006">
      <c r="A2006" s="7" t="inlineStr">
        <is>
          <t>NRU</t>
        </is>
      </c>
      <c r="B2006" s="7" t="inlineStr">
        <is>
          <t>Naoero</t>
        </is>
      </c>
      <c r="C2006" s="7" t="inlineStr">
        <is>
          <t>East Asia &amp; Pacific</t>
        </is>
      </c>
      <c r="D2006" s="7" t="inlineStr">
        <is>
          <t>High income</t>
        </is>
      </c>
      <c r="E2006" s="7" t="b">
        <v>0</v>
      </c>
      <c r="F2006" s="7" t="inlineStr">
        <is>
          <t>price_electricity_residential_usd_kwh</t>
        </is>
      </c>
      <c r="G2006" s="7" t="n">
        <v>0.269</v>
      </c>
      <c r="H2006" s="7" t="inlineStr">
        <is>
          <t>2024</t>
        </is>
      </c>
      <c r="I2006" s="7" t="inlineStr">
        <is>
          <t>imffossilfuelsubsidiesdata.xlsb</t>
        </is>
      </c>
    </row>
    <row r="2007">
      <c r="A2007" s="7" t="inlineStr">
        <is>
          <t>NRU</t>
        </is>
      </c>
      <c r="B2007" s="7" t="inlineStr">
        <is>
          <t>Naoero</t>
        </is>
      </c>
      <c r="C2007" s="7" t="inlineStr">
        <is>
          <t>East Asia &amp; Pacific</t>
        </is>
      </c>
      <c r="D2007" s="7" t="inlineStr">
        <is>
          <t>High income</t>
        </is>
      </c>
      <c r="E2007" s="7" t="b">
        <v>0</v>
      </c>
      <c r="F2007" s="7" t="inlineStr">
        <is>
          <t>price_gas_industry_usd_gj</t>
        </is>
      </c>
      <c r="G2007" s="7" t="n">
        <v>13.543</v>
      </c>
      <c r="H2007" s="7" t="inlineStr">
        <is>
          <t>2024</t>
        </is>
      </c>
      <c r="I2007" s="7" t="inlineStr">
        <is>
          <t>imffossilfuelsubsidiesdata.xlsb</t>
        </is>
      </c>
    </row>
    <row r="2008">
      <c r="A2008" s="7" t="inlineStr">
        <is>
          <t>NRU</t>
        </is>
      </c>
      <c r="B2008" s="7" t="inlineStr">
        <is>
          <t>Naoero</t>
        </is>
      </c>
      <c r="C2008" s="7" t="inlineStr">
        <is>
          <t>East Asia &amp; Pacific</t>
        </is>
      </c>
      <c r="D2008" s="7" t="inlineStr">
        <is>
          <t>High income</t>
        </is>
      </c>
      <c r="E2008" s="7" t="b">
        <v>0</v>
      </c>
      <c r="F2008" s="7" t="inlineStr">
        <is>
          <t>price_gas_power_usd_gj</t>
        </is>
      </c>
      <c r="G2008" s="7" t="n">
        <v>12.219</v>
      </c>
      <c r="H2008" s="7" t="inlineStr">
        <is>
          <t>2024</t>
        </is>
      </c>
      <c r="I2008" s="7" t="inlineStr">
        <is>
          <t>imffossilfuelsubsidiesdata.xlsb</t>
        </is>
      </c>
    </row>
    <row r="2009">
      <c r="A2009" s="7" t="inlineStr">
        <is>
          <t>NZL</t>
        </is>
      </c>
      <c r="B2009" s="7" t="inlineStr">
        <is>
          <t>New Zealand</t>
        </is>
      </c>
      <c r="C2009" s="7" t="inlineStr">
        <is>
          <t>East Asia &amp; Pacific</t>
        </is>
      </c>
      <c r="D2009" s="7" t="inlineStr">
        <is>
          <t>High income</t>
        </is>
      </c>
      <c r="E2009" s="7" t="b">
        <v>0</v>
      </c>
      <c r="F2009" s="7" t="inlineStr">
        <is>
          <t>coal_rents_pct_gdp</t>
        </is>
      </c>
      <c r="G2009" s="7" t="n">
        <v>0.031</v>
      </c>
      <c r="H2009" s="7" t="inlineStr">
        <is>
          <t>2021</t>
        </is>
      </c>
      <c r="I2009" s="7" t="inlineStr">
        <is>
          <t>API_NY_GDP_COAL_RT_ZS_DS2_en_csv_v2_35370.zip</t>
        </is>
      </c>
    </row>
    <row r="2010">
      <c r="A2010" s="7" t="inlineStr">
        <is>
          <t>NZL</t>
        </is>
      </c>
      <c r="B2010" s="7" t="inlineStr">
        <is>
          <t>New Zealand</t>
        </is>
      </c>
      <c r="C2010" s="7" t="inlineStr">
        <is>
          <t>East Asia &amp; Pacific</t>
        </is>
      </c>
      <c r="D2010" s="7" t="inlineStr">
        <is>
          <t>High income</t>
        </is>
      </c>
      <c r="E2010" s="7" t="b">
        <v>0</v>
      </c>
      <c r="F2010" s="7" t="inlineStr">
        <is>
          <t>em_coal_mt</t>
        </is>
      </c>
      <c r="G2010" s="7" t="n">
        <v>1.048</v>
      </c>
      <c r="H2010" s="7" t="n">
        <v>2024</v>
      </c>
      <c r="I2010" s="7" t="inlineStr">
        <is>
          <t>release_generation_yearly_global.csv (Ember)</t>
        </is>
      </c>
    </row>
    <row r="2011">
      <c r="A2011" s="7" t="inlineStr">
        <is>
          <t>NZL</t>
        </is>
      </c>
      <c r="B2011" s="7" t="inlineStr">
        <is>
          <t>New Zealand</t>
        </is>
      </c>
      <c r="C2011" s="7" t="inlineStr">
        <is>
          <t>East Asia &amp; Pacific</t>
        </is>
      </c>
      <c r="D2011" s="7" t="inlineStr">
        <is>
          <t>High income</t>
        </is>
      </c>
      <c r="E2011" s="7" t="b">
        <v>0</v>
      </c>
      <c r="F2011" s="7" t="inlineStr">
        <is>
          <t>em_gas_mt</t>
        </is>
      </c>
      <c r="G2011" s="7" t="n">
        <v>2.321</v>
      </c>
      <c r="H2011" s="7" t="n">
        <v>2024</v>
      </c>
      <c r="I2011" s="7" t="inlineStr">
        <is>
          <t>release_generation_yearly_global.csv (Ember)</t>
        </is>
      </c>
    </row>
    <row r="2012">
      <c r="A2012" s="7" t="inlineStr">
        <is>
          <t>NZL</t>
        </is>
      </c>
      <c r="B2012" s="7" t="inlineStr">
        <is>
          <t>New Zealand</t>
        </is>
      </c>
      <c r="C2012" s="7" t="inlineStr">
        <is>
          <t>East Asia &amp; Pacific</t>
        </is>
      </c>
      <c r="D2012" s="7" t="inlineStr">
        <is>
          <t>High income</t>
        </is>
      </c>
      <c r="E2012" s="7" t="b">
        <v>0</v>
      </c>
      <c r="F2012" s="7" t="inlineStr">
        <is>
          <t>em_oil_mt</t>
        </is>
      </c>
      <c r="G2012" s="7" t="n">
        <v>0.434</v>
      </c>
      <c r="H2012" s="7" t="n">
        <v>2024</v>
      </c>
      <c r="I2012" s="7" t="inlineStr">
        <is>
          <t>release_generation_yearly_global.csv (Ember)</t>
        </is>
      </c>
    </row>
    <row r="2013">
      <c r="A2013" s="7" t="inlineStr">
        <is>
          <t>NZL</t>
        </is>
      </c>
      <c r="B2013" s="7" t="inlineStr">
        <is>
          <t>New Zealand</t>
        </is>
      </c>
      <c r="C2013" s="7" t="inlineStr">
        <is>
          <t>East Asia &amp; Pacific</t>
        </is>
      </c>
      <c r="D2013" s="7" t="inlineStr">
        <is>
          <t>High income</t>
        </is>
      </c>
      <c r="E2013" s="7" t="b">
        <v>0</v>
      </c>
      <c r="F2013" s="7" t="inlineStr">
        <is>
          <t>ff_subsidy_explicit_pct_gdp</t>
        </is>
      </c>
      <c r="G2013" s="7" t="n">
        <v>0.008</v>
      </c>
      <c r="H2013" s="7" t="inlineStr">
        <is>
          <t>2024</t>
        </is>
      </c>
      <c r="I2013" s="7" t="inlineStr">
        <is>
          <t>imffossilfuelsubsidiesdata.xlsb</t>
        </is>
      </c>
    </row>
    <row r="2014">
      <c r="A2014" s="7" t="inlineStr">
        <is>
          <t>NZL</t>
        </is>
      </c>
      <c r="B2014" s="7" t="inlineStr">
        <is>
          <t>New Zealand</t>
        </is>
      </c>
      <c r="C2014" s="7" t="inlineStr">
        <is>
          <t>East Asia &amp; Pacific</t>
        </is>
      </c>
      <c r="D2014" s="7" t="inlineStr">
        <is>
          <t>High income</t>
        </is>
      </c>
      <c r="E2014" s="7" t="b">
        <v>0</v>
      </c>
      <c r="F2014" s="7" t="inlineStr">
        <is>
          <t>fuel_exports_pct_merch</t>
        </is>
      </c>
      <c r="G2014" s="7" t="n">
        <v>0.921</v>
      </c>
      <c r="H2014" s="7" t="inlineStr">
        <is>
          <t>2025</t>
        </is>
      </c>
      <c r="I2014" s="7" t="inlineStr">
        <is>
          <t>API_TX_VAL_FUEL_ZS_UN_DS2_en_csv_v2_33055.zip</t>
        </is>
      </c>
    </row>
    <row r="2015">
      <c r="A2015" s="7" t="inlineStr">
        <is>
          <t>NZL</t>
        </is>
      </c>
      <c r="B2015" s="7" t="inlineStr">
        <is>
          <t>New Zealand</t>
        </is>
      </c>
      <c r="C2015" s="7" t="inlineStr">
        <is>
          <t>East Asia &amp; Pacific</t>
        </is>
      </c>
      <c r="D2015" s="7" t="inlineStr">
        <is>
          <t>High income</t>
        </is>
      </c>
      <c r="E2015" s="7" t="b">
        <v>0</v>
      </c>
      <c r="F2015" s="7" t="inlineStr">
        <is>
          <t>gen_coal_twh</t>
        </is>
      </c>
      <c r="G2015" s="7" t="n">
        <v>1.2</v>
      </c>
      <c r="H2015" s="7" t="n">
        <v>2024</v>
      </c>
      <c r="I2015" s="7" t="inlineStr">
        <is>
          <t>release_generation_yearly_global.csv (Ember)</t>
        </is>
      </c>
    </row>
    <row r="2016">
      <c r="A2016" s="7" t="inlineStr">
        <is>
          <t>NZL</t>
        </is>
      </c>
      <c r="B2016" s="7" t="inlineStr">
        <is>
          <t>New Zealand</t>
        </is>
      </c>
      <c r="C2016" s="7" t="inlineStr">
        <is>
          <t>East Asia &amp; Pacific</t>
        </is>
      </c>
      <c r="D2016" s="7" t="inlineStr">
        <is>
          <t>High income</t>
        </is>
      </c>
      <c r="E2016" s="7" t="b">
        <v>0</v>
      </c>
      <c r="F2016" s="7" t="inlineStr">
        <is>
          <t>gen_gas_twh</t>
        </is>
      </c>
      <c r="G2016" s="7" t="n">
        <v>4.31</v>
      </c>
      <c r="H2016" s="7" t="n">
        <v>2024</v>
      </c>
      <c r="I2016" s="7" t="inlineStr">
        <is>
          <t>release_generation_yearly_global.csv (Ember)</t>
        </is>
      </c>
    </row>
    <row r="2017">
      <c r="A2017" s="7" t="inlineStr">
        <is>
          <t>NZL</t>
        </is>
      </c>
      <c r="B2017" s="7" t="inlineStr">
        <is>
          <t>New Zealand</t>
        </is>
      </c>
      <c r="C2017" s="7" t="inlineStr">
        <is>
          <t>East Asia &amp; Pacific</t>
        </is>
      </c>
      <c r="D2017" s="7" t="inlineStr">
        <is>
          <t>High income</t>
        </is>
      </c>
      <c r="E2017" s="7" t="b">
        <v>0</v>
      </c>
      <c r="F2017" s="7" t="inlineStr">
        <is>
          <t>gen_oil_twh</t>
        </is>
      </c>
      <c r="G2017" s="7" t="n">
        <v>0.66</v>
      </c>
      <c r="H2017" s="7" t="n">
        <v>2024</v>
      </c>
      <c r="I2017" s="7" t="inlineStr">
        <is>
          <t>release_generation_yearly_global.csv (Ember)</t>
        </is>
      </c>
    </row>
    <row r="2018">
      <c r="A2018" s="7" t="inlineStr">
        <is>
          <t>NZL</t>
        </is>
      </c>
      <c r="B2018" s="7" t="inlineStr">
        <is>
          <t>New Zealand</t>
        </is>
      </c>
      <c r="C2018" s="7" t="inlineStr">
        <is>
          <t>East Asia &amp; Pacific</t>
        </is>
      </c>
      <c r="D2018" s="7" t="inlineStr">
        <is>
          <t>High income</t>
        </is>
      </c>
      <c r="E2018" s="7" t="b">
        <v>0</v>
      </c>
      <c r="F2018" s="7" t="inlineStr">
        <is>
          <t>gen_total_twh</t>
        </is>
      </c>
      <c r="G2018" s="7" t="n">
        <v>44.01</v>
      </c>
      <c r="H2018" s="7" t="n">
        <v>2024</v>
      </c>
      <c r="I2018" s="7" t="inlineStr">
        <is>
          <t>release_generation_yearly_global.csv (Ember)</t>
        </is>
      </c>
    </row>
    <row r="2019">
      <c r="A2019" s="7" t="inlineStr">
        <is>
          <t>NZL</t>
        </is>
      </c>
      <c r="B2019" s="7" t="inlineStr">
        <is>
          <t>New Zealand</t>
        </is>
      </c>
      <c r="C2019" s="7" t="inlineStr">
        <is>
          <t>East Asia &amp; Pacific</t>
        </is>
      </c>
      <c r="D2019" s="7" t="inlineStr">
        <is>
          <t>High income</t>
        </is>
      </c>
      <c r="E2019" s="7" t="b">
        <v>0</v>
      </c>
      <c r="F2019" s="7" t="inlineStr">
        <is>
          <t>price_coal_power_usd_gj</t>
        </is>
      </c>
      <c r="G2019" s="7" t="n">
        <v>5.986</v>
      </c>
      <c r="H2019" s="7" t="inlineStr">
        <is>
          <t>2024</t>
        </is>
      </c>
      <c r="I2019" s="7" t="inlineStr">
        <is>
          <t>imffossilfuelsubsidiesdata.xlsb</t>
        </is>
      </c>
    </row>
    <row r="2020">
      <c r="A2020" s="7" t="inlineStr">
        <is>
          <t>NZL</t>
        </is>
      </c>
      <c r="B2020" s="7" t="inlineStr">
        <is>
          <t>New Zealand</t>
        </is>
      </c>
      <c r="C2020" s="7" t="inlineStr">
        <is>
          <t>East Asia &amp; Pacific</t>
        </is>
      </c>
      <c r="D2020" s="7" t="inlineStr">
        <is>
          <t>High income</t>
        </is>
      </c>
      <c r="E2020" s="7" t="b">
        <v>0</v>
      </c>
      <c r="F2020" s="7" t="inlineStr">
        <is>
          <t>price_electricity_residential_usd_kwh</t>
        </is>
      </c>
      <c r="G2020" s="7" t="n">
        <v>0.191</v>
      </c>
      <c r="H2020" s="7" t="inlineStr">
        <is>
          <t>2024</t>
        </is>
      </c>
      <c r="I2020" s="7" t="inlineStr">
        <is>
          <t>imffossilfuelsubsidiesdata.xlsb</t>
        </is>
      </c>
    </row>
    <row r="2021">
      <c r="A2021" s="7" t="inlineStr">
        <is>
          <t>NZL</t>
        </is>
      </c>
      <c r="B2021" s="7" t="inlineStr">
        <is>
          <t>New Zealand</t>
        </is>
      </c>
      <c r="C2021" s="7" t="inlineStr">
        <is>
          <t>East Asia &amp; Pacific</t>
        </is>
      </c>
      <c r="D2021" s="7" t="inlineStr">
        <is>
          <t>High income</t>
        </is>
      </c>
      <c r="E2021" s="7" t="b">
        <v>0</v>
      </c>
      <c r="F2021" s="7" t="inlineStr">
        <is>
          <t>price_gas_industry_usd_gj</t>
        </is>
      </c>
      <c r="G2021" s="7" t="n">
        <v>9.5</v>
      </c>
      <c r="H2021" s="7" t="inlineStr">
        <is>
          <t>2023</t>
        </is>
      </c>
      <c r="I2021" s="7" t="inlineStr">
        <is>
          <t>imffossilfuelsubsidiesdata.xlsb</t>
        </is>
      </c>
    </row>
    <row r="2022">
      <c r="A2022" s="7" t="inlineStr">
        <is>
          <t>NZL</t>
        </is>
      </c>
      <c r="B2022" s="7" t="inlineStr">
        <is>
          <t>New Zealand</t>
        </is>
      </c>
      <c r="C2022" s="7" t="inlineStr">
        <is>
          <t>East Asia &amp; Pacific</t>
        </is>
      </c>
      <c r="D2022" s="7" t="inlineStr">
        <is>
          <t>High income</t>
        </is>
      </c>
      <c r="E2022" s="7" t="b">
        <v>0</v>
      </c>
      <c r="F2022" s="7" t="inlineStr">
        <is>
          <t>price_gas_power_usd_gj</t>
        </is>
      </c>
      <c r="G2022" s="7" t="n">
        <v>11.495</v>
      </c>
      <c r="H2022" s="7" t="inlineStr">
        <is>
          <t>2024</t>
        </is>
      </c>
      <c r="I2022" s="7" t="inlineStr">
        <is>
          <t>imffossilfuelsubsidiesdata.xlsb</t>
        </is>
      </c>
    </row>
    <row r="2023">
      <c r="A2023" s="7" t="inlineStr">
        <is>
          <t>NZL</t>
        </is>
      </c>
      <c r="B2023" s="7" t="inlineStr">
        <is>
          <t>New Zealand</t>
        </is>
      </c>
      <c r="C2023" s="7" t="inlineStr">
        <is>
          <t>East Asia &amp; Pacific</t>
        </is>
      </c>
      <c r="D2023" s="7" t="inlineStr">
        <is>
          <t>High income</t>
        </is>
      </c>
      <c r="E2023" s="7" t="b">
        <v>0</v>
      </c>
      <c r="F2023" s="7" t="inlineStr">
        <is>
          <t>rise_renewable_energy_score</t>
        </is>
      </c>
      <c r="G2023" s="7" t="n">
        <v>59.241</v>
      </c>
      <c r="H2023" s="7" t="inlineStr">
        <is>
          <t>2023</t>
        </is>
      </c>
      <c r="I2023" s="7" t="inlineStr">
        <is>
          <t>WB_RISE_WIDEF.csv</t>
        </is>
      </c>
    </row>
    <row r="2024">
      <c r="A2024" s="7" t="inlineStr">
        <is>
          <t>OMN</t>
        </is>
      </c>
      <c r="B2024" s="7" t="inlineStr">
        <is>
          <t>Oman</t>
        </is>
      </c>
      <c r="C2024" s="7" t="inlineStr">
        <is>
          <t>Middle East &amp; North Africa</t>
        </is>
      </c>
      <c r="D2024" s="7" t="inlineStr">
        <is>
          <t>High income</t>
        </is>
      </c>
      <c r="E2024" s="7" t="b">
        <v>0</v>
      </c>
      <c r="F2024" s="7" t="inlineStr">
        <is>
          <t>coal_rents_pct_gdp</t>
        </is>
      </c>
      <c r="G2024" s="7" t="n">
        <v>0</v>
      </c>
      <c r="H2024" s="7" t="inlineStr">
        <is>
          <t>2021</t>
        </is>
      </c>
      <c r="I2024" s="7" t="inlineStr">
        <is>
          <t>API_NY_GDP_COAL_RT_ZS_DS2_en_csv_v2_35370.zip</t>
        </is>
      </c>
    </row>
    <row r="2025">
      <c r="A2025" s="7" t="inlineStr">
        <is>
          <t>OMN</t>
        </is>
      </c>
      <c r="B2025" s="7" t="inlineStr">
        <is>
          <t>Oman</t>
        </is>
      </c>
      <c r="C2025" s="7" t="inlineStr">
        <is>
          <t>Middle East &amp; North Africa</t>
        </is>
      </c>
      <c r="D2025" s="7" t="inlineStr">
        <is>
          <t>High income</t>
        </is>
      </c>
      <c r="E2025" s="7" t="b">
        <v>0</v>
      </c>
      <c r="F2025" s="7" t="inlineStr">
        <is>
          <t>em_coal_mt</t>
        </is>
      </c>
      <c r="G2025" s="7" t="n">
        <v>0</v>
      </c>
      <c r="H2025" s="7" t="n">
        <v>2024</v>
      </c>
      <c r="I2025" s="7" t="inlineStr">
        <is>
          <t>release_generation_yearly_global.csv (Ember)</t>
        </is>
      </c>
    </row>
    <row r="2026">
      <c r="A2026" s="7" t="inlineStr">
        <is>
          <t>OMN</t>
        </is>
      </c>
      <c r="B2026" s="7" t="inlineStr">
        <is>
          <t>Oman</t>
        </is>
      </c>
      <c r="C2026" s="7" t="inlineStr">
        <is>
          <t>Middle East &amp; North Africa</t>
        </is>
      </c>
      <c r="D2026" s="7" t="inlineStr">
        <is>
          <t>High income</t>
        </is>
      </c>
      <c r="E2026" s="7" t="b">
        <v>0</v>
      </c>
      <c r="F2026" s="7" t="inlineStr">
        <is>
          <t>em_gas_mt</t>
        </is>
      </c>
      <c r="G2026" s="7" t="n">
        <v>25.294</v>
      </c>
      <c r="H2026" s="7" t="n">
        <v>2024</v>
      </c>
      <c r="I2026" s="7" t="inlineStr">
        <is>
          <t>release_generation_yearly_global.csv (Ember)</t>
        </is>
      </c>
    </row>
    <row r="2027">
      <c r="A2027" s="7" t="inlineStr">
        <is>
          <t>OMN</t>
        </is>
      </c>
      <c r="B2027" s="7" t="inlineStr">
        <is>
          <t>Oman</t>
        </is>
      </c>
      <c r="C2027" s="7" t="inlineStr">
        <is>
          <t>Middle East &amp; North Africa</t>
        </is>
      </c>
      <c r="D2027" s="7" t="inlineStr">
        <is>
          <t>High income</t>
        </is>
      </c>
      <c r="E2027" s="7" t="b">
        <v>0</v>
      </c>
      <c r="F2027" s="7" t="inlineStr">
        <is>
          <t>em_oil_mt</t>
        </is>
      </c>
      <c r="G2027" s="7" t="n">
        <v>1.25</v>
      </c>
      <c r="H2027" s="7" t="n">
        <v>2024</v>
      </c>
      <c r="I2027" s="7" t="inlineStr">
        <is>
          <t>release_generation_yearly_global.csv (Ember)</t>
        </is>
      </c>
    </row>
    <row r="2028">
      <c r="A2028" s="7" t="inlineStr">
        <is>
          <t>OMN</t>
        </is>
      </c>
      <c r="B2028" s="7" t="inlineStr">
        <is>
          <t>Oman</t>
        </is>
      </c>
      <c r="C2028" s="7" t="inlineStr">
        <is>
          <t>Middle East &amp; North Africa</t>
        </is>
      </c>
      <c r="D2028" s="7" t="inlineStr">
        <is>
          <t>High income</t>
        </is>
      </c>
      <c r="E2028" s="7" t="b">
        <v>0</v>
      </c>
      <c r="F2028" s="7" t="inlineStr">
        <is>
          <t>ff_subsidy_explicit_pct_gdp</t>
        </is>
      </c>
      <c r="G2028" s="7" t="n">
        <v>3.626</v>
      </c>
      <c r="H2028" s="7" t="inlineStr">
        <is>
          <t>2024</t>
        </is>
      </c>
      <c r="I2028" s="7" t="inlineStr">
        <is>
          <t>imffossilfuelsubsidiesdata.xlsb</t>
        </is>
      </c>
    </row>
    <row r="2029">
      <c r="A2029" s="7" t="inlineStr">
        <is>
          <t>OMN</t>
        </is>
      </c>
      <c r="B2029" s="7" t="inlineStr">
        <is>
          <t>Oman</t>
        </is>
      </c>
      <c r="C2029" s="7" t="inlineStr">
        <is>
          <t>Middle East &amp; North Africa</t>
        </is>
      </c>
      <c r="D2029" s="7" t="inlineStr">
        <is>
          <t>High income</t>
        </is>
      </c>
      <c r="E2029" s="7" t="b">
        <v>0</v>
      </c>
      <c r="F2029" s="7" t="inlineStr">
        <is>
          <t>fuel_exports_pct_merch</t>
        </is>
      </c>
      <c r="G2029" s="7" t="n">
        <v>77.2</v>
      </c>
      <c r="H2029" s="7" t="inlineStr">
        <is>
          <t>2024</t>
        </is>
      </c>
      <c r="I2029" s="7" t="inlineStr">
        <is>
          <t>API_TX_VAL_FUEL_ZS_UN_DS2_en_csv_v2_33055.zip</t>
        </is>
      </c>
    </row>
    <row r="2030">
      <c r="A2030" s="7" t="inlineStr">
        <is>
          <t>OMN</t>
        </is>
      </c>
      <c r="B2030" s="7" t="inlineStr">
        <is>
          <t>Oman</t>
        </is>
      </c>
      <c r="C2030" s="7" t="inlineStr">
        <is>
          <t>Middle East &amp; North Africa</t>
        </is>
      </c>
      <c r="D2030" s="7" t="inlineStr">
        <is>
          <t>High income</t>
        </is>
      </c>
      <c r="E2030" s="7" t="b">
        <v>0</v>
      </c>
      <c r="F2030" s="7" t="inlineStr">
        <is>
          <t>gen_coal_twh</t>
        </is>
      </c>
      <c r="G2030" s="7" t="n">
        <v>0</v>
      </c>
      <c r="H2030" s="7" t="n">
        <v>2024</v>
      </c>
      <c r="I2030" s="7" t="inlineStr">
        <is>
          <t>release_generation_yearly_global.csv (Ember)</t>
        </is>
      </c>
    </row>
    <row r="2031">
      <c r="A2031" s="7" t="inlineStr">
        <is>
          <t>OMN</t>
        </is>
      </c>
      <c r="B2031" s="7" t="inlineStr">
        <is>
          <t>Oman</t>
        </is>
      </c>
      <c r="C2031" s="7" t="inlineStr">
        <is>
          <t>Middle East &amp; North Africa</t>
        </is>
      </c>
      <c r="D2031" s="7" t="inlineStr">
        <is>
          <t>High income</t>
        </is>
      </c>
      <c r="E2031" s="7" t="b">
        <v>0</v>
      </c>
      <c r="F2031" s="7" t="inlineStr">
        <is>
          <t>gen_gas_twh</t>
        </is>
      </c>
      <c r="G2031" s="7" t="n">
        <v>44.8</v>
      </c>
      <c r="H2031" s="7" t="n">
        <v>2024</v>
      </c>
      <c r="I2031" s="7" t="inlineStr">
        <is>
          <t>release_generation_yearly_global.csv (Ember)</t>
        </is>
      </c>
    </row>
    <row r="2032">
      <c r="A2032" s="7" t="inlineStr">
        <is>
          <t>OMN</t>
        </is>
      </c>
      <c r="B2032" s="7" t="inlineStr">
        <is>
          <t>Oman</t>
        </is>
      </c>
      <c r="C2032" s="7" t="inlineStr">
        <is>
          <t>Middle East &amp; North Africa</t>
        </is>
      </c>
      <c r="D2032" s="7" t="inlineStr">
        <is>
          <t>High income</t>
        </is>
      </c>
      <c r="E2032" s="7" t="b">
        <v>0</v>
      </c>
      <c r="F2032" s="7" t="inlineStr">
        <is>
          <t>gen_oil_twh</t>
        </is>
      </c>
      <c r="G2032" s="7" t="n">
        <v>1.9</v>
      </c>
      <c r="H2032" s="7" t="n">
        <v>2024</v>
      </c>
      <c r="I2032" s="7" t="inlineStr">
        <is>
          <t>release_generation_yearly_global.csv (Ember)</t>
        </is>
      </c>
    </row>
    <row r="2033">
      <c r="A2033" s="7" t="inlineStr">
        <is>
          <t>OMN</t>
        </is>
      </c>
      <c r="B2033" s="7" t="inlineStr">
        <is>
          <t>Oman</t>
        </is>
      </c>
      <c r="C2033" s="7" t="inlineStr">
        <is>
          <t>Middle East &amp; North Africa</t>
        </is>
      </c>
      <c r="D2033" s="7" t="inlineStr">
        <is>
          <t>High income</t>
        </is>
      </c>
      <c r="E2033" s="7" t="b">
        <v>0</v>
      </c>
      <c r="F2033" s="7" t="inlineStr">
        <is>
          <t>gen_total_twh</t>
        </is>
      </c>
      <c r="G2033" s="7" t="n">
        <v>49.1</v>
      </c>
      <c r="H2033" s="7" t="n">
        <v>2024</v>
      </c>
      <c r="I2033" s="7" t="inlineStr">
        <is>
          <t>release_generation_yearly_global.csv (Ember)</t>
        </is>
      </c>
    </row>
    <row r="2034">
      <c r="A2034" s="7" t="inlineStr">
        <is>
          <t>OMN</t>
        </is>
      </c>
      <c r="B2034" s="7" t="inlineStr">
        <is>
          <t>Oman</t>
        </is>
      </c>
      <c r="C2034" s="7" t="inlineStr">
        <is>
          <t>Middle East &amp; North Africa</t>
        </is>
      </c>
      <c r="D2034" s="7" t="inlineStr">
        <is>
          <t>High income</t>
        </is>
      </c>
      <c r="E2034" s="7" t="b">
        <v>0</v>
      </c>
      <c r="F2034" s="7" t="inlineStr">
        <is>
          <t>power_market_structure</t>
        </is>
      </c>
      <c r="G2034" s="7" t="n">
        <v>3</v>
      </c>
      <c r="H2034" s="7" t="inlineStr">
        <is>
          <t>2013</t>
        </is>
      </c>
      <c r="I2034" s="7" t="inlineStr">
        <is>
          <t>dataverse_files.zip</t>
        </is>
      </c>
    </row>
    <row r="2035">
      <c r="A2035" s="7" t="inlineStr">
        <is>
          <t>OMN</t>
        </is>
      </c>
      <c r="B2035" s="7" t="inlineStr">
        <is>
          <t>Oman</t>
        </is>
      </c>
      <c r="C2035" s="7" t="inlineStr">
        <is>
          <t>Middle East &amp; North Africa</t>
        </is>
      </c>
      <c r="D2035" s="7" t="inlineStr">
        <is>
          <t>High income</t>
        </is>
      </c>
      <c r="E2035" s="7" t="b">
        <v>0</v>
      </c>
      <c r="F2035" s="7" t="inlineStr">
        <is>
          <t>price_coal_power_usd_gj</t>
        </is>
      </c>
      <c r="G2035" s="7" t="n">
        <v>5.787</v>
      </c>
      <c r="H2035" s="7" t="inlineStr">
        <is>
          <t>2024</t>
        </is>
      </c>
      <c r="I2035" s="7" t="inlineStr">
        <is>
          <t>imffossilfuelsubsidiesdata.xlsb</t>
        </is>
      </c>
    </row>
    <row r="2036">
      <c r="A2036" s="7" t="inlineStr">
        <is>
          <t>OMN</t>
        </is>
      </c>
      <c r="B2036" s="7" t="inlineStr">
        <is>
          <t>Oman</t>
        </is>
      </c>
      <c r="C2036" s="7" t="inlineStr">
        <is>
          <t>Middle East &amp; North Africa</t>
        </is>
      </c>
      <c r="D2036" s="7" t="inlineStr">
        <is>
          <t>High income</t>
        </is>
      </c>
      <c r="E2036" s="7" t="b">
        <v>0</v>
      </c>
      <c r="F2036" s="7" t="inlineStr">
        <is>
          <t>price_electricity_residential_usd_kwh</t>
        </is>
      </c>
      <c r="G2036" s="7" t="n">
        <v>0.048</v>
      </c>
      <c r="H2036" s="7" t="inlineStr">
        <is>
          <t>2024</t>
        </is>
      </c>
      <c r="I2036" s="7" t="inlineStr">
        <is>
          <t>imffossilfuelsubsidiesdata.xlsb</t>
        </is>
      </c>
    </row>
    <row r="2037">
      <c r="A2037" s="7" t="inlineStr">
        <is>
          <t>OMN</t>
        </is>
      </c>
      <c r="B2037" s="7" t="inlineStr">
        <is>
          <t>Oman</t>
        </is>
      </c>
      <c r="C2037" s="7" t="inlineStr">
        <is>
          <t>Middle East &amp; North Africa</t>
        </is>
      </c>
      <c r="D2037" s="7" t="inlineStr">
        <is>
          <t>High income</t>
        </is>
      </c>
      <c r="E2037" s="7" t="b">
        <v>0</v>
      </c>
      <c r="F2037" s="7" t="inlineStr">
        <is>
          <t>price_gas_industry_usd_gj</t>
        </is>
      </c>
      <c r="G2037" s="7" t="n">
        <v>3.513</v>
      </c>
      <c r="H2037" s="7" t="inlineStr">
        <is>
          <t>2024</t>
        </is>
      </c>
      <c r="I2037" s="7" t="inlineStr">
        <is>
          <t>imffossilfuelsubsidiesdata.xlsb</t>
        </is>
      </c>
    </row>
    <row r="2038">
      <c r="A2038" s="7" t="inlineStr">
        <is>
          <t>OMN</t>
        </is>
      </c>
      <c r="B2038" s="7" t="inlineStr">
        <is>
          <t>Oman</t>
        </is>
      </c>
      <c r="C2038" s="7" t="inlineStr">
        <is>
          <t>Middle East &amp; North Africa</t>
        </is>
      </c>
      <c r="D2038" s="7" t="inlineStr">
        <is>
          <t>High income</t>
        </is>
      </c>
      <c r="E2038" s="7" t="b">
        <v>0</v>
      </c>
      <c r="F2038" s="7" t="inlineStr">
        <is>
          <t>price_gas_power_usd_gj</t>
        </is>
      </c>
      <c r="G2038" s="7" t="n">
        <v>4.014</v>
      </c>
      <c r="H2038" s="7" t="inlineStr">
        <is>
          <t>2024</t>
        </is>
      </c>
      <c r="I2038" s="7" t="inlineStr">
        <is>
          <t>imffossilfuelsubsidiesdata.xlsb</t>
        </is>
      </c>
    </row>
    <row r="2039">
      <c r="A2039" s="7" t="inlineStr">
        <is>
          <t>OMN</t>
        </is>
      </c>
      <c r="B2039" s="7" t="inlineStr">
        <is>
          <t>Oman</t>
        </is>
      </c>
      <c r="C2039" s="7" t="inlineStr">
        <is>
          <t>Middle East &amp; North Africa</t>
        </is>
      </c>
      <c r="D2039" s="7" t="inlineStr">
        <is>
          <t>High income</t>
        </is>
      </c>
      <c r="E2039" s="7" t="b">
        <v>0</v>
      </c>
      <c r="F2039" s="7" t="inlineStr">
        <is>
          <t>rise_renewable_energy_score</t>
        </is>
      </c>
      <c r="G2039" s="7" t="n">
        <v>35.352</v>
      </c>
      <c r="H2039" s="7" t="inlineStr">
        <is>
          <t>2023</t>
        </is>
      </c>
      <c r="I2039" s="7" t="inlineStr">
        <is>
          <t>WB_RISE_WIDEF.csv</t>
        </is>
      </c>
    </row>
    <row r="2040">
      <c r="A2040" s="7" t="inlineStr">
        <is>
          <t>PAK</t>
        </is>
      </c>
      <c r="B2040" s="7" t="inlineStr">
        <is>
          <t>Pakistan</t>
        </is>
      </c>
      <c r="C2040" s="7" t="inlineStr">
        <is>
          <t>Middle East &amp; North Africa</t>
        </is>
      </c>
      <c r="D2040" s="7" t="inlineStr">
        <is>
          <t>Lower middle income</t>
        </is>
      </c>
      <c r="E2040" s="7" t="b">
        <v>1</v>
      </c>
      <c r="F2040" s="7" t="inlineStr">
        <is>
          <t>coal_rents_pct_gdp</t>
        </is>
      </c>
      <c r="G2040" s="7" t="n">
        <v>0.122</v>
      </c>
      <c r="H2040" s="7" t="inlineStr">
        <is>
          <t>2021</t>
        </is>
      </c>
      <c r="I2040" s="7" t="inlineStr">
        <is>
          <t>API_NY_GDP_COAL_RT_ZS_DS2_en_csv_v2_35370.zip</t>
        </is>
      </c>
    </row>
    <row r="2041">
      <c r="A2041" s="7" t="inlineStr">
        <is>
          <t>PAK</t>
        </is>
      </c>
      <c r="B2041" s="7" t="inlineStr">
        <is>
          <t>Pakistan</t>
        </is>
      </c>
      <c r="C2041" s="7" t="inlineStr">
        <is>
          <t>Middle East &amp; North Africa</t>
        </is>
      </c>
      <c r="D2041" s="7" t="inlineStr">
        <is>
          <t>Lower middle income</t>
        </is>
      </c>
      <c r="E2041" s="7" t="b">
        <v>1</v>
      </c>
      <c r="F2041" s="7" t="inlineStr">
        <is>
          <t>em_coal_mt</t>
        </is>
      </c>
      <c r="G2041" s="7" t="n">
        <v>17.232</v>
      </c>
      <c r="H2041" s="7" t="n">
        <v>2024</v>
      </c>
      <c r="I2041" s="7" t="inlineStr">
        <is>
          <t>release_generation_yearly_global.csv (Ember)</t>
        </is>
      </c>
    </row>
    <row r="2042">
      <c r="A2042" s="7" t="inlineStr">
        <is>
          <t>PAK</t>
        </is>
      </c>
      <c r="B2042" s="7" t="inlineStr">
        <is>
          <t>Pakistan</t>
        </is>
      </c>
      <c r="C2042" s="7" t="inlineStr">
        <is>
          <t>Middle East &amp; North Africa</t>
        </is>
      </c>
      <c r="D2042" s="7" t="inlineStr">
        <is>
          <t>Lower middle income</t>
        </is>
      </c>
      <c r="E2042" s="7" t="b">
        <v>1</v>
      </c>
      <c r="F2042" s="7" t="inlineStr">
        <is>
          <t>em_gas_mt</t>
        </is>
      </c>
      <c r="G2042" s="7" t="n">
        <v>28.943</v>
      </c>
      <c r="H2042" s="7" t="n">
        <v>2024</v>
      </c>
      <c r="I2042" s="7" t="inlineStr">
        <is>
          <t>release_generation_yearly_global.csv (Ember)</t>
        </is>
      </c>
    </row>
    <row r="2043">
      <c r="A2043" s="7" t="inlineStr">
        <is>
          <t>PAK</t>
        </is>
      </c>
      <c r="B2043" s="7" t="inlineStr">
        <is>
          <t>Pakistan</t>
        </is>
      </c>
      <c r="C2043" s="7" t="inlineStr">
        <is>
          <t>Middle East &amp; North Africa</t>
        </is>
      </c>
      <c r="D2043" s="7" t="inlineStr">
        <is>
          <t>Lower middle income</t>
        </is>
      </c>
      <c r="E2043" s="7" t="b">
        <v>1</v>
      </c>
      <c r="F2043" s="7" t="inlineStr">
        <is>
          <t>em_oil_mt</t>
        </is>
      </c>
      <c r="G2043" s="7" t="n">
        <v>2.145</v>
      </c>
      <c r="H2043" s="7" t="n">
        <v>2024</v>
      </c>
      <c r="I2043" s="7" t="inlineStr">
        <is>
          <t>release_generation_yearly_global.csv (Ember)</t>
        </is>
      </c>
    </row>
    <row r="2044">
      <c r="A2044" s="7" t="inlineStr">
        <is>
          <t>PAK</t>
        </is>
      </c>
      <c r="B2044" s="7" t="inlineStr">
        <is>
          <t>Pakistan</t>
        </is>
      </c>
      <c r="C2044" s="7" t="inlineStr">
        <is>
          <t>Middle East &amp; North Africa</t>
        </is>
      </c>
      <c r="D2044" s="7" t="inlineStr">
        <is>
          <t>Lower middle income</t>
        </is>
      </c>
      <c r="E2044" s="7" t="b">
        <v>1</v>
      </c>
      <c r="F2044" s="7" t="inlineStr">
        <is>
          <t>ff_subsidy_explicit_pct_gdp</t>
        </is>
      </c>
      <c r="G2044" s="7" t="n">
        <v>1.029</v>
      </c>
      <c r="H2044" s="7" t="inlineStr">
        <is>
          <t>2024</t>
        </is>
      </c>
      <c r="I2044" s="7" t="inlineStr">
        <is>
          <t>imffossilfuelsubsidiesdata.xlsb</t>
        </is>
      </c>
    </row>
    <row r="2045">
      <c r="A2045" s="7" t="inlineStr">
        <is>
          <t>PAK</t>
        </is>
      </c>
      <c r="B2045" s="7" t="inlineStr">
        <is>
          <t>Pakistan</t>
        </is>
      </c>
      <c r="C2045" s="7" t="inlineStr">
        <is>
          <t>Middle East &amp; North Africa</t>
        </is>
      </c>
      <c r="D2045" s="7" t="inlineStr">
        <is>
          <t>Lower middle income</t>
        </is>
      </c>
      <c r="E2045" s="7" t="b">
        <v>1</v>
      </c>
      <c r="F2045" s="7" t="inlineStr">
        <is>
          <t>fuel_exports_pct_merch</t>
        </is>
      </c>
      <c r="G2045" s="7" t="n">
        <v>1.718</v>
      </c>
      <c r="H2045" s="7" t="inlineStr">
        <is>
          <t>2024</t>
        </is>
      </c>
      <c r="I2045" s="7" t="inlineStr">
        <is>
          <t>API_TX_VAL_FUEL_ZS_UN_DS2_en_csv_v2_33055.zip</t>
        </is>
      </c>
    </row>
    <row r="2046">
      <c r="A2046" s="7" t="inlineStr">
        <is>
          <t>PAK</t>
        </is>
      </c>
      <c r="B2046" s="7" t="inlineStr">
        <is>
          <t>Pakistan</t>
        </is>
      </c>
      <c r="C2046" s="7" t="inlineStr">
        <is>
          <t>Middle East &amp; North Africa</t>
        </is>
      </c>
      <c r="D2046" s="7" t="inlineStr">
        <is>
          <t>Lower middle income</t>
        </is>
      </c>
      <c r="E2046" s="7" t="b">
        <v>1</v>
      </c>
      <c r="F2046" s="7" t="inlineStr">
        <is>
          <t>gen_coal_twh</t>
        </is>
      </c>
      <c r="G2046" s="7" t="n">
        <v>20.2</v>
      </c>
      <c r="H2046" s="7" t="n">
        <v>2024</v>
      </c>
      <c r="I2046" s="7" t="inlineStr">
        <is>
          <t>release_generation_yearly_global.csv (Ember)</t>
        </is>
      </c>
    </row>
    <row r="2047">
      <c r="A2047" s="7" t="inlineStr">
        <is>
          <t>PAK</t>
        </is>
      </c>
      <c r="B2047" s="7" t="inlineStr">
        <is>
          <t>Pakistan</t>
        </is>
      </c>
      <c r="C2047" s="7" t="inlineStr">
        <is>
          <t>Middle East &amp; North Africa</t>
        </is>
      </c>
      <c r="D2047" s="7" t="inlineStr">
        <is>
          <t>Lower middle income</t>
        </is>
      </c>
      <c r="E2047" s="7" t="b">
        <v>1</v>
      </c>
      <c r="F2047" s="7" t="inlineStr">
        <is>
          <t>gen_gas_twh</t>
        </is>
      </c>
      <c r="G2047" s="7" t="n">
        <v>42.27</v>
      </c>
      <c r="H2047" s="7" t="n">
        <v>2024</v>
      </c>
      <c r="I2047" s="7" t="inlineStr">
        <is>
          <t>release_generation_yearly_global.csv (Ember)</t>
        </is>
      </c>
    </row>
    <row r="2048">
      <c r="A2048" s="7" t="inlineStr">
        <is>
          <t>PAK</t>
        </is>
      </c>
      <c r="B2048" s="7" t="inlineStr">
        <is>
          <t>Pakistan</t>
        </is>
      </c>
      <c r="C2048" s="7" t="inlineStr">
        <is>
          <t>Middle East &amp; North Africa</t>
        </is>
      </c>
      <c r="D2048" s="7" t="inlineStr">
        <is>
          <t>Lower middle income</t>
        </is>
      </c>
      <c r="E2048" s="7" t="b">
        <v>1</v>
      </c>
      <c r="F2048" s="7" t="inlineStr">
        <is>
          <t>gen_oil_twh</t>
        </is>
      </c>
      <c r="G2048" s="7" t="n">
        <v>3.26</v>
      </c>
      <c r="H2048" s="7" t="n">
        <v>2024</v>
      </c>
      <c r="I2048" s="7" t="inlineStr">
        <is>
          <t>release_generation_yearly_global.csv (Ember)</t>
        </is>
      </c>
    </row>
    <row r="2049">
      <c r="A2049" s="7" t="inlineStr">
        <is>
          <t>PAK</t>
        </is>
      </c>
      <c r="B2049" s="7" t="inlineStr">
        <is>
          <t>Pakistan</t>
        </is>
      </c>
      <c r="C2049" s="7" t="inlineStr">
        <is>
          <t>Middle East &amp; North Africa</t>
        </is>
      </c>
      <c r="D2049" s="7" t="inlineStr">
        <is>
          <t>Lower middle income</t>
        </is>
      </c>
      <c r="E2049" s="7" t="b">
        <v>1</v>
      </c>
      <c r="F2049" s="7" t="inlineStr">
        <is>
          <t>gen_total_twh</t>
        </is>
      </c>
      <c r="G2049" s="7" t="n">
        <v>151.01</v>
      </c>
      <c r="H2049" s="7" t="n">
        <v>2024</v>
      </c>
      <c r="I2049" s="7" t="inlineStr">
        <is>
          <t>release_generation_yearly_global.csv (Ember)</t>
        </is>
      </c>
    </row>
    <row r="2050">
      <c r="A2050" s="7" t="inlineStr">
        <is>
          <t>PAK</t>
        </is>
      </c>
      <c r="B2050" s="7" t="inlineStr">
        <is>
          <t>Pakistan</t>
        </is>
      </c>
      <c r="C2050" s="7" t="inlineStr">
        <is>
          <t>Middle East &amp; North Africa</t>
        </is>
      </c>
      <c r="D2050" s="7" t="inlineStr">
        <is>
          <t>Lower middle income</t>
        </is>
      </c>
      <c r="E2050" s="7" t="b">
        <v>1</v>
      </c>
      <c r="F2050" s="7" t="inlineStr">
        <is>
          <t>power_market_structure</t>
        </is>
      </c>
      <c r="G2050" s="7" t="n">
        <v>3</v>
      </c>
      <c r="H2050" s="7" t="inlineStr">
        <is>
          <t>2013</t>
        </is>
      </c>
      <c r="I2050" s="7" t="inlineStr">
        <is>
          <t>dataverse_files.zip</t>
        </is>
      </c>
    </row>
    <row r="2051">
      <c r="A2051" s="7" t="inlineStr">
        <is>
          <t>PAK</t>
        </is>
      </c>
      <c r="B2051" s="7" t="inlineStr">
        <is>
          <t>Pakistan</t>
        </is>
      </c>
      <c r="C2051" s="7" t="inlineStr">
        <is>
          <t>Middle East &amp; North Africa</t>
        </is>
      </c>
      <c r="D2051" s="7" t="inlineStr">
        <is>
          <t>Lower middle income</t>
        </is>
      </c>
      <c r="E2051" s="7" t="b">
        <v>1</v>
      </c>
      <c r="F2051" s="7" t="inlineStr">
        <is>
          <t>price_coal_power_usd_gj</t>
        </is>
      </c>
      <c r="G2051" s="7" t="n">
        <v>4.285</v>
      </c>
      <c r="H2051" s="7" t="inlineStr">
        <is>
          <t>2024</t>
        </is>
      </c>
      <c r="I2051" s="7" t="inlineStr">
        <is>
          <t>imffossilfuelsubsidiesdata.xlsb</t>
        </is>
      </c>
    </row>
    <row r="2052">
      <c r="A2052" s="7" t="inlineStr">
        <is>
          <t>PAK</t>
        </is>
      </c>
      <c r="B2052" s="7" t="inlineStr">
        <is>
          <t>Pakistan</t>
        </is>
      </c>
      <c r="C2052" s="7" t="inlineStr">
        <is>
          <t>Middle East &amp; North Africa</t>
        </is>
      </c>
      <c r="D2052" s="7" t="inlineStr">
        <is>
          <t>Lower middle income</t>
        </is>
      </c>
      <c r="E2052" s="7" t="b">
        <v>1</v>
      </c>
      <c r="F2052" s="7" t="inlineStr">
        <is>
          <t>price_electricity_residential_usd_kwh</t>
        </is>
      </c>
      <c r="G2052" s="7" t="n">
        <v>0.122</v>
      </c>
      <c r="H2052" s="7" t="inlineStr">
        <is>
          <t>2024</t>
        </is>
      </c>
      <c r="I2052" s="7" t="inlineStr">
        <is>
          <t>imffossilfuelsubsidiesdata.xlsb</t>
        </is>
      </c>
    </row>
    <row r="2053">
      <c r="A2053" s="7" t="inlineStr">
        <is>
          <t>PAK</t>
        </is>
      </c>
      <c r="B2053" s="7" t="inlineStr">
        <is>
          <t>Pakistan</t>
        </is>
      </c>
      <c r="C2053" s="7" t="inlineStr">
        <is>
          <t>Middle East &amp; North Africa</t>
        </is>
      </c>
      <c r="D2053" s="7" t="inlineStr">
        <is>
          <t>Lower middle income</t>
        </is>
      </c>
      <c r="E2053" s="7" t="b">
        <v>1</v>
      </c>
      <c r="F2053" s="7" t="inlineStr">
        <is>
          <t>price_gas_power_usd_gj</t>
        </is>
      </c>
      <c r="G2053" s="7" t="n">
        <v>6.424</v>
      </c>
      <c r="H2053" s="7" t="inlineStr">
        <is>
          <t>2024</t>
        </is>
      </c>
      <c r="I2053" s="7" t="inlineStr">
        <is>
          <t>imffossilfuelsubsidiesdata.xlsb</t>
        </is>
      </c>
    </row>
    <row r="2054">
      <c r="A2054" s="7" t="inlineStr">
        <is>
          <t>PAK</t>
        </is>
      </c>
      <c r="B2054" s="7" t="inlineStr">
        <is>
          <t>Pakistan</t>
        </is>
      </c>
      <c r="C2054" s="7" t="inlineStr">
        <is>
          <t>Middle East &amp; North Africa</t>
        </is>
      </c>
      <c r="D2054" s="7" t="inlineStr">
        <is>
          <t>Lower middle income</t>
        </is>
      </c>
      <c r="E2054" s="7" t="b">
        <v>1</v>
      </c>
      <c r="F2054" s="7" t="inlineStr">
        <is>
          <t>rise_renewable_energy_score</t>
        </is>
      </c>
      <c r="G2054" s="7" t="n">
        <v>23.032</v>
      </c>
      <c r="H2054" s="7" t="inlineStr">
        <is>
          <t>2023</t>
        </is>
      </c>
      <c r="I2054" s="7" t="inlineStr">
        <is>
          <t>WB_RISE_WIDEF.csv</t>
        </is>
      </c>
    </row>
    <row r="2055">
      <c r="A2055" s="7" t="inlineStr">
        <is>
          <t>PAN</t>
        </is>
      </c>
      <c r="B2055" s="7" t="inlineStr">
        <is>
          <t>Panama</t>
        </is>
      </c>
      <c r="C2055" s="7" t="inlineStr">
        <is>
          <t>Latin America &amp; Caribbean</t>
        </is>
      </c>
      <c r="D2055" s="7" t="inlineStr">
        <is>
          <t>High income</t>
        </is>
      </c>
      <c r="E2055" s="7" t="b">
        <v>0</v>
      </c>
      <c r="F2055" s="7" t="inlineStr">
        <is>
          <t>coal_rents_pct_gdp</t>
        </is>
      </c>
      <c r="G2055" s="7" t="n">
        <v>0</v>
      </c>
      <c r="H2055" s="7" t="inlineStr">
        <is>
          <t>2021</t>
        </is>
      </c>
      <c r="I2055" s="7" t="inlineStr">
        <is>
          <t>API_NY_GDP_COAL_RT_ZS_DS2_en_csv_v2_35370.zip</t>
        </is>
      </c>
    </row>
    <row r="2056">
      <c r="A2056" s="7" t="inlineStr">
        <is>
          <t>PAN</t>
        </is>
      </c>
      <c r="B2056" s="7" t="inlineStr">
        <is>
          <t>Panama</t>
        </is>
      </c>
      <c r="C2056" s="7" t="inlineStr">
        <is>
          <t>Latin America &amp; Caribbean</t>
        </is>
      </c>
      <c r="D2056" s="7" t="inlineStr">
        <is>
          <t>High income</t>
        </is>
      </c>
      <c r="E2056" s="7" t="b">
        <v>0</v>
      </c>
      <c r="F2056" s="7" t="inlineStr">
        <is>
          <t>em_coal_mt</t>
        </is>
      </c>
      <c r="G2056" s="7" t="n">
        <v>0.436</v>
      </c>
      <c r="H2056" s="7" t="n">
        <v>2024</v>
      </c>
      <c r="I2056" s="7" t="inlineStr">
        <is>
          <t>release_generation_yearly_global.csv (Ember)</t>
        </is>
      </c>
    </row>
    <row r="2057">
      <c r="A2057" s="7" t="inlineStr">
        <is>
          <t>PAN</t>
        </is>
      </c>
      <c r="B2057" s="7" t="inlineStr">
        <is>
          <t>Panama</t>
        </is>
      </c>
      <c r="C2057" s="7" t="inlineStr">
        <is>
          <t>Latin America &amp; Caribbean</t>
        </is>
      </c>
      <c r="D2057" s="7" t="inlineStr">
        <is>
          <t>High income</t>
        </is>
      </c>
      <c r="E2057" s="7" t="b">
        <v>0</v>
      </c>
      <c r="F2057" s="7" t="inlineStr">
        <is>
          <t>em_gas_mt</t>
        </is>
      </c>
      <c r="G2057" s="7" t="n">
        <v>1.631</v>
      </c>
      <c r="H2057" s="7" t="n">
        <v>2024</v>
      </c>
      <c r="I2057" s="7" t="inlineStr">
        <is>
          <t>release_generation_yearly_global.csv (Ember)</t>
        </is>
      </c>
    </row>
    <row r="2058">
      <c r="A2058" s="7" t="inlineStr">
        <is>
          <t>PAN</t>
        </is>
      </c>
      <c r="B2058" s="7" t="inlineStr">
        <is>
          <t>Panama</t>
        </is>
      </c>
      <c r="C2058" s="7" t="inlineStr">
        <is>
          <t>Latin America &amp; Caribbean</t>
        </is>
      </c>
      <c r="D2058" s="7" t="inlineStr">
        <is>
          <t>High income</t>
        </is>
      </c>
      <c r="E2058" s="7" t="b">
        <v>0</v>
      </c>
      <c r="F2058" s="7" t="inlineStr">
        <is>
          <t>em_oil_mt</t>
        </is>
      </c>
      <c r="G2058" s="7" t="n">
        <v>0.658</v>
      </c>
      <c r="H2058" s="7" t="n">
        <v>2024</v>
      </c>
      <c r="I2058" s="7" t="inlineStr">
        <is>
          <t>release_generation_yearly_global.csv (Ember)</t>
        </is>
      </c>
    </row>
    <row r="2059">
      <c r="A2059" s="7" t="inlineStr">
        <is>
          <t>PAN</t>
        </is>
      </c>
      <c r="B2059" s="7" t="inlineStr">
        <is>
          <t>Panama</t>
        </is>
      </c>
      <c r="C2059" s="7" t="inlineStr">
        <is>
          <t>Latin America &amp; Caribbean</t>
        </is>
      </c>
      <c r="D2059" s="7" t="inlineStr">
        <is>
          <t>High income</t>
        </is>
      </c>
      <c r="E2059" s="7" t="b">
        <v>0</v>
      </c>
      <c r="F2059" s="7" t="inlineStr">
        <is>
          <t>ff_subsidy_explicit_pct_gdp</t>
        </is>
      </c>
      <c r="G2059" s="7" t="n">
        <v>0.068</v>
      </c>
      <c r="H2059" s="7" t="inlineStr">
        <is>
          <t>2024</t>
        </is>
      </c>
      <c r="I2059" s="7" t="inlineStr">
        <is>
          <t>imffossilfuelsubsidiesdata.xlsb</t>
        </is>
      </c>
    </row>
    <row r="2060">
      <c r="A2060" s="7" t="inlineStr">
        <is>
          <t>PAN</t>
        </is>
      </c>
      <c r="B2060" s="7" t="inlineStr">
        <is>
          <t>Panama</t>
        </is>
      </c>
      <c r="C2060" s="7" t="inlineStr">
        <is>
          <t>Latin America &amp; Caribbean</t>
        </is>
      </c>
      <c r="D2060" s="7" t="inlineStr">
        <is>
          <t>High income</t>
        </is>
      </c>
      <c r="E2060" s="7" t="b">
        <v>0</v>
      </c>
      <c r="F2060" s="7" t="inlineStr">
        <is>
          <t>fuel_exports_pct_merch</t>
        </is>
      </c>
      <c r="G2060" s="7" t="n">
        <v>1.007</v>
      </c>
      <c r="H2060" s="7" t="inlineStr">
        <is>
          <t>2024</t>
        </is>
      </c>
      <c r="I2060" s="7" t="inlineStr">
        <is>
          <t>API_TX_VAL_FUEL_ZS_UN_DS2_en_csv_v2_33055.zip</t>
        </is>
      </c>
    </row>
    <row r="2061">
      <c r="A2061" s="7" t="inlineStr">
        <is>
          <t>PAN</t>
        </is>
      </c>
      <c r="B2061" s="7" t="inlineStr">
        <is>
          <t>Panama</t>
        </is>
      </c>
      <c r="C2061" s="7" t="inlineStr">
        <is>
          <t>Latin America &amp; Caribbean</t>
        </is>
      </c>
      <c r="D2061" s="7" t="inlineStr">
        <is>
          <t>High income</t>
        </is>
      </c>
      <c r="E2061" s="7" t="b">
        <v>0</v>
      </c>
      <c r="F2061" s="7" t="inlineStr">
        <is>
          <t>gen_coal_twh</t>
        </is>
      </c>
      <c r="G2061" s="7" t="n">
        <v>0.5</v>
      </c>
      <c r="H2061" s="7" t="n">
        <v>2024</v>
      </c>
      <c r="I2061" s="7" t="inlineStr">
        <is>
          <t>release_generation_yearly_global.csv (Ember)</t>
        </is>
      </c>
    </row>
    <row r="2062">
      <c r="A2062" s="7" t="inlineStr">
        <is>
          <t>PAN</t>
        </is>
      </c>
      <c r="B2062" s="7" t="inlineStr">
        <is>
          <t>Panama</t>
        </is>
      </c>
      <c r="C2062" s="7" t="inlineStr">
        <is>
          <t>Latin America &amp; Caribbean</t>
        </is>
      </c>
      <c r="D2062" s="7" t="inlineStr">
        <is>
          <t>High income</t>
        </is>
      </c>
      <c r="E2062" s="7" t="b">
        <v>0</v>
      </c>
      <c r="F2062" s="7" t="inlineStr">
        <is>
          <t>gen_gas_twh</t>
        </is>
      </c>
      <c r="G2062" s="7" t="n">
        <v>2.8</v>
      </c>
      <c r="H2062" s="7" t="n">
        <v>2024</v>
      </c>
      <c r="I2062" s="7" t="inlineStr">
        <is>
          <t>release_generation_yearly_global.csv (Ember)</t>
        </is>
      </c>
    </row>
    <row r="2063">
      <c r="A2063" s="7" t="inlineStr">
        <is>
          <t>PAN</t>
        </is>
      </c>
      <c r="B2063" s="7" t="inlineStr">
        <is>
          <t>Panama</t>
        </is>
      </c>
      <c r="C2063" s="7" t="inlineStr">
        <is>
          <t>Latin America &amp; Caribbean</t>
        </is>
      </c>
      <c r="D2063" s="7" t="inlineStr">
        <is>
          <t>High income</t>
        </is>
      </c>
      <c r="E2063" s="7" t="b">
        <v>0</v>
      </c>
      <c r="F2063" s="7" t="inlineStr">
        <is>
          <t>gen_oil_twh</t>
        </is>
      </c>
      <c r="G2063" s="7" t="n">
        <v>1</v>
      </c>
      <c r="H2063" s="7" t="n">
        <v>2024</v>
      </c>
      <c r="I2063" s="7" t="inlineStr">
        <is>
          <t>release_generation_yearly_global.csv (Ember)</t>
        </is>
      </c>
    </row>
    <row r="2064">
      <c r="A2064" s="7" t="inlineStr">
        <is>
          <t>PAN</t>
        </is>
      </c>
      <c r="B2064" s="7" t="inlineStr">
        <is>
          <t>Panama</t>
        </is>
      </c>
      <c r="C2064" s="7" t="inlineStr">
        <is>
          <t>Latin America &amp; Caribbean</t>
        </is>
      </c>
      <c r="D2064" s="7" t="inlineStr">
        <is>
          <t>High income</t>
        </is>
      </c>
      <c r="E2064" s="7" t="b">
        <v>0</v>
      </c>
      <c r="F2064" s="7" t="inlineStr">
        <is>
          <t>gen_total_twh</t>
        </is>
      </c>
      <c r="G2064" s="7" t="n">
        <v>13.43</v>
      </c>
      <c r="H2064" s="7" t="n">
        <v>2024</v>
      </c>
      <c r="I2064" s="7" t="inlineStr">
        <is>
          <t>release_generation_yearly_global.csv (Ember)</t>
        </is>
      </c>
    </row>
    <row r="2065">
      <c r="A2065" s="7" t="inlineStr">
        <is>
          <t>PAN</t>
        </is>
      </c>
      <c r="B2065" s="7" t="inlineStr">
        <is>
          <t>Panama</t>
        </is>
      </c>
      <c r="C2065" s="7" t="inlineStr">
        <is>
          <t>Latin America &amp; Caribbean</t>
        </is>
      </c>
      <c r="D2065" s="7" t="inlineStr">
        <is>
          <t>High income</t>
        </is>
      </c>
      <c r="E2065" s="7" t="b">
        <v>0</v>
      </c>
      <c r="F2065" s="7" t="inlineStr">
        <is>
          <t>power_market_structure</t>
        </is>
      </c>
      <c r="G2065" s="7" t="n">
        <v>3</v>
      </c>
      <c r="H2065" s="7" t="inlineStr">
        <is>
          <t>2013</t>
        </is>
      </c>
      <c r="I2065" s="7" t="inlineStr">
        <is>
          <t>dataverse_files.zip</t>
        </is>
      </c>
    </row>
    <row r="2066">
      <c r="A2066" s="7" t="inlineStr">
        <is>
          <t>PAN</t>
        </is>
      </c>
      <c r="B2066" s="7" t="inlineStr">
        <is>
          <t>Panama</t>
        </is>
      </c>
      <c r="C2066" s="7" t="inlineStr">
        <is>
          <t>Latin America &amp; Caribbean</t>
        </is>
      </c>
      <c r="D2066" s="7" t="inlineStr">
        <is>
          <t>High income</t>
        </is>
      </c>
      <c r="E2066" s="7" t="b">
        <v>0</v>
      </c>
      <c r="F2066" s="7" t="inlineStr">
        <is>
          <t>price_coal_power_usd_gj</t>
        </is>
      </c>
      <c r="G2066" s="7" t="n">
        <v>5.575</v>
      </c>
      <c r="H2066" s="7" t="inlineStr">
        <is>
          <t>2024</t>
        </is>
      </c>
      <c r="I2066" s="7" t="inlineStr">
        <is>
          <t>imffossilfuelsubsidiesdata.xlsb</t>
        </is>
      </c>
    </row>
    <row r="2067">
      <c r="A2067" s="7" t="inlineStr">
        <is>
          <t>PAN</t>
        </is>
      </c>
      <c r="B2067" s="7" t="inlineStr">
        <is>
          <t>Panama</t>
        </is>
      </c>
      <c r="C2067" s="7" t="inlineStr">
        <is>
          <t>Latin America &amp; Caribbean</t>
        </is>
      </c>
      <c r="D2067" s="7" t="inlineStr">
        <is>
          <t>High income</t>
        </is>
      </c>
      <c r="E2067" s="7" t="b">
        <v>0</v>
      </c>
      <c r="F2067" s="7" t="inlineStr">
        <is>
          <t>price_electricity_residential_usd_kwh</t>
        </is>
      </c>
      <c r="G2067" s="7" t="n">
        <v>0.179</v>
      </c>
      <c r="H2067" s="7" t="inlineStr">
        <is>
          <t>2024</t>
        </is>
      </c>
      <c r="I2067" s="7" t="inlineStr">
        <is>
          <t>imffossilfuelsubsidiesdata.xlsb</t>
        </is>
      </c>
    </row>
    <row r="2068">
      <c r="A2068" s="7" t="inlineStr">
        <is>
          <t>PAN</t>
        </is>
      </c>
      <c r="B2068" s="7" t="inlineStr">
        <is>
          <t>Panama</t>
        </is>
      </c>
      <c r="C2068" s="7" t="inlineStr">
        <is>
          <t>Latin America &amp; Caribbean</t>
        </is>
      </c>
      <c r="D2068" s="7" t="inlineStr">
        <is>
          <t>High income</t>
        </is>
      </c>
      <c r="E2068" s="7" t="b">
        <v>0</v>
      </c>
      <c r="F2068" s="7" t="inlineStr">
        <is>
          <t>price_gas_industry_usd_gj</t>
        </is>
      </c>
      <c r="G2068" s="7" t="n">
        <v>8.176</v>
      </c>
      <c r="H2068" s="7" t="inlineStr">
        <is>
          <t>2024</t>
        </is>
      </c>
      <c r="I2068" s="7" t="inlineStr">
        <is>
          <t>imffossilfuelsubsidiesdata.xlsb</t>
        </is>
      </c>
    </row>
    <row r="2069">
      <c r="A2069" s="7" t="inlineStr">
        <is>
          <t>PAN</t>
        </is>
      </c>
      <c r="B2069" s="7" t="inlineStr">
        <is>
          <t>Panama</t>
        </is>
      </c>
      <c r="C2069" s="7" t="inlineStr">
        <is>
          <t>Latin America &amp; Caribbean</t>
        </is>
      </c>
      <c r="D2069" s="7" t="inlineStr">
        <is>
          <t>High income</t>
        </is>
      </c>
      <c r="E2069" s="7" t="b">
        <v>0</v>
      </c>
      <c r="F2069" s="7" t="inlineStr">
        <is>
          <t>price_gas_power_usd_gj</t>
        </is>
      </c>
      <c r="G2069" s="7" t="n">
        <v>6.853</v>
      </c>
      <c r="H2069" s="7" t="inlineStr">
        <is>
          <t>2024</t>
        </is>
      </c>
      <c r="I2069" s="7" t="inlineStr">
        <is>
          <t>imffossilfuelsubsidiesdata.xlsb</t>
        </is>
      </c>
    </row>
    <row r="2070">
      <c r="A2070" s="7" t="inlineStr">
        <is>
          <t>PAN</t>
        </is>
      </c>
      <c r="B2070" s="7" t="inlineStr">
        <is>
          <t>Panama</t>
        </is>
      </c>
      <c r="C2070" s="7" t="inlineStr">
        <is>
          <t>Latin America &amp; Caribbean</t>
        </is>
      </c>
      <c r="D2070" s="7" t="inlineStr">
        <is>
          <t>High income</t>
        </is>
      </c>
      <c r="E2070" s="7" t="b">
        <v>0</v>
      </c>
      <c r="F2070" s="7" t="inlineStr">
        <is>
          <t>rise_renewable_energy_score</t>
        </is>
      </c>
      <c r="G2070" s="7" t="n">
        <v>29.315</v>
      </c>
      <c r="H2070" s="7" t="inlineStr">
        <is>
          <t>2023</t>
        </is>
      </c>
      <c r="I2070" s="7" t="inlineStr">
        <is>
          <t>WB_RISE_WIDEF.csv</t>
        </is>
      </c>
    </row>
    <row r="2071">
      <c r="A2071" s="7" t="inlineStr">
        <is>
          <t>PER</t>
        </is>
      </c>
      <c r="B2071" s="7" t="inlineStr">
        <is>
          <t>Peru</t>
        </is>
      </c>
      <c r="C2071" s="7" t="inlineStr">
        <is>
          <t>Latin America &amp; Caribbean</t>
        </is>
      </c>
      <c r="D2071" s="7" t="inlineStr">
        <is>
          <t>Upper middle income</t>
        </is>
      </c>
      <c r="E2071" s="7" t="b">
        <v>1</v>
      </c>
      <c r="F2071" s="7" t="inlineStr">
        <is>
          <t>coal_rents_pct_gdp</t>
        </is>
      </c>
      <c r="G2071" s="7" t="n">
        <v>0.002</v>
      </c>
      <c r="H2071" s="7" t="inlineStr">
        <is>
          <t>2021</t>
        </is>
      </c>
      <c r="I2071" s="7" t="inlineStr">
        <is>
          <t>API_NY_GDP_COAL_RT_ZS_DS2_en_csv_v2_35370.zip</t>
        </is>
      </c>
    </row>
    <row r="2072">
      <c r="A2072" s="7" t="inlineStr">
        <is>
          <t>PER</t>
        </is>
      </c>
      <c r="B2072" s="7" t="inlineStr">
        <is>
          <t>Peru</t>
        </is>
      </c>
      <c r="C2072" s="7" t="inlineStr">
        <is>
          <t>Latin America &amp; Caribbean</t>
        </is>
      </c>
      <c r="D2072" s="7" t="inlineStr">
        <is>
          <t>Upper middle income</t>
        </is>
      </c>
      <c r="E2072" s="7" t="b">
        <v>1</v>
      </c>
      <c r="F2072" s="7" t="inlineStr">
        <is>
          <t>em_coal_mt</t>
        </is>
      </c>
      <c r="G2072" s="7" t="n">
        <v>0</v>
      </c>
      <c r="H2072" s="7" t="n">
        <v>2024</v>
      </c>
      <c r="I2072" s="7" t="inlineStr">
        <is>
          <t>release_generation_yearly_global.csv (Ember)</t>
        </is>
      </c>
    </row>
    <row r="2073">
      <c r="A2073" s="7" t="inlineStr">
        <is>
          <t>PER</t>
        </is>
      </c>
      <c r="B2073" s="7" t="inlineStr">
        <is>
          <t>Peru</t>
        </is>
      </c>
      <c r="C2073" s="7" t="inlineStr">
        <is>
          <t>Latin America &amp; Caribbean</t>
        </is>
      </c>
      <c r="D2073" s="7" t="inlineStr">
        <is>
          <t>Upper middle income</t>
        </is>
      </c>
      <c r="E2073" s="7" t="b">
        <v>1</v>
      </c>
      <c r="F2073" s="7" t="inlineStr">
        <is>
          <t>em_gas_mt</t>
        </is>
      </c>
      <c r="G2073" s="7" t="n">
        <v>14.095</v>
      </c>
      <c r="H2073" s="7" t="n">
        <v>2024</v>
      </c>
      <c r="I2073" s="7" t="inlineStr">
        <is>
          <t>release_generation_yearly_global.csv (Ember)</t>
        </is>
      </c>
    </row>
    <row r="2074">
      <c r="A2074" s="7" t="inlineStr">
        <is>
          <t>PER</t>
        </is>
      </c>
      <c r="B2074" s="7" t="inlineStr">
        <is>
          <t>Peru</t>
        </is>
      </c>
      <c r="C2074" s="7" t="inlineStr">
        <is>
          <t>Latin America &amp; Caribbean</t>
        </is>
      </c>
      <c r="D2074" s="7" t="inlineStr">
        <is>
          <t>Upper middle income</t>
        </is>
      </c>
      <c r="E2074" s="7" t="b">
        <v>1</v>
      </c>
      <c r="F2074" s="7" t="inlineStr">
        <is>
          <t>em_oil_mt</t>
        </is>
      </c>
      <c r="G2074" s="7" t="n">
        <v>0.276</v>
      </c>
      <c r="H2074" s="7" t="n">
        <v>2024</v>
      </c>
      <c r="I2074" s="7" t="inlineStr">
        <is>
          <t>release_generation_yearly_global.csv (Ember)</t>
        </is>
      </c>
    </row>
    <row r="2075">
      <c r="A2075" s="7" t="inlineStr">
        <is>
          <t>PER</t>
        </is>
      </c>
      <c r="B2075" s="7" t="inlineStr">
        <is>
          <t>Peru</t>
        </is>
      </c>
      <c r="C2075" s="7" t="inlineStr">
        <is>
          <t>Latin America &amp; Caribbean</t>
        </is>
      </c>
      <c r="D2075" s="7" t="inlineStr">
        <is>
          <t>Upper middle income</t>
        </is>
      </c>
      <c r="E2075" s="7" t="b">
        <v>1</v>
      </c>
      <c r="F2075" s="7" t="inlineStr">
        <is>
          <t>ff_subsidy_explicit_pct_gdp</t>
        </is>
      </c>
      <c r="G2075" s="7" t="n">
        <v>0</v>
      </c>
      <c r="H2075" s="7" t="inlineStr">
        <is>
          <t>2024</t>
        </is>
      </c>
      <c r="I2075" s="7" t="inlineStr">
        <is>
          <t>imffossilfuelsubsidiesdata.xlsb</t>
        </is>
      </c>
    </row>
    <row r="2076">
      <c r="A2076" s="7" t="inlineStr">
        <is>
          <t>PER</t>
        </is>
      </c>
      <c r="B2076" s="7" t="inlineStr">
        <is>
          <t>Peru</t>
        </is>
      </c>
      <c r="C2076" s="7" t="inlineStr">
        <is>
          <t>Latin America &amp; Caribbean</t>
        </is>
      </c>
      <c r="D2076" s="7" t="inlineStr">
        <is>
          <t>Upper middle income</t>
        </is>
      </c>
      <c r="E2076" s="7" t="b">
        <v>1</v>
      </c>
      <c r="F2076" s="7" t="inlineStr">
        <is>
          <t>fuel_exports_pct_merch</t>
        </is>
      </c>
      <c r="G2076" s="7" t="n">
        <v>5.719</v>
      </c>
      <c r="H2076" s="7" t="inlineStr">
        <is>
          <t>2024</t>
        </is>
      </c>
      <c r="I2076" s="7" t="inlineStr">
        <is>
          <t>API_TX_VAL_FUEL_ZS_UN_DS2_en_csv_v2_33055.zip</t>
        </is>
      </c>
    </row>
    <row r="2077">
      <c r="A2077" s="7" t="inlineStr">
        <is>
          <t>PER</t>
        </is>
      </c>
      <c r="B2077" s="7" t="inlineStr">
        <is>
          <t>Peru</t>
        </is>
      </c>
      <c r="C2077" s="7" t="inlineStr">
        <is>
          <t>Latin America &amp; Caribbean</t>
        </is>
      </c>
      <c r="D2077" s="7" t="inlineStr">
        <is>
          <t>Upper middle income</t>
        </is>
      </c>
      <c r="E2077" s="7" t="b">
        <v>1</v>
      </c>
      <c r="F2077" s="7" t="inlineStr">
        <is>
          <t>gen_coal_twh</t>
        </is>
      </c>
      <c r="G2077" s="7" t="n">
        <v>0</v>
      </c>
      <c r="H2077" s="7" t="n">
        <v>2024</v>
      </c>
      <c r="I2077" s="7" t="inlineStr">
        <is>
          <t>release_generation_yearly_global.csv (Ember)</t>
        </is>
      </c>
    </row>
    <row r="2078">
      <c r="A2078" s="7" t="inlineStr">
        <is>
          <t>PER</t>
        </is>
      </c>
      <c r="B2078" s="7" t="inlineStr">
        <is>
          <t>Peru</t>
        </is>
      </c>
      <c r="C2078" s="7" t="inlineStr">
        <is>
          <t>Latin America &amp; Caribbean</t>
        </is>
      </c>
      <c r="D2078" s="7" t="inlineStr">
        <is>
          <t>Upper middle income</t>
        </is>
      </c>
      <c r="E2078" s="7" t="b">
        <v>1</v>
      </c>
      <c r="F2078" s="7" t="inlineStr">
        <is>
          <t>gen_gas_twh</t>
        </is>
      </c>
      <c r="G2078" s="7" t="n">
        <v>23.23</v>
      </c>
      <c r="H2078" s="7" t="n">
        <v>2024</v>
      </c>
      <c r="I2078" s="7" t="inlineStr">
        <is>
          <t>release_generation_yearly_global.csv (Ember)</t>
        </is>
      </c>
    </row>
    <row r="2079">
      <c r="A2079" s="7" t="inlineStr">
        <is>
          <t>PER</t>
        </is>
      </c>
      <c r="B2079" s="7" t="inlineStr">
        <is>
          <t>Peru</t>
        </is>
      </c>
      <c r="C2079" s="7" t="inlineStr">
        <is>
          <t>Latin America &amp; Caribbean</t>
        </is>
      </c>
      <c r="D2079" s="7" t="inlineStr">
        <is>
          <t>Upper middle income</t>
        </is>
      </c>
      <c r="E2079" s="7" t="b">
        <v>1</v>
      </c>
      <c r="F2079" s="7" t="inlineStr">
        <is>
          <t>gen_oil_twh</t>
        </is>
      </c>
      <c r="G2079" s="7" t="n">
        <v>0.42</v>
      </c>
      <c r="H2079" s="7" t="n">
        <v>2024</v>
      </c>
      <c r="I2079" s="7" t="inlineStr">
        <is>
          <t>release_generation_yearly_global.csv (Ember)</t>
        </is>
      </c>
    </row>
    <row r="2080">
      <c r="A2080" s="7" t="inlineStr">
        <is>
          <t>PER</t>
        </is>
      </c>
      <c r="B2080" s="7" t="inlineStr">
        <is>
          <t>Peru</t>
        </is>
      </c>
      <c r="C2080" s="7" t="inlineStr">
        <is>
          <t>Latin America &amp; Caribbean</t>
        </is>
      </c>
      <c r="D2080" s="7" t="inlineStr">
        <is>
          <t>Upper middle income</t>
        </is>
      </c>
      <c r="E2080" s="7" t="b">
        <v>1</v>
      </c>
      <c r="F2080" s="7" t="inlineStr">
        <is>
          <t>gen_total_twh</t>
        </is>
      </c>
      <c r="G2080" s="7" t="n">
        <v>59.29</v>
      </c>
      <c r="H2080" s="7" t="n">
        <v>2024</v>
      </c>
      <c r="I2080" s="7" t="inlineStr">
        <is>
          <t>release_generation_yearly_global.csv (Ember)</t>
        </is>
      </c>
    </row>
    <row r="2081">
      <c r="A2081" s="7" t="inlineStr">
        <is>
          <t>PER</t>
        </is>
      </c>
      <c r="B2081" s="7" t="inlineStr">
        <is>
          <t>Peru</t>
        </is>
      </c>
      <c r="C2081" s="7" t="inlineStr">
        <is>
          <t>Latin America &amp; Caribbean</t>
        </is>
      </c>
      <c r="D2081" s="7" t="inlineStr">
        <is>
          <t>Upper middle income</t>
        </is>
      </c>
      <c r="E2081" s="7" t="b">
        <v>1</v>
      </c>
      <c r="F2081" s="7" t="inlineStr">
        <is>
          <t>power_market_structure</t>
        </is>
      </c>
      <c r="G2081" s="7" t="n">
        <v>3</v>
      </c>
      <c r="H2081" s="7" t="inlineStr">
        <is>
          <t>2013</t>
        </is>
      </c>
      <c r="I2081" s="7" t="inlineStr">
        <is>
          <t>dataverse_files.zip</t>
        </is>
      </c>
    </row>
    <row r="2082">
      <c r="A2082" s="7" t="inlineStr">
        <is>
          <t>PER</t>
        </is>
      </c>
      <c r="B2082" s="7" t="inlineStr">
        <is>
          <t>Peru</t>
        </is>
      </c>
      <c r="C2082" s="7" t="inlineStr">
        <is>
          <t>Latin America &amp; Caribbean</t>
        </is>
      </c>
      <c r="D2082" s="7" t="inlineStr">
        <is>
          <t>Upper middle income</t>
        </is>
      </c>
      <c r="E2082" s="7" t="b">
        <v>1</v>
      </c>
      <c r="F2082" s="7" t="inlineStr">
        <is>
          <t>price_coal_power_usd_gj</t>
        </is>
      </c>
      <c r="G2082" s="7" t="n">
        <v>4.188</v>
      </c>
      <c r="H2082" s="7" t="inlineStr">
        <is>
          <t>2024</t>
        </is>
      </c>
      <c r="I2082" s="7" t="inlineStr">
        <is>
          <t>imffossilfuelsubsidiesdata.xlsb</t>
        </is>
      </c>
    </row>
    <row r="2083">
      <c r="A2083" s="7" t="inlineStr">
        <is>
          <t>PER</t>
        </is>
      </c>
      <c r="B2083" s="7" t="inlineStr">
        <is>
          <t>Peru</t>
        </is>
      </c>
      <c r="C2083" s="7" t="inlineStr">
        <is>
          <t>Latin America &amp; Caribbean</t>
        </is>
      </c>
      <c r="D2083" s="7" t="inlineStr">
        <is>
          <t>Upper middle income</t>
        </is>
      </c>
      <c r="E2083" s="7" t="b">
        <v>1</v>
      </c>
      <c r="F2083" s="7" t="inlineStr">
        <is>
          <t>price_electricity_residential_usd_kwh</t>
        </is>
      </c>
      <c r="G2083" s="7" t="n">
        <v>0.146</v>
      </c>
      <c r="H2083" s="7" t="inlineStr">
        <is>
          <t>2024</t>
        </is>
      </c>
      <c r="I2083" s="7" t="inlineStr">
        <is>
          <t>imffossilfuelsubsidiesdata.xlsb</t>
        </is>
      </c>
    </row>
    <row r="2084">
      <c r="A2084" s="7" t="inlineStr">
        <is>
          <t>PER</t>
        </is>
      </c>
      <c r="B2084" s="7" t="inlineStr">
        <is>
          <t>Peru</t>
        </is>
      </c>
      <c r="C2084" s="7" t="inlineStr">
        <is>
          <t>Latin America &amp; Caribbean</t>
        </is>
      </c>
      <c r="D2084" s="7" t="inlineStr">
        <is>
          <t>Upper middle income</t>
        </is>
      </c>
      <c r="E2084" s="7" t="b">
        <v>1</v>
      </c>
      <c r="F2084" s="7" t="inlineStr">
        <is>
          <t>price_gas_industry_usd_gj</t>
        </is>
      </c>
      <c r="G2084" s="7" t="n">
        <v>5.917</v>
      </c>
      <c r="H2084" s="7" t="inlineStr">
        <is>
          <t>2024</t>
        </is>
      </c>
      <c r="I2084" s="7" t="inlineStr">
        <is>
          <t>imffossilfuelsubsidiesdata.xlsb</t>
        </is>
      </c>
    </row>
    <row r="2085">
      <c r="A2085" s="7" t="inlineStr">
        <is>
          <t>PER</t>
        </is>
      </c>
      <c r="B2085" s="7" t="inlineStr">
        <is>
          <t>Peru</t>
        </is>
      </c>
      <c r="C2085" s="7" t="inlineStr">
        <is>
          <t>Latin America &amp; Caribbean</t>
        </is>
      </c>
      <c r="D2085" s="7" t="inlineStr">
        <is>
          <t>Upper middle income</t>
        </is>
      </c>
      <c r="E2085" s="7" t="b">
        <v>1</v>
      </c>
      <c r="F2085" s="7" t="inlineStr">
        <is>
          <t>price_gas_power_usd_gj</t>
        </is>
      </c>
      <c r="G2085" s="7" t="n">
        <v>5.255</v>
      </c>
      <c r="H2085" s="7" t="inlineStr">
        <is>
          <t>2024</t>
        </is>
      </c>
      <c r="I2085" s="7" t="inlineStr">
        <is>
          <t>imffossilfuelsubsidiesdata.xlsb</t>
        </is>
      </c>
    </row>
    <row r="2086">
      <c r="A2086" s="7" t="inlineStr">
        <is>
          <t>PER</t>
        </is>
      </c>
      <c r="B2086" s="7" t="inlineStr">
        <is>
          <t>Peru</t>
        </is>
      </c>
      <c r="C2086" s="7" t="inlineStr">
        <is>
          <t>Latin America &amp; Caribbean</t>
        </is>
      </c>
      <c r="D2086" s="7" t="inlineStr">
        <is>
          <t>Upper middle income</t>
        </is>
      </c>
      <c r="E2086" s="7" t="b">
        <v>1</v>
      </c>
      <c r="F2086" s="7" t="inlineStr">
        <is>
          <t>rise_renewable_energy_score</t>
        </is>
      </c>
      <c r="G2086" s="7" t="n">
        <v>26.09</v>
      </c>
      <c r="H2086" s="7" t="inlineStr">
        <is>
          <t>2023</t>
        </is>
      </c>
      <c r="I2086" s="7" t="inlineStr">
        <is>
          <t>WB_RISE_WIDEF.csv</t>
        </is>
      </c>
    </row>
    <row r="2087">
      <c r="A2087" s="7" t="inlineStr">
        <is>
          <t>PHL</t>
        </is>
      </c>
      <c r="B2087" s="7" t="inlineStr">
        <is>
          <t>Philippines</t>
        </is>
      </c>
      <c r="C2087" s="7" t="inlineStr">
        <is>
          <t>East Asia &amp; Pacific</t>
        </is>
      </c>
      <c r="D2087" s="7" t="inlineStr">
        <is>
          <t>Upper middle income</t>
        </is>
      </c>
      <c r="E2087" s="7" t="b">
        <v>1</v>
      </c>
      <c r="F2087" s="7" t="inlineStr">
        <is>
          <t>coal_rents_pct_gdp</t>
        </is>
      </c>
      <c r="G2087" s="7" t="n">
        <v>0.094</v>
      </c>
      <c r="H2087" s="7" t="inlineStr">
        <is>
          <t>2021</t>
        </is>
      </c>
      <c r="I2087" s="7" t="inlineStr">
        <is>
          <t>API_NY_GDP_COAL_RT_ZS_DS2_en_csv_v2_35370.zip</t>
        </is>
      </c>
    </row>
    <row r="2088">
      <c r="A2088" s="7" t="inlineStr">
        <is>
          <t>PHL</t>
        </is>
      </c>
      <c r="B2088" s="7" t="inlineStr">
        <is>
          <t>Philippines</t>
        </is>
      </c>
      <c r="C2088" s="7" t="inlineStr">
        <is>
          <t>East Asia &amp; Pacific</t>
        </is>
      </c>
      <c r="D2088" s="7" t="inlineStr">
        <is>
          <t>Upper middle income</t>
        </is>
      </c>
      <c r="E2088" s="7" t="b">
        <v>1</v>
      </c>
      <c r="F2088" s="7" t="inlineStr">
        <is>
          <t>em_coal_mt</t>
        </is>
      </c>
      <c r="G2088" s="7" t="n">
        <v>68.252</v>
      </c>
      <c r="H2088" s="7" t="n">
        <v>2024</v>
      </c>
      <c r="I2088" s="7" t="inlineStr">
        <is>
          <t>release_generation_yearly_global.csv (Ember)</t>
        </is>
      </c>
    </row>
    <row r="2089">
      <c r="A2089" s="7" t="inlineStr">
        <is>
          <t>PHL</t>
        </is>
      </c>
      <c r="B2089" s="7" t="inlineStr">
        <is>
          <t>Philippines</t>
        </is>
      </c>
      <c r="C2089" s="7" t="inlineStr">
        <is>
          <t>East Asia &amp; Pacific</t>
        </is>
      </c>
      <c r="D2089" s="7" t="inlineStr">
        <is>
          <t>Upper middle income</t>
        </is>
      </c>
      <c r="E2089" s="7" t="b">
        <v>1</v>
      </c>
      <c r="F2089" s="7" t="inlineStr">
        <is>
          <t>em_gas_mt</t>
        </is>
      </c>
      <c r="G2089" s="7" t="n">
        <v>7.994</v>
      </c>
      <c r="H2089" s="7" t="n">
        <v>2024</v>
      </c>
      <c r="I2089" s="7" t="inlineStr">
        <is>
          <t>release_generation_yearly_global.csv (Ember)</t>
        </is>
      </c>
    </row>
    <row r="2090">
      <c r="A2090" s="7" t="inlineStr">
        <is>
          <t>PHL</t>
        </is>
      </c>
      <c r="B2090" s="7" t="inlineStr">
        <is>
          <t>Philippines</t>
        </is>
      </c>
      <c r="C2090" s="7" t="inlineStr">
        <is>
          <t>East Asia &amp; Pacific</t>
        </is>
      </c>
      <c r="D2090" s="7" t="inlineStr">
        <is>
          <t>Upper middle income</t>
        </is>
      </c>
      <c r="E2090" s="7" t="b">
        <v>1</v>
      </c>
      <c r="F2090" s="7" t="inlineStr">
        <is>
          <t>em_oil_mt</t>
        </is>
      </c>
      <c r="G2090" s="7" t="n">
        <v>0.882</v>
      </c>
      <c r="H2090" s="7" t="n">
        <v>2024</v>
      </c>
      <c r="I2090" s="7" t="inlineStr">
        <is>
          <t>release_generation_yearly_global.csv (Ember)</t>
        </is>
      </c>
    </row>
    <row r="2091">
      <c r="A2091" s="7" t="inlineStr">
        <is>
          <t>PHL</t>
        </is>
      </c>
      <c r="B2091" s="7" t="inlineStr">
        <is>
          <t>Philippines</t>
        </is>
      </c>
      <c r="C2091" s="7" t="inlineStr">
        <is>
          <t>East Asia &amp; Pacific</t>
        </is>
      </c>
      <c r="D2091" s="7" t="inlineStr">
        <is>
          <t>Upper middle income</t>
        </is>
      </c>
      <c r="E2091" s="7" t="b">
        <v>1</v>
      </c>
      <c r="F2091" s="7" t="inlineStr">
        <is>
          <t>ff_subsidy_explicit_pct_gdp</t>
        </is>
      </c>
      <c r="G2091" s="7" t="n">
        <v>0.146</v>
      </c>
      <c r="H2091" s="7" t="inlineStr">
        <is>
          <t>2024</t>
        </is>
      </c>
      <c r="I2091" s="7" t="inlineStr">
        <is>
          <t>imffossilfuelsubsidiesdata.xlsb</t>
        </is>
      </c>
    </row>
    <row r="2092">
      <c r="A2092" s="7" t="inlineStr">
        <is>
          <t>PHL</t>
        </is>
      </c>
      <c r="B2092" s="7" t="inlineStr">
        <is>
          <t>Philippines</t>
        </is>
      </c>
      <c r="C2092" s="7" t="inlineStr">
        <is>
          <t>East Asia &amp; Pacific</t>
        </is>
      </c>
      <c r="D2092" s="7" t="inlineStr">
        <is>
          <t>Upper middle income</t>
        </is>
      </c>
      <c r="E2092" s="7" t="b">
        <v>1</v>
      </c>
      <c r="F2092" s="7" t="inlineStr">
        <is>
          <t>fuel_exports_pct_merch</t>
        </is>
      </c>
      <c r="G2092" s="7" t="n">
        <v>1.258</v>
      </c>
      <c r="H2092" s="7" t="inlineStr">
        <is>
          <t>2024</t>
        </is>
      </c>
      <c r="I2092" s="7" t="inlineStr">
        <is>
          <t>API_TX_VAL_FUEL_ZS_UN_DS2_en_csv_v2_33055.zip</t>
        </is>
      </c>
    </row>
    <row r="2093">
      <c r="A2093" s="7" t="inlineStr">
        <is>
          <t>PHL</t>
        </is>
      </c>
      <c r="B2093" s="7" t="inlineStr">
        <is>
          <t>Philippines</t>
        </is>
      </c>
      <c r="C2093" s="7" t="inlineStr">
        <is>
          <t>East Asia &amp; Pacific</t>
        </is>
      </c>
      <c r="D2093" s="7" t="inlineStr">
        <is>
          <t>Upper middle income</t>
        </is>
      </c>
      <c r="E2093" s="7" t="b">
        <v>1</v>
      </c>
      <c r="F2093" s="7" t="inlineStr">
        <is>
          <t>gen_coal_twh</t>
        </is>
      </c>
      <c r="G2093" s="7" t="n">
        <v>79.36</v>
      </c>
      <c r="H2093" s="7" t="n">
        <v>2024</v>
      </c>
      <c r="I2093" s="7" t="inlineStr">
        <is>
          <t>release_generation_yearly_global.csv (Ember)</t>
        </is>
      </c>
    </row>
    <row r="2094">
      <c r="A2094" s="7" t="inlineStr">
        <is>
          <t>PHL</t>
        </is>
      </c>
      <c r="B2094" s="7" t="inlineStr">
        <is>
          <t>Philippines</t>
        </is>
      </c>
      <c r="C2094" s="7" t="inlineStr">
        <is>
          <t>East Asia &amp; Pacific</t>
        </is>
      </c>
      <c r="D2094" s="7" t="inlineStr">
        <is>
          <t>Upper middle income</t>
        </is>
      </c>
      <c r="E2094" s="7" t="b">
        <v>1</v>
      </c>
      <c r="F2094" s="7" t="inlineStr">
        <is>
          <t>gen_gas_twh</t>
        </is>
      </c>
      <c r="G2094" s="7" t="n">
        <v>18.05</v>
      </c>
      <c r="H2094" s="7" t="n">
        <v>2024</v>
      </c>
      <c r="I2094" s="7" t="inlineStr">
        <is>
          <t>release_generation_yearly_global.csv (Ember)</t>
        </is>
      </c>
    </row>
    <row r="2095">
      <c r="A2095" s="7" t="inlineStr">
        <is>
          <t>PHL</t>
        </is>
      </c>
      <c r="B2095" s="7" t="inlineStr">
        <is>
          <t>Philippines</t>
        </is>
      </c>
      <c r="C2095" s="7" t="inlineStr">
        <is>
          <t>East Asia &amp; Pacific</t>
        </is>
      </c>
      <c r="D2095" s="7" t="inlineStr">
        <is>
          <t>Upper middle income</t>
        </is>
      </c>
      <c r="E2095" s="7" t="b">
        <v>1</v>
      </c>
      <c r="F2095" s="7" t="inlineStr">
        <is>
          <t>gen_oil_twh</t>
        </is>
      </c>
      <c r="G2095" s="7" t="n">
        <v>1.34</v>
      </c>
      <c r="H2095" s="7" t="n">
        <v>2024</v>
      </c>
      <c r="I2095" s="7" t="inlineStr">
        <is>
          <t>release_generation_yearly_global.csv (Ember)</t>
        </is>
      </c>
    </row>
    <row r="2096">
      <c r="A2096" s="7" t="inlineStr">
        <is>
          <t>PHL</t>
        </is>
      </c>
      <c r="B2096" s="7" t="inlineStr">
        <is>
          <t>Philippines</t>
        </is>
      </c>
      <c r="C2096" s="7" t="inlineStr">
        <is>
          <t>East Asia &amp; Pacific</t>
        </is>
      </c>
      <c r="D2096" s="7" t="inlineStr">
        <is>
          <t>Upper middle income</t>
        </is>
      </c>
      <c r="E2096" s="7" t="b">
        <v>1</v>
      </c>
      <c r="F2096" s="7" t="inlineStr">
        <is>
          <t>gen_total_twh</t>
        </is>
      </c>
      <c r="G2096" s="7" t="n">
        <v>124.17</v>
      </c>
      <c r="H2096" s="7" t="n">
        <v>2024</v>
      </c>
      <c r="I2096" s="7" t="inlineStr">
        <is>
          <t>release_generation_yearly_global.csv (Ember)</t>
        </is>
      </c>
    </row>
    <row r="2097">
      <c r="A2097" s="7" t="inlineStr">
        <is>
          <t>PHL</t>
        </is>
      </c>
      <c r="B2097" s="7" t="inlineStr">
        <is>
          <t>Philippines</t>
        </is>
      </c>
      <c r="C2097" s="7" t="inlineStr">
        <is>
          <t>East Asia &amp; Pacific</t>
        </is>
      </c>
      <c r="D2097" s="7" t="inlineStr">
        <is>
          <t>Upper middle income</t>
        </is>
      </c>
      <c r="E2097" s="7" t="b">
        <v>1</v>
      </c>
      <c r="F2097" s="7" t="inlineStr">
        <is>
          <t>power_market_structure</t>
        </is>
      </c>
      <c r="G2097" s="7" t="n">
        <v>3</v>
      </c>
      <c r="H2097" s="7" t="inlineStr">
        <is>
          <t>2013</t>
        </is>
      </c>
      <c r="I2097" s="7" t="inlineStr">
        <is>
          <t>dataverse_files.zip</t>
        </is>
      </c>
    </row>
    <row r="2098">
      <c r="A2098" s="7" t="inlineStr">
        <is>
          <t>PHL</t>
        </is>
      </c>
      <c r="B2098" s="7" t="inlineStr">
        <is>
          <t>Philippines</t>
        </is>
      </c>
      <c r="C2098" s="7" t="inlineStr">
        <is>
          <t>East Asia &amp; Pacific</t>
        </is>
      </c>
      <c r="D2098" s="7" t="inlineStr">
        <is>
          <t>Upper middle income</t>
        </is>
      </c>
      <c r="E2098" s="7" t="b">
        <v>1</v>
      </c>
      <c r="F2098" s="7" t="inlineStr">
        <is>
          <t>price_coal_power_usd_gj</t>
        </is>
      </c>
      <c r="G2098" s="7" t="n">
        <v>4.703</v>
      </c>
      <c r="H2098" s="7" t="inlineStr">
        <is>
          <t>2024</t>
        </is>
      </c>
      <c r="I2098" s="7" t="inlineStr">
        <is>
          <t>imffossilfuelsubsidiesdata.xlsb</t>
        </is>
      </c>
    </row>
    <row r="2099">
      <c r="A2099" s="7" t="inlineStr">
        <is>
          <t>PHL</t>
        </is>
      </c>
      <c r="B2099" s="7" t="inlineStr">
        <is>
          <t>Philippines</t>
        </is>
      </c>
      <c r="C2099" s="7" t="inlineStr">
        <is>
          <t>East Asia &amp; Pacific</t>
        </is>
      </c>
      <c r="D2099" s="7" t="inlineStr">
        <is>
          <t>Upper middle income</t>
        </is>
      </c>
      <c r="E2099" s="7" t="b">
        <v>1</v>
      </c>
      <c r="F2099" s="7" t="inlineStr">
        <is>
          <t>price_electricity_residential_usd_kwh</t>
        </is>
      </c>
      <c r="G2099" s="7" t="n">
        <v>0.202</v>
      </c>
      <c r="H2099" s="7" t="inlineStr">
        <is>
          <t>2024</t>
        </is>
      </c>
      <c r="I2099" s="7" t="inlineStr">
        <is>
          <t>imffossilfuelsubsidiesdata.xlsb</t>
        </is>
      </c>
    </row>
    <row r="2100">
      <c r="A2100" s="7" t="inlineStr">
        <is>
          <t>PHL</t>
        </is>
      </c>
      <c r="B2100" s="7" t="inlineStr">
        <is>
          <t>Philippines</t>
        </is>
      </c>
      <c r="C2100" s="7" t="inlineStr">
        <is>
          <t>East Asia &amp; Pacific</t>
        </is>
      </c>
      <c r="D2100" s="7" t="inlineStr">
        <is>
          <t>Upper middle income</t>
        </is>
      </c>
      <c r="E2100" s="7" t="b">
        <v>1</v>
      </c>
      <c r="F2100" s="7" t="inlineStr">
        <is>
          <t>price_gas_industry_usd_gj</t>
        </is>
      </c>
      <c r="G2100" s="7" t="n">
        <v>12.239</v>
      </c>
      <c r="H2100" s="7" t="inlineStr">
        <is>
          <t>2024</t>
        </is>
      </c>
      <c r="I2100" s="7" t="inlineStr">
        <is>
          <t>imffossilfuelsubsidiesdata.xlsb</t>
        </is>
      </c>
    </row>
    <row r="2101">
      <c r="A2101" s="7" t="inlineStr">
        <is>
          <t>PHL</t>
        </is>
      </c>
      <c r="B2101" s="7" t="inlineStr">
        <is>
          <t>Philippines</t>
        </is>
      </c>
      <c r="C2101" s="7" t="inlineStr">
        <is>
          <t>East Asia &amp; Pacific</t>
        </is>
      </c>
      <c r="D2101" s="7" t="inlineStr">
        <is>
          <t>Upper middle income</t>
        </is>
      </c>
      <c r="E2101" s="7" t="b">
        <v>1</v>
      </c>
      <c r="F2101" s="7" t="inlineStr">
        <is>
          <t>price_gas_power_usd_gj</t>
        </is>
      </c>
      <c r="G2101" s="7" t="n">
        <v>9.122999999999999</v>
      </c>
      <c r="H2101" s="7" t="inlineStr">
        <is>
          <t>2024</t>
        </is>
      </c>
      <c r="I2101" s="7" t="inlineStr">
        <is>
          <t>imffossilfuelsubsidiesdata.xlsb</t>
        </is>
      </c>
    </row>
    <row r="2102">
      <c r="A2102" s="7" t="inlineStr">
        <is>
          <t>PHL</t>
        </is>
      </c>
      <c r="B2102" s="7" t="inlineStr">
        <is>
          <t>Philippines</t>
        </is>
      </c>
      <c r="C2102" s="7" t="inlineStr">
        <is>
          <t>East Asia &amp; Pacific</t>
        </is>
      </c>
      <c r="D2102" s="7" t="inlineStr">
        <is>
          <t>Upper middle income</t>
        </is>
      </c>
      <c r="E2102" s="7" t="b">
        <v>1</v>
      </c>
      <c r="F2102" s="7" t="inlineStr">
        <is>
          <t>rise_renewable_energy_score</t>
        </is>
      </c>
      <c r="G2102" s="7" t="n">
        <v>39.341</v>
      </c>
      <c r="H2102" s="7" t="inlineStr">
        <is>
          <t>2023</t>
        </is>
      </c>
      <c r="I2102" s="7" t="inlineStr">
        <is>
          <t>WB_RISE_WIDEF.csv</t>
        </is>
      </c>
    </row>
    <row r="2103">
      <c r="A2103" s="7" t="inlineStr">
        <is>
          <t>PLW</t>
        </is>
      </c>
      <c r="B2103" s="7" t="inlineStr">
        <is>
          <t>Palau</t>
        </is>
      </c>
      <c r="C2103" s="7" t="inlineStr">
        <is>
          <t>East Asia &amp; Pacific</t>
        </is>
      </c>
      <c r="D2103" s="7" t="inlineStr">
        <is>
          <t>High income</t>
        </is>
      </c>
      <c r="E2103" s="7" t="b">
        <v>0</v>
      </c>
      <c r="F2103" s="7" t="inlineStr">
        <is>
          <t>ff_subsidy_explicit_pct_gdp</t>
        </is>
      </c>
      <c r="G2103" s="7" t="n">
        <v>0</v>
      </c>
      <c r="H2103" s="7" t="inlineStr">
        <is>
          <t>2024</t>
        </is>
      </c>
      <c r="I2103" s="7" t="inlineStr">
        <is>
          <t>imffossilfuelsubsidiesdata.xlsb</t>
        </is>
      </c>
    </row>
    <row r="2104">
      <c r="A2104" s="7" t="inlineStr">
        <is>
          <t>PLW</t>
        </is>
      </c>
      <c r="B2104" s="7" t="inlineStr">
        <is>
          <t>Palau</t>
        </is>
      </c>
      <c r="C2104" s="7" t="inlineStr">
        <is>
          <t>East Asia &amp; Pacific</t>
        </is>
      </c>
      <c r="D2104" s="7" t="inlineStr">
        <is>
          <t>High income</t>
        </is>
      </c>
      <c r="E2104" s="7" t="b">
        <v>0</v>
      </c>
      <c r="F2104" s="7" t="inlineStr">
        <is>
          <t>fuel_exports_pct_merch</t>
        </is>
      </c>
      <c r="G2104" s="7" t="n">
        <v>0.459</v>
      </c>
      <c r="H2104" s="7" t="inlineStr">
        <is>
          <t>2017</t>
        </is>
      </c>
      <c r="I2104" s="7" t="inlineStr">
        <is>
          <t>API_TX_VAL_FUEL_ZS_UN_DS2_en_csv_v2_33055.zip</t>
        </is>
      </c>
    </row>
    <row r="2105">
      <c r="A2105" s="7" t="inlineStr">
        <is>
          <t>PLW</t>
        </is>
      </c>
      <c r="B2105" s="7" t="inlineStr">
        <is>
          <t>Palau</t>
        </is>
      </c>
      <c r="C2105" s="7" t="inlineStr">
        <is>
          <t>East Asia &amp; Pacific</t>
        </is>
      </c>
      <c r="D2105" s="7" t="inlineStr">
        <is>
          <t>High income</t>
        </is>
      </c>
      <c r="E2105" s="7" t="b">
        <v>0</v>
      </c>
      <c r="F2105" s="7" t="inlineStr">
        <is>
          <t>price_coal_power_usd_gj</t>
        </is>
      </c>
      <c r="G2105" s="7" t="n">
        <v>4.833</v>
      </c>
      <c r="H2105" s="7" t="inlineStr">
        <is>
          <t>2024</t>
        </is>
      </c>
      <c r="I2105" s="7" t="inlineStr">
        <is>
          <t>imffossilfuelsubsidiesdata.xlsb</t>
        </is>
      </c>
    </row>
    <row r="2106">
      <c r="A2106" s="7" t="inlineStr">
        <is>
          <t>PLW</t>
        </is>
      </c>
      <c r="B2106" s="7" t="inlineStr">
        <is>
          <t>Palau</t>
        </is>
      </c>
      <c r="C2106" s="7" t="inlineStr">
        <is>
          <t>East Asia &amp; Pacific</t>
        </is>
      </c>
      <c r="D2106" s="7" t="inlineStr">
        <is>
          <t>High income</t>
        </is>
      </c>
      <c r="E2106" s="7" t="b">
        <v>0</v>
      </c>
      <c r="F2106" s="7" t="inlineStr">
        <is>
          <t>price_electricity_residential_usd_kwh</t>
        </is>
      </c>
      <c r="G2106" s="7" t="n">
        <v>0.191</v>
      </c>
      <c r="H2106" s="7" t="inlineStr">
        <is>
          <t>2024</t>
        </is>
      </c>
      <c r="I2106" s="7" t="inlineStr">
        <is>
          <t>imffossilfuelsubsidiesdata.xlsb</t>
        </is>
      </c>
    </row>
    <row r="2107">
      <c r="A2107" s="7" t="inlineStr">
        <is>
          <t>PLW</t>
        </is>
      </c>
      <c r="B2107" s="7" t="inlineStr">
        <is>
          <t>Palau</t>
        </is>
      </c>
      <c r="C2107" s="7" t="inlineStr">
        <is>
          <t>East Asia &amp; Pacific</t>
        </is>
      </c>
      <c r="D2107" s="7" t="inlineStr">
        <is>
          <t>High income</t>
        </is>
      </c>
      <c r="E2107" s="7" t="b">
        <v>0</v>
      </c>
      <c r="F2107" s="7" t="inlineStr">
        <is>
          <t>price_gas_industry_usd_gj</t>
        </is>
      </c>
      <c r="G2107" s="7" t="n">
        <v>6.34</v>
      </c>
      <c r="H2107" s="7" t="inlineStr">
        <is>
          <t>2024</t>
        </is>
      </c>
      <c r="I2107" s="7" t="inlineStr">
        <is>
          <t>imffossilfuelsubsidiesdata.xlsb</t>
        </is>
      </c>
    </row>
    <row r="2108">
      <c r="A2108" s="7" t="inlineStr">
        <is>
          <t>PLW</t>
        </is>
      </c>
      <c r="B2108" s="7" t="inlineStr">
        <is>
          <t>Palau</t>
        </is>
      </c>
      <c r="C2108" s="7" t="inlineStr">
        <is>
          <t>East Asia &amp; Pacific</t>
        </is>
      </c>
      <c r="D2108" s="7" t="inlineStr">
        <is>
          <t>High income</t>
        </is>
      </c>
      <c r="E2108" s="7" t="b">
        <v>0</v>
      </c>
      <c r="F2108" s="7" t="inlineStr">
        <is>
          <t>price_gas_power_usd_gj</t>
        </is>
      </c>
      <c r="G2108" s="7" t="n">
        <v>5.017</v>
      </c>
      <c r="H2108" s="7" t="inlineStr">
        <is>
          <t>2024</t>
        </is>
      </c>
      <c r="I2108" s="7" t="inlineStr">
        <is>
          <t>imffossilfuelsubsidiesdata.xlsb</t>
        </is>
      </c>
    </row>
    <row r="2109">
      <c r="A2109" s="7" t="inlineStr">
        <is>
          <t>PNG</t>
        </is>
      </c>
      <c r="B2109" s="7" t="inlineStr">
        <is>
          <t>Papua New Guinea</t>
        </is>
      </c>
      <c r="C2109" s="7" t="inlineStr">
        <is>
          <t>East Asia &amp; Pacific</t>
        </is>
      </c>
      <c r="D2109" s="7" t="inlineStr">
        <is>
          <t>Lower middle income</t>
        </is>
      </c>
      <c r="E2109" s="7" t="b">
        <v>0</v>
      </c>
      <c r="F2109" s="7" t="inlineStr">
        <is>
          <t>coal_rents_pct_gdp</t>
        </is>
      </c>
      <c r="G2109" s="7" t="n">
        <v>0</v>
      </c>
      <c r="H2109" s="7" t="inlineStr">
        <is>
          <t>2021</t>
        </is>
      </c>
      <c r="I2109" s="7" t="inlineStr">
        <is>
          <t>API_NY_GDP_COAL_RT_ZS_DS2_en_csv_v2_35370.zip</t>
        </is>
      </c>
    </row>
    <row r="2110">
      <c r="A2110" s="7" t="inlineStr">
        <is>
          <t>PNG</t>
        </is>
      </c>
      <c r="B2110" s="7" t="inlineStr">
        <is>
          <t>Papua New Guinea</t>
        </is>
      </c>
      <c r="C2110" s="7" t="inlineStr">
        <is>
          <t>East Asia &amp; Pacific</t>
        </is>
      </c>
      <c r="D2110" s="7" t="inlineStr">
        <is>
          <t>Lower middle income</t>
        </is>
      </c>
      <c r="E2110" s="7" t="b">
        <v>0</v>
      </c>
      <c r="F2110" s="7" t="inlineStr">
        <is>
          <t>em_coal_mt</t>
        </is>
      </c>
      <c r="G2110" s="7" t="n">
        <v>0</v>
      </c>
      <c r="H2110" s="7" t="n">
        <v>2024</v>
      </c>
      <c r="I2110" s="7" t="inlineStr">
        <is>
          <t>release_generation_yearly_global.csv (Ember)</t>
        </is>
      </c>
    </row>
    <row r="2111">
      <c r="A2111" s="7" t="inlineStr">
        <is>
          <t>PNG</t>
        </is>
      </c>
      <c r="B2111" s="7" t="inlineStr">
        <is>
          <t>Papua New Guinea</t>
        </is>
      </c>
      <c r="C2111" s="7" t="inlineStr">
        <is>
          <t>East Asia &amp; Pacific</t>
        </is>
      </c>
      <c r="D2111" s="7" t="inlineStr">
        <is>
          <t>Lower middle income</t>
        </is>
      </c>
      <c r="E2111" s="7" t="b">
        <v>0</v>
      </c>
      <c r="F2111" s="7" t="inlineStr">
        <is>
          <t>em_gas_mt</t>
        </is>
      </c>
      <c r="G2111" s="7" t="n">
        <v>0.635</v>
      </c>
      <c r="H2111" s="7" t="n">
        <v>2024</v>
      </c>
      <c r="I2111" s="7" t="inlineStr">
        <is>
          <t>release_generation_yearly_global.csv (Ember)</t>
        </is>
      </c>
    </row>
    <row r="2112">
      <c r="A2112" s="7" t="inlineStr">
        <is>
          <t>PNG</t>
        </is>
      </c>
      <c r="B2112" s="7" t="inlineStr">
        <is>
          <t>Papua New Guinea</t>
        </is>
      </c>
      <c r="C2112" s="7" t="inlineStr">
        <is>
          <t>East Asia &amp; Pacific</t>
        </is>
      </c>
      <c r="D2112" s="7" t="inlineStr">
        <is>
          <t>Lower middle income</t>
        </is>
      </c>
      <c r="E2112" s="7" t="b">
        <v>0</v>
      </c>
      <c r="F2112" s="7" t="inlineStr">
        <is>
          <t>em_oil_mt</t>
        </is>
      </c>
      <c r="G2112" s="7" t="n">
        <v>1.777</v>
      </c>
      <c r="H2112" s="7" t="n">
        <v>2024</v>
      </c>
      <c r="I2112" s="7" t="inlineStr">
        <is>
          <t>release_generation_yearly_global.csv (Ember)</t>
        </is>
      </c>
    </row>
    <row r="2113">
      <c r="A2113" s="7" t="inlineStr">
        <is>
          <t>PNG</t>
        </is>
      </c>
      <c r="B2113" s="7" t="inlineStr">
        <is>
          <t>Papua New Guinea</t>
        </is>
      </c>
      <c r="C2113" s="7" t="inlineStr">
        <is>
          <t>East Asia &amp; Pacific</t>
        </is>
      </c>
      <c r="D2113" s="7" t="inlineStr">
        <is>
          <t>Lower middle income</t>
        </is>
      </c>
      <c r="E2113" s="7" t="b">
        <v>0</v>
      </c>
      <c r="F2113" s="7" t="inlineStr">
        <is>
          <t>ff_subsidy_explicit_pct_gdp</t>
        </is>
      </c>
      <c r="G2113" s="7" t="n">
        <v>0</v>
      </c>
      <c r="H2113" s="7" t="inlineStr">
        <is>
          <t>2024</t>
        </is>
      </c>
      <c r="I2113" s="7" t="inlineStr">
        <is>
          <t>imffossilfuelsubsidiesdata.xlsb</t>
        </is>
      </c>
    </row>
    <row r="2114">
      <c r="A2114" s="7" t="inlineStr">
        <is>
          <t>PNG</t>
        </is>
      </c>
      <c r="B2114" s="7" t="inlineStr">
        <is>
          <t>Papua New Guinea</t>
        </is>
      </c>
      <c r="C2114" s="7" t="inlineStr">
        <is>
          <t>East Asia &amp; Pacific</t>
        </is>
      </c>
      <c r="D2114" s="7" t="inlineStr">
        <is>
          <t>Lower middle income</t>
        </is>
      </c>
      <c r="E2114" s="7" t="b">
        <v>0</v>
      </c>
      <c r="F2114" s="7" t="inlineStr">
        <is>
          <t>fuel_exports_pct_merch</t>
        </is>
      </c>
      <c r="G2114" s="7" t="n">
        <v>42.649</v>
      </c>
      <c r="H2114" s="7" t="inlineStr">
        <is>
          <t>2023</t>
        </is>
      </c>
      <c r="I2114" s="7" t="inlineStr">
        <is>
          <t>API_TX_VAL_FUEL_ZS_UN_DS2_en_csv_v2_33055.zip</t>
        </is>
      </c>
    </row>
    <row r="2115">
      <c r="A2115" s="7" t="inlineStr">
        <is>
          <t>PNG</t>
        </is>
      </c>
      <c r="B2115" s="7" t="inlineStr">
        <is>
          <t>Papua New Guinea</t>
        </is>
      </c>
      <c r="C2115" s="7" t="inlineStr">
        <is>
          <t>East Asia &amp; Pacific</t>
        </is>
      </c>
      <c r="D2115" s="7" t="inlineStr">
        <is>
          <t>Lower middle income</t>
        </is>
      </c>
      <c r="E2115" s="7" t="b">
        <v>0</v>
      </c>
      <c r="F2115" s="7" t="inlineStr">
        <is>
          <t>gen_coal_twh</t>
        </is>
      </c>
      <c r="G2115" s="7" t="n">
        <v>0</v>
      </c>
      <c r="H2115" s="7" t="n">
        <v>2024</v>
      </c>
      <c r="I2115" s="7" t="inlineStr">
        <is>
          <t>release_generation_yearly_global.csv (Ember)</t>
        </is>
      </c>
    </row>
    <row r="2116">
      <c r="A2116" s="7" t="inlineStr">
        <is>
          <t>PNG</t>
        </is>
      </c>
      <c r="B2116" s="7" t="inlineStr">
        <is>
          <t>Papua New Guinea</t>
        </is>
      </c>
      <c r="C2116" s="7" t="inlineStr">
        <is>
          <t>East Asia &amp; Pacific</t>
        </is>
      </c>
      <c r="D2116" s="7" t="inlineStr">
        <is>
          <t>Lower middle income</t>
        </is>
      </c>
      <c r="E2116" s="7" t="b">
        <v>0</v>
      </c>
      <c r="F2116" s="7" t="inlineStr">
        <is>
          <t>gen_gas_twh</t>
        </is>
      </c>
      <c r="G2116" s="7" t="n">
        <v>0.91</v>
      </c>
      <c r="H2116" s="7" t="n">
        <v>2024</v>
      </c>
      <c r="I2116" s="7" t="inlineStr">
        <is>
          <t>release_generation_yearly_global.csv (Ember)</t>
        </is>
      </c>
    </row>
    <row r="2117">
      <c r="A2117" s="7" t="inlineStr">
        <is>
          <t>PNG</t>
        </is>
      </c>
      <c r="B2117" s="7" t="inlineStr">
        <is>
          <t>Papua New Guinea</t>
        </is>
      </c>
      <c r="C2117" s="7" t="inlineStr">
        <is>
          <t>East Asia &amp; Pacific</t>
        </is>
      </c>
      <c r="D2117" s="7" t="inlineStr">
        <is>
          <t>Lower middle income</t>
        </is>
      </c>
      <c r="E2117" s="7" t="b">
        <v>0</v>
      </c>
      <c r="F2117" s="7" t="inlineStr">
        <is>
          <t>gen_oil_twh</t>
        </is>
      </c>
      <c r="G2117" s="7" t="n">
        <v>2.7</v>
      </c>
      <c r="H2117" s="7" t="n">
        <v>2024</v>
      </c>
      <c r="I2117" s="7" t="inlineStr">
        <is>
          <t>release_generation_yearly_global.csv (Ember)</t>
        </is>
      </c>
    </row>
    <row r="2118">
      <c r="A2118" s="7" t="inlineStr">
        <is>
          <t>PNG</t>
        </is>
      </c>
      <c r="B2118" s="7" t="inlineStr">
        <is>
          <t>Papua New Guinea</t>
        </is>
      </c>
      <c r="C2118" s="7" t="inlineStr">
        <is>
          <t>East Asia &amp; Pacific</t>
        </is>
      </c>
      <c r="D2118" s="7" t="inlineStr">
        <is>
          <t>Lower middle income</t>
        </is>
      </c>
      <c r="E2118" s="7" t="b">
        <v>0</v>
      </c>
      <c r="F2118" s="7" t="inlineStr">
        <is>
          <t>gen_total_twh</t>
        </is>
      </c>
      <c r="G2118" s="7" t="n">
        <v>4.73</v>
      </c>
      <c r="H2118" s="7" t="n">
        <v>2024</v>
      </c>
      <c r="I2118" s="7" t="inlineStr">
        <is>
          <t>release_generation_yearly_global.csv (Ember)</t>
        </is>
      </c>
    </row>
    <row r="2119">
      <c r="A2119" s="7" t="inlineStr">
        <is>
          <t>PNG</t>
        </is>
      </c>
      <c r="B2119" s="7" t="inlineStr">
        <is>
          <t>Papua New Guinea</t>
        </is>
      </c>
      <c r="C2119" s="7" t="inlineStr">
        <is>
          <t>East Asia &amp; Pacific</t>
        </is>
      </c>
      <c r="D2119" s="7" t="inlineStr">
        <is>
          <t>Lower middle income</t>
        </is>
      </c>
      <c r="E2119" s="7" t="b">
        <v>0</v>
      </c>
      <c r="F2119" s="7" t="inlineStr">
        <is>
          <t>power_market_structure</t>
        </is>
      </c>
      <c r="G2119" s="7" t="n">
        <v>2</v>
      </c>
      <c r="H2119" s="7" t="inlineStr">
        <is>
          <t>2013</t>
        </is>
      </c>
      <c r="I2119" s="7" t="inlineStr">
        <is>
          <t>dataverse_files.zip</t>
        </is>
      </c>
    </row>
    <row r="2120">
      <c r="A2120" s="7" t="inlineStr">
        <is>
          <t>PNG</t>
        </is>
      </c>
      <c r="B2120" s="7" t="inlineStr">
        <is>
          <t>Papua New Guinea</t>
        </is>
      </c>
      <c r="C2120" s="7" t="inlineStr">
        <is>
          <t>East Asia &amp; Pacific</t>
        </is>
      </c>
      <c r="D2120" s="7" t="inlineStr">
        <is>
          <t>Lower middle income</t>
        </is>
      </c>
      <c r="E2120" s="7" t="b">
        <v>0</v>
      </c>
      <c r="F2120" s="7" t="inlineStr">
        <is>
          <t>price_coal_power_usd_gj</t>
        </is>
      </c>
      <c r="G2120" s="7" t="n">
        <v>4.833</v>
      </c>
      <c r="H2120" s="7" t="inlineStr">
        <is>
          <t>2024</t>
        </is>
      </c>
      <c r="I2120" s="7" t="inlineStr">
        <is>
          <t>imffossilfuelsubsidiesdata.xlsb</t>
        </is>
      </c>
    </row>
    <row r="2121">
      <c r="A2121" s="7" t="inlineStr">
        <is>
          <t>PNG</t>
        </is>
      </c>
      <c r="B2121" s="7" t="inlineStr">
        <is>
          <t>Papua New Guinea</t>
        </is>
      </c>
      <c r="C2121" s="7" t="inlineStr">
        <is>
          <t>East Asia &amp; Pacific</t>
        </is>
      </c>
      <c r="D2121" s="7" t="inlineStr">
        <is>
          <t>Lower middle income</t>
        </is>
      </c>
      <c r="E2121" s="7" t="b">
        <v>0</v>
      </c>
      <c r="F2121" s="7" t="inlineStr">
        <is>
          <t>price_electricity_residential_usd_kwh</t>
        </is>
      </c>
      <c r="G2121" s="7" t="n">
        <v>0.258</v>
      </c>
      <c r="H2121" s="7" t="inlineStr">
        <is>
          <t>2024</t>
        </is>
      </c>
      <c r="I2121" s="7" t="inlineStr">
        <is>
          <t>imffossilfuelsubsidiesdata.xlsb</t>
        </is>
      </c>
    </row>
    <row r="2122">
      <c r="A2122" s="7" t="inlineStr">
        <is>
          <t>PNG</t>
        </is>
      </c>
      <c r="B2122" s="7" t="inlineStr">
        <is>
          <t>Papua New Guinea</t>
        </is>
      </c>
      <c r="C2122" s="7" t="inlineStr">
        <is>
          <t>East Asia &amp; Pacific</t>
        </is>
      </c>
      <c r="D2122" s="7" t="inlineStr">
        <is>
          <t>Lower middle income</t>
        </is>
      </c>
      <c r="E2122" s="7" t="b">
        <v>0</v>
      </c>
      <c r="F2122" s="7" t="inlineStr">
        <is>
          <t>price_gas_industry_usd_gj</t>
        </is>
      </c>
      <c r="G2122" s="7" t="n">
        <v>13.196</v>
      </c>
      <c r="H2122" s="7" t="inlineStr">
        <is>
          <t>2024</t>
        </is>
      </c>
      <c r="I2122" s="7" t="inlineStr">
        <is>
          <t>imffossilfuelsubsidiesdata.xlsb</t>
        </is>
      </c>
    </row>
    <row r="2123">
      <c r="A2123" s="7" t="inlineStr">
        <is>
          <t>PNG</t>
        </is>
      </c>
      <c r="B2123" s="7" t="inlineStr">
        <is>
          <t>Papua New Guinea</t>
        </is>
      </c>
      <c r="C2123" s="7" t="inlineStr">
        <is>
          <t>East Asia &amp; Pacific</t>
        </is>
      </c>
      <c r="D2123" s="7" t="inlineStr">
        <is>
          <t>Lower middle income</t>
        </is>
      </c>
      <c r="E2123" s="7" t="b">
        <v>0</v>
      </c>
      <c r="F2123" s="7" t="inlineStr">
        <is>
          <t>price_gas_power_usd_gj</t>
        </is>
      </c>
      <c r="G2123" s="7" t="n">
        <v>11.872</v>
      </c>
      <c r="H2123" s="7" t="inlineStr">
        <is>
          <t>2024</t>
        </is>
      </c>
      <c r="I2123" s="7" t="inlineStr">
        <is>
          <t>imffossilfuelsubsidiesdata.xlsb</t>
        </is>
      </c>
    </row>
    <row r="2124">
      <c r="A2124" s="7" t="inlineStr">
        <is>
          <t>PNG</t>
        </is>
      </c>
      <c r="B2124" s="7" t="inlineStr">
        <is>
          <t>Papua New Guinea</t>
        </is>
      </c>
      <c r="C2124" s="7" t="inlineStr">
        <is>
          <t>East Asia &amp; Pacific</t>
        </is>
      </c>
      <c r="D2124" s="7" t="inlineStr">
        <is>
          <t>Lower middle income</t>
        </is>
      </c>
      <c r="E2124" s="7" t="b">
        <v>0</v>
      </c>
      <c r="F2124" s="7" t="inlineStr">
        <is>
          <t>rise_renewable_energy_score</t>
        </is>
      </c>
      <c r="G2124" s="7" t="n">
        <v>24.587</v>
      </c>
      <c r="H2124" s="7" t="inlineStr">
        <is>
          <t>2023</t>
        </is>
      </c>
      <c r="I2124" s="7" t="inlineStr">
        <is>
          <t>WB_RISE_WIDEF.csv</t>
        </is>
      </c>
    </row>
    <row r="2125">
      <c r="A2125" s="7" t="inlineStr">
        <is>
          <t>POL</t>
        </is>
      </c>
      <c r="B2125" s="7" t="inlineStr">
        <is>
          <t>Poland</t>
        </is>
      </c>
      <c r="C2125" s="7" t="inlineStr">
        <is>
          <t>Europe &amp; Central Asia</t>
        </is>
      </c>
      <c r="D2125" s="7" t="inlineStr">
        <is>
          <t>High income</t>
        </is>
      </c>
      <c r="E2125" s="7" t="b">
        <v>1</v>
      </c>
      <c r="F2125" s="7" t="inlineStr">
        <is>
          <t>coal_rents_pct_gdp</t>
        </is>
      </c>
      <c r="G2125" s="7" t="n">
        <v>0.246</v>
      </c>
      <c r="H2125" s="7" t="inlineStr">
        <is>
          <t>2021</t>
        </is>
      </c>
      <c r="I2125" s="7" t="inlineStr">
        <is>
          <t>API_NY_GDP_COAL_RT_ZS_DS2_en_csv_v2_35370.zip</t>
        </is>
      </c>
    </row>
    <row r="2126">
      <c r="A2126" s="7" t="inlineStr">
        <is>
          <t>POL</t>
        </is>
      </c>
      <c r="B2126" s="7" t="inlineStr">
        <is>
          <t>Poland</t>
        </is>
      </c>
      <c r="C2126" s="7" t="inlineStr">
        <is>
          <t>Europe &amp; Central Asia</t>
        </is>
      </c>
      <c r="D2126" s="7" t="inlineStr">
        <is>
          <t>High income</t>
        </is>
      </c>
      <c r="E2126" s="7" t="b">
        <v>1</v>
      </c>
      <c r="F2126" s="7" t="inlineStr">
        <is>
          <t>em_coal_mt</t>
        </is>
      </c>
      <c r="G2126" s="7" t="n">
        <v>90.444</v>
      </c>
      <c r="H2126" s="7" t="n">
        <v>2024</v>
      </c>
      <c r="I2126" s="7" t="inlineStr">
        <is>
          <t>release_generation_yearly_global.csv (Ember)</t>
        </is>
      </c>
    </row>
    <row r="2127">
      <c r="A2127" s="7" t="inlineStr">
        <is>
          <t>POL</t>
        </is>
      </c>
      <c r="B2127" s="7" t="inlineStr">
        <is>
          <t>Poland</t>
        </is>
      </c>
      <c r="C2127" s="7" t="inlineStr">
        <is>
          <t>Europe &amp; Central Asia</t>
        </is>
      </c>
      <c r="D2127" s="7" t="inlineStr">
        <is>
          <t>High income</t>
        </is>
      </c>
      <c r="E2127" s="7" t="b">
        <v>1</v>
      </c>
      <c r="F2127" s="7" t="inlineStr">
        <is>
          <t>em_gas_mt</t>
        </is>
      </c>
      <c r="G2127" s="7" t="n">
        <v>8.349</v>
      </c>
      <c r="H2127" s="7" t="n">
        <v>2024</v>
      </c>
      <c r="I2127" s="7" t="inlineStr">
        <is>
          <t>release_generation_yearly_global.csv (Ember)</t>
        </is>
      </c>
    </row>
    <row r="2128">
      <c r="A2128" s="7" t="inlineStr">
        <is>
          <t>POL</t>
        </is>
      </c>
      <c r="B2128" s="7" t="inlineStr">
        <is>
          <t>Poland</t>
        </is>
      </c>
      <c r="C2128" s="7" t="inlineStr">
        <is>
          <t>Europe &amp; Central Asia</t>
        </is>
      </c>
      <c r="D2128" s="7" t="inlineStr">
        <is>
          <t>High income</t>
        </is>
      </c>
      <c r="E2128" s="7" t="b">
        <v>1</v>
      </c>
      <c r="F2128" s="7" t="inlineStr">
        <is>
          <t>em_oil_mt</t>
        </is>
      </c>
      <c r="G2128" s="7" t="n">
        <v>2.994</v>
      </c>
      <c r="H2128" s="7" t="n">
        <v>2024</v>
      </c>
      <c r="I2128" s="7" t="inlineStr">
        <is>
          <t>release_generation_yearly_global.csv (Ember)</t>
        </is>
      </c>
    </row>
    <row r="2129">
      <c r="A2129" s="7" t="inlineStr">
        <is>
          <t>POL</t>
        </is>
      </c>
      <c r="B2129" s="7" t="inlineStr">
        <is>
          <t>Poland</t>
        </is>
      </c>
      <c r="C2129" s="7" t="inlineStr">
        <is>
          <t>Europe &amp; Central Asia</t>
        </is>
      </c>
      <c r="D2129" s="7" t="inlineStr">
        <is>
          <t>High income</t>
        </is>
      </c>
      <c r="E2129" s="7" t="b">
        <v>1</v>
      </c>
      <c r="F2129" s="7" t="inlineStr">
        <is>
          <t>ff_subsidy_explicit_pct_gdp</t>
        </is>
      </c>
      <c r="G2129" s="7" t="n">
        <v>3.985</v>
      </c>
      <c r="H2129" s="7" t="inlineStr">
        <is>
          <t>2024</t>
        </is>
      </c>
      <c r="I2129" s="7" t="inlineStr">
        <is>
          <t>imffossilfuelsubsidiesdata.xlsb</t>
        </is>
      </c>
    </row>
    <row r="2130">
      <c r="A2130" s="7" t="inlineStr">
        <is>
          <t>POL</t>
        </is>
      </c>
      <c r="B2130" s="7" t="inlineStr">
        <is>
          <t>Poland</t>
        </is>
      </c>
      <c r="C2130" s="7" t="inlineStr">
        <is>
          <t>Europe &amp; Central Asia</t>
        </is>
      </c>
      <c r="D2130" s="7" t="inlineStr">
        <is>
          <t>High income</t>
        </is>
      </c>
      <c r="E2130" s="7" t="b">
        <v>1</v>
      </c>
      <c r="F2130" s="7" t="inlineStr">
        <is>
          <t>fuel_exports_pct_merch</t>
        </is>
      </c>
      <c r="G2130" s="7" t="n">
        <v>2.583</v>
      </c>
      <c r="H2130" s="7" t="inlineStr">
        <is>
          <t>2024</t>
        </is>
      </c>
      <c r="I2130" s="7" t="inlineStr">
        <is>
          <t>API_TX_VAL_FUEL_ZS_UN_DS2_en_csv_v2_33055.zip</t>
        </is>
      </c>
    </row>
    <row r="2131">
      <c r="A2131" s="7" t="inlineStr">
        <is>
          <t>POL</t>
        </is>
      </c>
      <c r="B2131" s="7" t="inlineStr">
        <is>
          <t>Poland</t>
        </is>
      </c>
      <c r="C2131" s="7" t="inlineStr">
        <is>
          <t>Europe &amp; Central Asia</t>
        </is>
      </c>
      <c r="D2131" s="7" t="inlineStr">
        <is>
          <t>High income</t>
        </is>
      </c>
      <c r="E2131" s="7" t="b">
        <v>1</v>
      </c>
      <c r="F2131" s="7" t="inlineStr">
        <is>
          <t>gen_coal_twh</t>
        </is>
      </c>
      <c r="G2131" s="7" t="n">
        <v>93.5</v>
      </c>
      <c r="H2131" s="7" t="n">
        <v>2024</v>
      </c>
      <c r="I2131" s="7" t="inlineStr">
        <is>
          <t>release_generation_yearly_global.csv (Ember)</t>
        </is>
      </c>
    </row>
    <row r="2132">
      <c r="A2132" s="7" t="inlineStr">
        <is>
          <t>POL</t>
        </is>
      </c>
      <c r="B2132" s="7" t="inlineStr">
        <is>
          <t>Poland</t>
        </is>
      </c>
      <c r="C2132" s="7" t="inlineStr">
        <is>
          <t>Europe &amp; Central Asia</t>
        </is>
      </c>
      <c r="D2132" s="7" t="inlineStr">
        <is>
          <t>High income</t>
        </is>
      </c>
      <c r="E2132" s="7" t="b">
        <v>1</v>
      </c>
      <c r="F2132" s="7" t="inlineStr">
        <is>
          <t>gen_gas_twh</t>
        </is>
      </c>
      <c r="G2132" s="7" t="n">
        <v>20.46</v>
      </c>
      <c r="H2132" s="7" t="n">
        <v>2024</v>
      </c>
      <c r="I2132" s="7" t="inlineStr">
        <is>
          <t>release_generation_yearly_global.csv (Ember)</t>
        </is>
      </c>
    </row>
    <row r="2133">
      <c r="A2133" s="7" t="inlineStr">
        <is>
          <t>POL</t>
        </is>
      </c>
      <c r="B2133" s="7" t="inlineStr">
        <is>
          <t>Poland</t>
        </is>
      </c>
      <c r="C2133" s="7" t="inlineStr">
        <is>
          <t>Europe &amp; Central Asia</t>
        </is>
      </c>
      <c r="D2133" s="7" t="inlineStr">
        <is>
          <t>High income</t>
        </is>
      </c>
      <c r="E2133" s="7" t="b">
        <v>1</v>
      </c>
      <c r="F2133" s="7" t="inlineStr">
        <is>
          <t>gen_oil_twh</t>
        </is>
      </c>
      <c r="G2133" s="7" t="n">
        <v>4.55</v>
      </c>
      <c r="H2133" s="7" t="n">
        <v>2024</v>
      </c>
      <c r="I2133" s="7" t="inlineStr">
        <is>
          <t>release_generation_yearly_global.csv (Ember)</t>
        </is>
      </c>
    </row>
    <row r="2134">
      <c r="A2134" s="7" t="inlineStr">
        <is>
          <t>POL</t>
        </is>
      </c>
      <c r="B2134" s="7" t="inlineStr">
        <is>
          <t>Poland</t>
        </is>
      </c>
      <c r="C2134" s="7" t="inlineStr">
        <is>
          <t>Europe &amp; Central Asia</t>
        </is>
      </c>
      <c r="D2134" s="7" t="inlineStr">
        <is>
          <t>High income</t>
        </is>
      </c>
      <c r="E2134" s="7" t="b">
        <v>1</v>
      </c>
      <c r="F2134" s="7" t="inlineStr">
        <is>
          <t>gen_total_twh</t>
        </is>
      </c>
      <c r="G2134" s="7" t="n">
        <v>172.12</v>
      </c>
      <c r="H2134" s="7" t="n">
        <v>2024</v>
      </c>
      <c r="I2134" s="7" t="inlineStr">
        <is>
          <t>release_generation_yearly_global.csv (Ember)</t>
        </is>
      </c>
    </row>
    <row r="2135">
      <c r="A2135" s="7" t="inlineStr">
        <is>
          <t>POL</t>
        </is>
      </c>
      <c r="B2135" s="7" t="inlineStr">
        <is>
          <t>Poland</t>
        </is>
      </c>
      <c r="C2135" s="7" t="inlineStr">
        <is>
          <t>Europe &amp; Central Asia</t>
        </is>
      </c>
      <c r="D2135" s="7" t="inlineStr">
        <is>
          <t>High income</t>
        </is>
      </c>
      <c r="E2135" s="7" t="b">
        <v>1</v>
      </c>
      <c r="F2135" s="7" t="inlineStr">
        <is>
          <t>price_coal_power_usd_gj</t>
        </is>
      </c>
      <c r="G2135" s="7" t="n">
        <v>13.03</v>
      </c>
      <c r="H2135" s="7" t="inlineStr">
        <is>
          <t>2024</t>
        </is>
      </c>
      <c r="I2135" s="7" t="inlineStr">
        <is>
          <t>imffossilfuelsubsidiesdata.xlsb</t>
        </is>
      </c>
    </row>
    <row r="2136">
      <c r="A2136" s="7" t="inlineStr">
        <is>
          <t>POL</t>
        </is>
      </c>
      <c r="B2136" s="7" t="inlineStr">
        <is>
          <t>Poland</t>
        </is>
      </c>
      <c r="C2136" s="7" t="inlineStr">
        <is>
          <t>Europe &amp; Central Asia</t>
        </is>
      </c>
      <c r="D2136" s="7" t="inlineStr">
        <is>
          <t>High income</t>
        </is>
      </c>
      <c r="E2136" s="7" t="b">
        <v>1</v>
      </c>
      <c r="F2136" s="7" t="inlineStr">
        <is>
          <t>price_electricity_residential_usd_kwh</t>
        </is>
      </c>
      <c r="G2136" s="7" t="n">
        <v>0.121</v>
      </c>
      <c r="H2136" s="7" t="inlineStr">
        <is>
          <t>2024</t>
        </is>
      </c>
      <c r="I2136" s="7" t="inlineStr">
        <is>
          <t>imffossilfuelsubsidiesdata.xlsb</t>
        </is>
      </c>
    </row>
    <row r="2137">
      <c r="A2137" s="7" t="inlineStr">
        <is>
          <t>POL</t>
        </is>
      </c>
      <c r="B2137" s="7" t="inlineStr">
        <is>
          <t>Poland</t>
        </is>
      </c>
      <c r="C2137" s="7" t="inlineStr">
        <is>
          <t>Europe &amp; Central Asia</t>
        </is>
      </c>
      <c r="D2137" s="7" t="inlineStr">
        <is>
          <t>High income</t>
        </is>
      </c>
      <c r="E2137" s="7" t="b">
        <v>1</v>
      </c>
      <c r="F2137" s="7" t="inlineStr">
        <is>
          <t>price_gas_industry_usd_gj</t>
        </is>
      </c>
      <c r="G2137" s="7" t="n">
        <v>25.605</v>
      </c>
      <c r="H2137" s="7" t="inlineStr">
        <is>
          <t>2024</t>
        </is>
      </c>
      <c r="I2137" s="7" t="inlineStr">
        <is>
          <t>imffossilfuelsubsidiesdata.xlsb</t>
        </is>
      </c>
    </row>
    <row r="2138">
      <c r="A2138" s="7" t="inlineStr">
        <is>
          <t>POL</t>
        </is>
      </c>
      <c r="B2138" s="7" t="inlineStr">
        <is>
          <t>Poland</t>
        </is>
      </c>
      <c r="C2138" s="7" t="inlineStr">
        <is>
          <t>Europe &amp; Central Asia</t>
        </is>
      </c>
      <c r="D2138" s="7" t="inlineStr">
        <is>
          <t>High income</t>
        </is>
      </c>
      <c r="E2138" s="7" t="b">
        <v>1</v>
      </c>
      <c r="F2138" s="7" t="inlineStr">
        <is>
          <t>price_gas_power_usd_gj</t>
        </is>
      </c>
      <c r="G2138" s="7" t="n">
        <v>25.605</v>
      </c>
      <c r="H2138" s="7" t="inlineStr">
        <is>
          <t>2024</t>
        </is>
      </c>
      <c r="I2138" s="7" t="inlineStr">
        <is>
          <t>imffossilfuelsubsidiesdata.xlsb</t>
        </is>
      </c>
    </row>
    <row r="2139">
      <c r="A2139" s="7" t="inlineStr">
        <is>
          <t>POL</t>
        </is>
      </c>
      <c r="B2139" s="7" t="inlineStr">
        <is>
          <t>Poland</t>
        </is>
      </c>
      <c r="C2139" s="7" t="inlineStr">
        <is>
          <t>Europe &amp; Central Asia</t>
        </is>
      </c>
      <c r="D2139" s="7" t="inlineStr">
        <is>
          <t>High income</t>
        </is>
      </c>
      <c r="E2139" s="7" t="b">
        <v>1</v>
      </c>
      <c r="F2139" s="7" t="inlineStr">
        <is>
          <t>rise_renewable_energy_score</t>
        </is>
      </c>
      <c r="G2139" s="7" t="n">
        <v>62.886</v>
      </c>
      <c r="H2139" s="7" t="inlineStr">
        <is>
          <t>2023</t>
        </is>
      </c>
      <c r="I2139" s="7" t="inlineStr">
        <is>
          <t>WB_RISE_WIDEF.csv</t>
        </is>
      </c>
    </row>
    <row r="2140">
      <c r="A2140" s="7" t="inlineStr">
        <is>
          <t>PRI</t>
        </is>
      </c>
      <c r="B2140" s="7" t="inlineStr">
        <is>
          <t>Puerto Rico (US)</t>
        </is>
      </c>
      <c r="C2140" s="7" t="inlineStr">
        <is>
          <t>Latin America &amp; Caribbean</t>
        </is>
      </c>
      <c r="D2140" s="7" t="inlineStr">
        <is>
          <t>High income</t>
        </is>
      </c>
      <c r="E2140" s="7" t="b">
        <v>0</v>
      </c>
      <c r="F2140" s="7" t="inlineStr">
        <is>
          <t>coal_rents_pct_gdp</t>
        </is>
      </c>
      <c r="G2140" s="7" t="n">
        <v>0</v>
      </c>
      <c r="H2140" s="7" t="inlineStr">
        <is>
          <t>2021</t>
        </is>
      </c>
      <c r="I2140" s="7" t="inlineStr">
        <is>
          <t>API_NY_GDP_COAL_RT_ZS_DS2_en_csv_v2_35370.zip</t>
        </is>
      </c>
    </row>
    <row r="2141">
      <c r="A2141" s="7" t="inlineStr">
        <is>
          <t>PRI</t>
        </is>
      </c>
      <c r="B2141" s="7" t="inlineStr">
        <is>
          <t>Puerto Rico (US)</t>
        </is>
      </c>
      <c r="C2141" s="7" t="inlineStr">
        <is>
          <t>Latin America &amp; Caribbean</t>
        </is>
      </c>
      <c r="D2141" s="7" t="inlineStr">
        <is>
          <t>High income</t>
        </is>
      </c>
      <c r="E2141" s="7" t="b">
        <v>0</v>
      </c>
      <c r="F2141" s="7" t="inlineStr">
        <is>
          <t>em_coal_mt</t>
        </is>
      </c>
      <c r="G2141" s="7" t="n">
        <v>2.908</v>
      </c>
      <c r="H2141" s="7" t="n">
        <v>2024</v>
      </c>
      <c r="I2141" s="7" t="inlineStr">
        <is>
          <t>release_generation_yearly_global.csv (Ember)</t>
        </is>
      </c>
    </row>
    <row r="2142">
      <c r="A2142" s="7" t="inlineStr">
        <is>
          <t>PRI</t>
        </is>
      </c>
      <c r="B2142" s="7" t="inlineStr">
        <is>
          <t>Puerto Rico (US)</t>
        </is>
      </c>
      <c r="C2142" s="7" t="inlineStr">
        <is>
          <t>Latin America &amp; Caribbean</t>
        </is>
      </c>
      <c r="D2142" s="7" t="inlineStr">
        <is>
          <t>High income</t>
        </is>
      </c>
      <c r="E2142" s="7" t="b">
        <v>0</v>
      </c>
      <c r="F2142" s="7" t="inlineStr">
        <is>
          <t>em_gas_mt</t>
        </is>
      </c>
      <c r="G2142" s="7" t="n">
        <v>3.461</v>
      </c>
      <c r="H2142" s="7" t="n">
        <v>2024</v>
      </c>
      <c r="I2142" s="7" t="inlineStr">
        <is>
          <t>release_generation_yearly_global.csv (Ember)</t>
        </is>
      </c>
    </row>
    <row r="2143">
      <c r="A2143" s="7" t="inlineStr">
        <is>
          <t>PRI</t>
        </is>
      </c>
      <c r="B2143" s="7" t="inlineStr">
        <is>
          <t>Puerto Rico (US)</t>
        </is>
      </c>
      <c r="C2143" s="7" t="inlineStr">
        <is>
          <t>Latin America &amp; Caribbean</t>
        </is>
      </c>
      <c r="D2143" s="7" t="inlineStr">
        <is>
          <t>High income</t>
        </is>
      </c>
      <c r="E2143" s="7" t="b">
        <v>0</v>
      </c>
      <c r="F2143" s="7" t="inlineStr">
        <is>
          <t>em_oil_mt</t>
        </is>
      </c>
      <c r="G2143" s="7" t="n">
        <v>6.712</v>
      </c>
      <c r="H2143" s="7" t="n">
        <v>2024</v>
      </c>
      <c r="I2143" s="7" t="inlineStr">
        <is>
          <t>release_generation_yearly_global.csv (Ember)</t>
        </is>
      </c>
    </row>
    <row r="2144">
      <c r="A2144" s="7" t="inlineStr">
        <is>
          <t>PRI</t>
        </is>
      </c>
      <c r="B2144" s="7" t="inlineStr">
        <is>
          <t>Puerto Rico (US)</t>
        </is>
      </c>
      <c r="C2144" s="7" t="inlineStr">
        <is>
          <t>Latin America &amp; Caribbean</t>
        </is>
      </c>
      <c r="D2144" s="7" t="inlineStr">
        <is>
          <t>High income</t>
        </is>
      </c>
      <c r="E2144" s="7" t="b">
        <v>0</v>
      </c>
      <c r="F2144" s="7" t="inlineStr">
        <is>
          <t>ff_subsidy_explicit_pct_gdp</t>
        </is>
      </c>
      <c r="G2144" s="7" t="n">
        <v>0</v>
      </c>
      <c r="H2144" s="7" t="inlineStr">
        <is>
          <t>2024</t>
        </is>
      </c>
      <c r="I2144" s="7" t="inlineStr">
        <is>
          <t>imffossilfuelsubsidiesdata.xlsb</t>
        </is>
      </c>
    </row>
    <row r="2145">
      <c r="A2145" s="7" t="inlineStr">
        <is>
          <t>PRI</t>
        </is>
      </c>
      <c r="B2145" s="7" t="inlineStr">
        <is>
          <t>Puerto Rico (US)</t>
        </is>
      </c>
      <c r="C2145" s="7" t="inlineStr">
        <is>
          <t>Latin America &amp; Caribbean</t>
        </is>
      </c>
      <c r="D2145" s="7" t="inlineStr">
        <is>
          <t>High income</t>
        </is>
      </c>
      <c r="E2145" s="7" t="b">
        <v>0</v>
      </c>
      <c r="F2145" s="7" t="inlineStr">
        <is>
          <t>gen_coal_twh</t>
        </is>
      </c>
      <c r="G2145" s="7" t="n">
        <v>3.2</v>
      </c>
      <c r="H2145" s="7" t="n">
        <v>2024</v>
      </c>
      <c r="I2145" s="7" t="inlineStr">
        <is>
          <t>release_generation_yearly_global.csv (Ember)</t>
        </is>
      </c>
    </row>
    <row r="2146">
      <c r="A2146" s="7" t="inlineStr">
        <is>
          <t>PRI</t>
        </is>
      </c>
      <c r="B2146" s="7" t="inlineStr">
        <is>
          <t>Puerto Rico (US)</t>
        </is>
      </c>
      <c r="C2146" s="7" t="inlineStr">
        <is>
          <t>Latin America &amp; Caribbean</t>
        </is>
      </c>
      <c r="D2146" s="7" t="inlineStr">
        <is>
          <t>High income</t>
        </is>
      </c>
      <c r="E2146" s="7" t="b">
        <v>0</v>
      </c>
      <c r="F2146" s="7" t="inlineStr">
        <is>
          <t>gen_gas_twh</t>
        </is>
      </c>
      <c r="G2146" s="7" t="n">
        <v>5.4</v>
      </c>
      <c r="H2146" s="7" t="n">
        <v>2024</v>
      </c>
      <c r="I2146" s="7" t="inlineStr">
        <is>
          <t>release_generation_yearly_global.csv (Ember)</t>
        </is>
      </c>
    </row>
    <row r="2147">
      <c r="A2147" s="7" t="inlineStr">
        <is>
          <t>PRI</t>
        </is>
      </c>
      <c r="B2147" s="7" t="inlineStr">
        <is>
          <t>Puerto Rico (US)</t>
        </is>
      </c>
      <c r="C2147" s="7" t="inlineStr">
        <is>
          <t>Latin America &amp; Caribbean</t>
        </is>
      </c>
      <c r="D2147" s="7" t="inlineStr">
        <is>
          <t>High income</t>
        </is>
      </c>
      <c r="E2147" s="7" t="b">
        <v>0</v>
      </c>
      <c r="F2147" s="7" t="inlineStr">
        <is>
          <t>gen_oil_twh</t>
        </is>
      </c>
      <c r="G2147" s="7" t="n">
        <v>10.2</v>
      </c>
      <c r="H2147" s="7" t="n">
        <v>2024</v>
      </c>
      <c r="I2147" s="7" t="inlineStr">
        <is>
          <t>release_generation_yearly_global.csv (Ember)</t>
        </is>
      </c>
    </row>
    <row r="2148">
      <c r="A2148" s="7" t="inlineStr">
        <is>
          <t>PRI</t>
        </is>
      </c>
      <c r="B2148" s="7" t="inlineStr">
        <is>
          <t>Puerto Rico (US)</t>
        </is>
      </c>
      <c r="C2148" s="7" t="inlineStr">
        <is>
          <t>Latin America &amp; Caribbean</t>
        </is>
      </c>
      <c r="D2148" s="7" t="inlineStr">
        <is>
          <t>High income</t>
        </is>
      </c>
      <c r="E2148" s="7" t="b">
        <v>0</v>
      </c>
      <c r="F2148" s="7" t="inlineStr">
        <is>
          <t>gen_total_twh</t>
        </is>
      </c>
      <c r="G2148" s="7" t="n">
        <v>20</v>
      </c>
      <c r="H2148" s="7" t="n">
        <v>2024</v>
      </c>
      <c r="I2148" s="7" t="inlineStr">
        <is>
          <t>release_generation_yearly_global.csv (Ember)</t>
        </is>
      </c>
    </row>
    <row r="2149">
      <c r="A2149" s="7" t="inlineStr">
        <is>
          <t>PRI</t>
        </is>
      </c>
      <c r="B2149" s="7" t="inlineStr">
        <is>
          <t>Puerto Rico (US)</t>
        </is>
      </c>
      <c r="C2149" s="7" t="inlineStr">
        <is>
          <t>Latin America &amp; Caribbean</t>
        </is>
      </c>
      <c r="D2149" s="7" t="inlineStr">
        <is>
          <t>High income</t>
        </is>
      </c>
      <c r="E2149" s="7" t="b">
        <v>0</v>
      </c>
      <c r="F2149" s="7" t="inlineStr">
        <is>
          <t>power_market_structure</t>
        </is>
      </c>
      <c r="G2149" s="7" t="n">
        <v>1</v>
      </c>
      <c r="H2149" s="7" t="inlineStr">
        <is>
          <t>2012</t>
        </is>
      </c>
      <c r="I2149" s="7" t="inlineStr">
        <is>
          <t>dataverse_files.zip</t>
        </is>
      </c>
    </row>
    <row r="2150">
      <c r="A2150" s="7" t="inlineStr">
        <is>
          <t>PRI</t>
        </is>
      </c>
      <c r="B2150" s="7" t="inlineStr">
        <is>
          <t>Puerto Rico (US)</t>
        </is>
      </c>
      <c r="C2150" s="7" t="inlineStr">
        <is>
          <t>Latin America &amp; Caribbean</t>
        </is>
      </c>
      <c r="D2150" s="7" t="inlineStr">
        <is>
          <t>High income</t>
        </is>
      </c>
      <c r="E2150" s="7" t="b">
        <v>0</v>
      </c>
      <c r="F2150" s="7" t="inlineStr">
        <is>
          <t>price_coal_power_usd_gj</t>
        </is>
      </c>
      <c r="G2150" s="7" t="n">
        <v>5.575</v>
      </c>
      <c r="H2150" s="7" t="inlineStr">
        <is>
          <t>2024</t>
        </is>
      </c>
      <c r="I2150" s="7" t="inlineStr">
        <is>
          <t>imffossilfuelsubsidiesdata.xlsb</t>
        </is>
      </c>
    </row>
    <row r="2151">
      <c r="A2151" s="7" t="inlineStr">
        <is>
          <t>PRI</t>
        </is>
      </c>
      <c r="B2151" s="7" t="inlineStr">
        <is>
          <t>Puerto Rico (US)</t>
        </is>
      </c>
      <c r="C2151" s="7" t="inlineStr">
        <is>
          <t>Latin America &amp; Caribbean</t>
        </is>
      </c>
      <c r="D2151" s="7" t="inlineStr">
        <is>
          <t>High income</t>
        </is>
      </c>
      <c r="E2151" s="7" t="b">
        <v>0</v>
      </c>
      <c r="F2151" s="7" t="inlineStr">
        <is>
          <t>price_electricity_residential_usd_kwh</t>
        </is>
      </c>
      <c r="G2151" s="7" t="n">
        <v>0.106</v>
      </c>
      <c r="H2151" s="7" t="inlineStr">
        <is>
          <t>2024</t>
        </is>
      </c>
      <c r="I2151" s="7" t="inlineStr">
        <is>
          <t>imffossilfuelsubsidiesdata.xlsb</t>
        </is>
      </c>
    </row>
    <row r="2152">
      <c r="A2152" s="7" t="inlineStr">
        <is>
          <t>PRI</t>
        </is>
      </c>
      <c r="B2152" s="7" t="inlineStr">
        <is>
          <t>Puerto Rico (US)</t>
        </is>
      </c>
      <c r="C2152" s="7" t="inlineStr">
        <is>
          <t>Latin America &amp; Caribbean</t>
        </is>
      </c>
      <c r="D2152" s="7" t="inlineStr">
        <is>
          <t>High income</t>
        </is>
      </c>
      <c r="E2152" s="7" t="b">
        <v>0</v>
      </c>
      <c r="F2152" s="7" t="inlineStr">
        <is>
          <t>price_gas_industry_usd_gj</t>
        </is>
      </c>
      <c r="G2152" s="7" t="n">
        <v>12.771</v>
      </c>
      <c r="H2152" s="7" t="inlineStr">
        <is>
          <t>2024</t>
        </is>
      </c>
      <c r="I2152" s="7" t="inlineStr">
        <is>
          <t>imffossilfuelsubsidiesdata.xlsb</t>
        </is>
      </c>
    </row>
    <row r="2153">
      <c r="A2153" s="7" t="inlineStr">
        <is>
          <t>PRI</t>
        </is>
      </c>
      <c r="B2153" s="7" t="inlineStr">
        <is>
          <t>Puerto Rico (US)</t>
        </is>
      </c>
      <c r="C2153" s="7" t="inlineStr">
        <is>
          <t>Latin America &amp; Caribbean</t>
        </is>
      </c>
      <c r="D2153" s="7" t="inlineStr">
        <is>
          <t>High income</t>
        </is>
      </c>
      <c r="E2153" s="7" t="b">
        <v>0</v>
      </c>
      <c r="F2153" s="7" t="inlineStr">
        <is>
          <t>price_gas_power_usd_gj</t>
        </is>
      </c>
      <c r="G2153" s="7" t="n">
        <v>11.447</v>
      </c>
      <c r="H2153" s="7" t="inlineStr">
        <is>
          <t>2024</t>
        </is>
      </c>
      <c r="I2153" s="7" t="inlineStr">
        <is>
          <t>imffossilfuelsubsidiesdata.xlsb</t>
        </is>
      </c>
    </row>
    <row r="2154">
      <c r="A2154" s="7" t="inlineStr">
        <is>
          <t>PRK</t>
        </is>
      </c>
      <c r="B2154" s="7" t="inlineStr">
        <is>
          <t>Korea, Dem. People's Rep.</t>
        </is>
      </c>
      <c r="C2154" s="7" t="inlineStr">
        <is>
          <t>East Asia &amp; Pacific</t>
        </is>
      </c>
      <c r="D2154" s="7" t="inlineStr">
        <is>
          <t>Low income</t>
        </is>
      </c>
      <c r="E2154" s="7" t="b">
        <v>0</v>
      </c>
      <c r="F2154" s="7" t="inlineStr">
        <is>
          <t>em_coal_mt</t>
        </is>
      </c>
      <c r="G2154" s="7" t="n">
        <v>8.358000000000001</v>
      </c>
      <c r="H2154" s="7" t="n">
        <v>2024</v>
      </c>
      <c r="I2154" s="7" t="inlineStr">
        <is>
          <t>release_generation_yearly_global.csv (Ember)</t>
        </is>
      </c>
    </row>
    <row r="2155">
      <c r="A2155" s="7" t="inlineStr">
        <is>
          <t>PRK</t>
        </is>
      </c>
      <c r="B2155" s="7" t="inlineStr">
        <is>
          <t>Korea, Dem. People's Rep.</t>
        </is>
      </c>
      <c r="C2155" s="7" t="inlineStr">
        <is>
          <t>East Asia &amp; Pacific</t>
        </is>
      </c>
      <c r="D2155" s="7" t="inlineStr">
        <is>
          <t>Low income</t>
        </is>
      </c>
      <c r="E2155" s="7" t="b">
        <v>0</v>
      </c>
      <c r="F2155" s="7" t="inlineStr">
        <is>
          <t>em_gas_mt</t>
        </is>
      </c>
      <c r="G2155" s="7" t="n">
        <v>0</v>
      </c>
      <c r="H2155" s="7" t="n">
        <v>2024</v>
      </c>
      <c r="I2155" s="7" t="inlineStr">
        <is>
          <t>release_generation_yearly_global.csv (Ember)</t>
        </is>
      </c>
    </row>
    <row r="2156">
      <c r="A2156" s="7" t="inlineStr">
        <is>
          <t>PRK</t>
        </is>
      </c>
      <c r="B2156" s="7" t="inlineStr">
        <is>
          <t>Korea, Dem. People's Rep.</t>
        </is>
      </c>
      <c r="C2156" s="7" t="inlineStr">
        <is>
          <t>East Asia &amp; Pacific</t>
        </is>
      </c>
      <c r="D2156" s="7" t="inlineStr">
        <is>
          <t>Low income</t>
        </is>
      </c>
      <c r="E2156" s="7" t="b">
        <v>0</v>
      </c>
      <c r="F2156" s="7" t="inlineStr">
        <is>
          <t>em_oil_mt</t>
        </is>
      </c>
      <c r="G2156" s="7" t="n">
        <v>0.461</v>
      </c>
      <c r="H2156" s="7" t="n">
        <v>2024</v>
      </c>
      <c r="I2156" s="7" t="inlineStr">
        <is>
          <t>release_generation_yearly_global.csv (Ember)</t>
        </is>
      </c>
    </row>
    <row r="2157">
      <c r="A2157" s="7" t="inlineStr">
        <is>
          <t>PRK</t>
        </is>
      </c>
      <c r="B2157" s="7" t="inlineStr">
        <is>
          <t>Korea, Dem. People's Rep.</t>
        </is>
      </c>
      <c r="C2157" s="7" t="inlineStr">
        <is>
          <t>East Asia &amp; Pacific</t>
        </is>
      </c>
      <c r="D2157" s="7" t="inlineStr">
        <is>
          <t>Low income</t>
        </is>
      </c>
      <c r="E2157" s="7" t="b">
        <v>0</v>
      </c>
      <c r="F2157" s="7" t="inlineStr">
        <is>
          <t>gen_coal_twh</t>
        </is>
      </c>
      <c r="G2157" s="7" t="n">
        <v>9.23</v>
      </c>
      <c r="H2157" s="7" t="n">
        <v>2024</v>
      </c>
      <c r="I2157" s="7" t="inlineStr">
        <is>
          <t>release_generation_yearly_global.csv (Ember)</t>
        </is>
      </c>
    </row>
    <row r="2158">
      <c r="A2158" s="7" t="inlineStr">
        <is>
          <t>PRK</t>
        </is>
      </c>
      <c r="B2158" s="7" t="inlineStr">
        <is>
          <t>Korea, Dem. People's Rep.</t>
        </is>
      </c>
      <c r="C2158" s="7" t="inlineStr">
        <is>
          <t>East Asia &amp; Pacific</t>
        </is>
      </c>
      <c r="D2158" s="7" t="inlineStr">
        <is>
          <t>Low income</t>
        </is>
      </c>
      <c r="E2158" s="7" t="b">
        <v>0</v>
      </c>
      <c r="F2158" s="7" t="inlineStr">
        <is>
          <t>gen_gas_twh</t>
        </is>
      </c>
      <c r="G2158" s="7" t="n">
        <v>0</v>
      </c>
      <c r="H2158" s="7" t="n">
        <v>2024</v>
      </c>
      <c r="I2158" s="7" t="inlineStr">
        <is>
          <t>release_generation_yearly_global.csv (Ember)</t>
        </is>
      </c>
    </row>
    <row r="2159">
      <c r="A2159" s="7" t="inlineStr">
        <is>
          <t>PRK</t>
        </is>
      </c>
      <c r="B2159" s="7" t="inlineStr">
        <is>
          <t>Korea, Dem. People's Rep.</t>
        </is>
      </c>
      <c r="C2159" s="7" t="inlineStr">
        <is>
          <t>East Asia &amp; Pacific</t>
        </is>
      </c>
      <c r="D2159" s="7" t="inlineStr">
        <is>
          <t>Low income</t>
        </is>
      </c>
      <c r="E2159" s="7" t="b">
        <v>0</v>
      </c>
      <c r="F2159" s="7" t="inlineStr">
        <is>
          <t>gen_oil_twh</t>
        </is>
      </c>
      <c r="G2159" s="7" t="n">
        <v>0.7</v>
      </c>
      <c r="H2159" s="7" t="n">
        <v>2024</v>
      </c>
      <c r="I2159" s="7" t="inlineStr">
        <is>
          <t>release_generation_yearly_global.csv (Ember)</t>
        </is>
      </c>
    </row>
    <row r="2160">
      <c r="A2160" s="7" t="inlineStr">
        <is>
          <t>PRK</t>
        </is>
      </c>
      <c r="B2160" s="7" t="inlineStr">
        <is>
          <t>Korea, Dem. People's Rep.</t>
        </is>
      </c>
      <c r="C2160" s="7" t="inlineStr">
        <is>
          <t>East Asia &amp; Pacific</t>
        </is>
      </c>
      <c r="D2160" s="7" t="inlineStr">
        <is>
          <t>Low income</t>
        </is>
      </c>
      <c r="E2160" s="7" t="b">
        <v>0</v>
      </c>
      <c r="F2160" s="7" t="inlineStr">
        <is>
          <t>gen_total_twh</t>
        </is>
      </c>
      <c r="G2160" s="7" t="n">
        <v>27.1</v>
      </c>
      <c r="H2160" s="7" t="n">
        <v>2024</v>
      </c>
      <c r="I2160" s="7" t="inlineStr">
        <is>
          <t>release_generation_yearly_global.csv (Ember)</t>
        </is>
      </c>
    </row>
    <row r="2161">
      <c r="A2161" s="7" t="inlineStr">
        <is>
          <t>PRT</t>
        </is>
      </c>
      <c r="B2161" s="7" t="inlineStr">
        <is>
          <t>Portugal</t>
        </is>
      </c>
      <c r="C2161" s="7" t="inlineStr">
        <is>
          <t>Europe &amp; Central Asia</t>
        </is>
      </c>
      <c r="D2161" s="7" t="inlineStr">
        <is>
          <t>High income</t>
        </is>
      </c>
      <c r="E2161" s="7" t="b">
        <v>0</v>
      </c>
      <c r="F2161" s="7" t="inlineStr">
        <is>
          <t>coal_rents_pct_gdp</t>
        </is>
      </c>
      <c r="G2161" s="7" t="n">
        <v>0</v>
      </c>
      <c r="H2161" s="7" t="inlineStr">
        <is>
          <t>2021</t>
        </is>
      </c>
      <c r="I2161" s="7" t="inlineStr">
        <is>
          <t>API_NY_GDP_COAL_RT_ZS_DS2_en_csv_v2_35370.zip</t>
        </is>
      </c>
    </row>
    <row r="2162">
      <c r="A2162" s="7" t="inlineStr">
        <is>
          <t>PRT</t>
        </is>
      </c>
      <c r="B2162" s="7" t="inlineStr">
        <is>
          <t>Portugal</t>
        </is>
      </c>
      <c r="C2162" s="7" t="inlineStr">
        <is>
          <t>Europe &amp; Central Asia</t>
        </is>
      </c>
      <c r="D2162" s="7" t="inlineStr">
        <is>
          <t>High income</t>
        </is>
      </c>
      <c r="E2162" s="7" t="b">
        <v>0</v>
      </c>
      <c r="F2162" s="7" t="inlineStr">
        <is>
          <t>em_coal_mt</t>
        </is>
      </c>
      <c r="G2162" s="7" t="n">
        <v>0</v>
      </c>
      <c r="H2162" s="7" t="n">
        <v>2024</v>
      </c>
      <c r="I2162" s="7" t="inlineStr">
        <is>
          <t>release_generation_yearly_global.csv (Ember)</t>
        </is>
      </c>
    </row>
    <row r="2163">
      <c r="A2163" s="7" t="inlineStr">
        <is>
          <t>PRT</t>
        </is>
      </c>
      <c r="B2163" s="7" t="inlineStr">
        <is>
          <t>Portugal</t>
        </is>
      </c>
      <c r="C2163" s="7" t="inlineStr">
        <is>
          <t>Europe &amp; Central Asia</t>
        </is>
      </c>
      <c r="D2163" s="7" t="inlineStr">
        <is>
          <t>High income</t>
        </is>
      </c>
      <c r="E2163" s="7" t="b">
        <v>0</v>
      </c>
      <c r="F2163" s="7" t="inlineStr">
        <is>
          <t>em_gas_mt</t>
        </is>
      </c>
      <c r="G2163" s="7" t="n">
        <v>2.645</v>
      </c>
      <c r="H2163" s="7" t="n">
        <v>2024</v>
      </c>
      <c r="I2163" s="7" t="inlineStr">
        <is>
          <t>release_generation_yearly_global.csv (Ember)</t>
        </is>
      </c>
    </row>
    <row r="2164">
      <c r="A2164" s="7" t="inlineStr">
        <is>
          <t>PRT</t>
        </is>
      </c>
      <c r="B2164" s="7" t="inlineStr">
        <is>
          <t>Portugal</t>
        </is>
      </c>
      <c r="C2164" s="7" t="inlineStr">
        <is>
          <t>Europe &amp; Central Asia</t>
        </is>
      </c>
      <c r="D2164" s="7" t="inlineStr">
        <is>
          <t>High income</t>
        </is>
      </c>
      <c r="E2164" s="7" t="b">
        <v>0</v>
      </c>
      <c r="F2164" s="7" t="inlineStr">
        <is>
          <t>em_oil_mt</t>
        </is>
      </c>
      <c r="G2164" s="7" t="n">
        <v>0.901</v>
      </c>
      <c r="H2164" s="7" t="n">
        <v>2024</v>
      </c>
      <c r="I2164" s="7" t="inlineStr">
        <is>
          <t>release_generation_yearly_global.csv (Ember)</t>
        </is>
      </c>
    </row>
    <row r="2165">
      <c r="A2165" s="7" t="inlineStr">
        <is>
          <t>PRT</t>
        </is>
      </c>
      <c r="B2165" s="7" t="inlineStr">
        <is>
          <t>Portugal</t>
        </is>
      </c>
      <c r="C2165" s="7" t="inlineStr">
        <is>
          <t>Europe &amp; Central Asia</t>
        </is>
      </c>
      <c r="D2165" s="7" t="inlineStr">
        <is>
          <t>High income</t>
        </is>
      </c>
      <c r="E2165" s="7" t="b">
        <v>0</v>
      </c>
      <c r="F2165" s="7" t="inlineStr">
        <is>
          <t>ff_subsidy_explicit_pct_gdp</t>
        </is>
      </c>
      <c r="G2165" s="7" t="n">
        <v>0</v>
      </c>
      <c r="H2165" s="7" t="inlineStr">
        <is>
          <t>2024</t>
        </is>
      </c>
      <c r="I2165" s="7" t="inlineStr">
        <is>
          <t>imffossilfuelsubsidiesdata.xlsb</t>
        </is>
      </c>
    </row>
    <row r="2166">
      <c r="A2166" s="7" t="inlineStr">
        <is>
          <t>PRT</t>
        </is>
      </c>
      <c r="B2166" s="7" t="inlineStr">
        <is>
          <t>Portugal</t>
        </is>
      </c>
      <c r="C2166" s="7" t="inlineStr">
        <is>
          <t>Europe &amp; Central Asia</t>
        </is>
      </c>
      <c r="D2166" s="7" t="inlineStr">
        <is>
          <t>High income</t>
        </is>
      </c>
      <c r="E2166" s="7" t="b">
        <v>0</v>
      </c>
      <c r="F2166" s="7" t="inlineStr">
        <is>
          <t>fuel_exports_pct_merch</t>
        </is>
      </c>
      <c r="G2166" s="7" t="n">
        <v>5.076</v>
      </c>
      <c r="H2166" s="7" t="inlineStr">
        <is>
          <t>2025</t>
        </is>
      </c>
      <c r="I2166" s="7" t="inlineStr">
        <is>
          <t>API_TX_VAL_FUEL_ZS_UN_DS2_en_csv_v2_33055.zip</t>
        </is>
      </c>
    </row>
    <row r="2167">
      <c r="A2167" s="7" t="inlineStr">
        <is>
          <t>PRT</t>
        </is>
      </c>
      <c r="B2167" s="7" t="inlineStr">
        <is>
          <t>Portugal</t>
        </is>
      </c>
      <c r="C2167" s="7" t="inlineStr">
        <is>
          <t>Europe &amp; Central Asia</t>
        </is>
      </c>
      <c r="D2167" s="7" t="inlineStr">
        <is>
          <t>High income</t>
        </is>
      </c>
      <c r="E2167" s="7" t="b">
        <v>0</v>
      </c>
      <c r="F2167" s="7" t="inlineStr">
        <is>
          <t>gen_coal_twh</t>
        </is>
      </c>
      <c r="G2167" s="7" t="n">
        <v>0</v>
      </c>
      <c r="H2167" s="7" t="n">
        <v>2024</v>
      </c>
      <c r="I2167" s="7" t="inlineStr">
        <is>
          <t>release_generation_yearly_global.csv (Ember)</t>
        </is>
      </c>
    </row>
    <row r="2168">
      <c r="A2168" s="7" t="inlineStr">
        <is>
          <t>PRT</t>
        </is>
      </c>
      <c r="B2168" s="7" t="inlineStr">
        <is>
          <t>Portugal</t>
        </is>
      </c>
      <c r="C2168" s="7" t="inlineStr">
        <is>
          <t>Europe &amp; Central Asia</t>
        </is>
      </c>
      <c r="D2168" s="7" t="inlineStr">
        <is>
          <t>High income</t>
        </is>
      </c>
      <c r="E2168" s="7" t="b">
        <v>0</v>
      </c>
      <c r="F2168" s="7" t="inlineStr">
        <is>
          <t>gen_gas_twh</t>
        </is>
      </c>
      <c r="G2168" s="7" t="n">
        <v>5.63</v>
      </c>
      <c r="H2168" s="7" t="n">
        <v>2024</v>
      </c>
      <c r="I2168" s="7" t="inlineStr">
        <is>
          <t>release_generation_yearly_global.csv (Ember)</t>
        </is>
      </c>
    </row>
    <row r="2169">
      <c r="A2169" s="7" t="inlineStr">
        <is>
          <t>PRT</t>
        </is>
      </c>
      <c r="B2169" s="7" t="inlineStr">
        <is>
          <t>Portugal</t>
        </is>
      </c>
      <c r="C2169" s="7" t="inlineStr">
        <is>
          <t>Europe &amp; Central Asia</t>
        </is>
      </c>
      <c r="D2169" s="7" t="inlineStr">
        <is>
          <t>High income</t>
        </is>
      </c>
      <c r="E2169" s="7" t="b">
        <v>0</v>
      </c>
      <c r="F2169" s="7" t="inlineStr">
        <is>
          <t>gen_oil_twh</t>
        </is>
      </c>
      <c r="G2169" s="7" t="n">
        <v>1.37</v>
      </c>
      <c r="H2169" s="7" t="n">
        <v>2024</v>
      </c>
      <c r="I2169" s="7" t="inlineStr">
        <is>
          <t>release_generation_yearly_global.csv (Ember)</t>
        </is>
      </c>
    </row>
    <row r="2170">
      <c r="A2170" s="7" t="inlineStr">
        <is>
          <t>PRT</t>
        </is>
      </c>
      <c r="B2170" s="7" t="inlineStr">
        <is>
          <t>Portugal</t>
        </is>
      </c>
      <c r="C2170" s="7" t="inlineStr">
        <is>
          <t>Europe &amp; Central Asia</t>
        </is>
      </c>
      <c r="D2170" s="7" t="inlineStr">
        <is>
          <t>High income</t>
        </is>
      </c>
      <c r="E2170" s="7" t="b">
        <v>0</v>
      </c>
      <c r="F2170" s="7" t="inlineStr">
        <is>
          <t>gen_total_twh</t>
        </is>
      </c>
      <c r="G2170" s="7" t="n">
        <v>47.27</v>
      </c>
      <c r="H2170" s="7" t="n">
        <v>2024</v>
      </c>
      <c r="I2170" s="7" t="inlineStr">
        <is>
          <t>release_generation_yearly_global.csv (Ember)</t>
        </is>
      </c>
    </row>
    <row r="2171">
      <c r="A2171" s="7" t="inlineStr">
        <is>
          <t>PRT</t>
        </is>
      </c>
      <c r="B2171" s="7" t="inlineStr">
        <is>
          <t>Portugal</t>
        </is>
      </c>
      <c r="C2171" s="7" t="inlineStr">
        <is>
          <t>Europe &amp; Central Asia</t>
        </is>
      </c>
      <c r="D2171" s="7" t="inlineStr">
        <is>
          <t>High income</t>
        </is>
      </c>
      <c r="E2171" s="7" t="b">
        <v>0</v>
      </c>
      <c r="F2171" s="7" t="inlineStr">
        <is>
          <t>price_coal_power_usd_gj</t>
        </is>
      </c>
      <c r="G2171" s="7" t="n">
        <v>10.615</v>
      </c>
      <c r="H2171" s="7" t="inlineStr">
        <is>
          <t>2024</t>
        </is>
      </c>
      <c r="I2171" s="7" t="inlineStr">
        <is>
          <t>imffossilfuelsubsidiesdata.xlsb</t>
        </is>
      </c>
    </row>
    <row r="2172">
      <c r="A2172" s="7" t="inlineStr">
        <is>
          <t>PRT</t>
        </is>
      </c>
      <c r="B2172" s="7" t="inlineStr">
        <is>
          <t>Portugal</t>
        </is>
      </c>
      <c r="C2172" s="7" t="inlineStr">
        <is>
          <t>Europe &amp; Central Asia</t>
        </is>
      </c>
      <c r="D2172" s="7" t="inlineStr">
        <is>
          <t>High income</t>
        </is>
      </c>
      <c r="E2172" s="7" t="b">
        <v>0</v>
      </c>
      <c r="F2172" s="7" t="inlineStr">
        <is>
          <t>price_electricity_residential_usd_kwh</t>
        </is>
      </c>
      <c r="G2172" s="7" t="n">
        <v>0.273</v>
      </c>
      <c r="H2172" s="7" t="inlineStr">
        <is>
          <t>2024</t>
        </is>
      </c>
      <c r="I2172" s="7" t="inlineStr">
        <is>
          <t>imffossilfuelsubsidiesdata.xlsb</t>
        </is>
      </c>
    </row>
    <row r="2173">
      <c r="A2173" s="7" t="inlineStr">
        <is>
          <t>PRT</t>
        </is>
      </c>
      <c r="B2173" s="7" t="inlineStr">
        <is>
          <t>Portugal</t>
        </is>
      </c>
      <c r="C2173" s="7" t="inlineStr">
        <is>
          <t>Europe &amp; Central Asia</t>
        </is>
      </c>
      <c r="D2173" s="7" t="inlineStr">
        <is>
          <t>High income</t>
        </is>
      </c>
      <c r="E2173" s="7" t="b">
        <v>0</v>
      </c>
      <c r="F2173" s="7" t="inlineStr">
        <is>
          <t>price_gas_industry_usd_gj</t>
        </is>
      </c>
      <c r="G2173" s="7" t="n">
        <v>18.924</v>
      </c>
      <c r="H2173" s="7" t="inlineStr">
        <is>
          <t>2024</t>
        </is>
      </c>
      <c r="I2173" s="7" t="inlineStr">
        <is>
          <t>imffossilfuelsubsidiesdata.xlsb</t>
        </is>
      </c>
    </row>
    <row r="2174">
      <c r="A2174" s="7" t="inlineStr">
        <is>
          <t>PRT</t>
        </is>
      </c>
      <c r="B2174" s="7" t="inlineStr">
        <is>
          <t>Portugal</t>
        </is>
      </c>
      <c r="C2174" s="7" t="inlineStr">
        <is>
          <t>Europe &amp; Central Asia</t>
        </is>
      </c>
      <c r="D2174" s="7" t="inlineStr">
        <is>
          <t>High income</t>
        </is>
      </c>
      <c r="E2174" s="7" t="b">
        <v>0</v>
      </c>
      <c r="F2174" s="7" t="inlineStr">
        <is>
          <t>price_gas_power_usd_gj</t>
        </is>
      </c>
      <c r="G2174" s="7" t="n">
        <v>18.924</v>
      </c>
      <c r="H2174" s="7" t="inlineStr">
        <is>
          <t>2024</t>
        </is>
      </c>
      <c r="I2174" s="7" t="inlineStr">
        <is>
          <t>imffossilfuelsubsidiesdata.xlsb</t>
        </is>
      </c>
    </row>
    <row r="2175">
      <c r="A2175" s="7" t="inlineStr">
        <is>
          <t>PRT</t>
        </is>
      </c>
      <c r="B2175" s="7" t="inlineStr">
        <is>
          <t>Portugal</t>
        </is>
      </c>
      <c r="C2175" s="7" t="inlineStr">
        <is>
          <t>Europe &amp; Central Asia</t>
        </is>
      </c>
      <c r="D2175" s="7" t="inlineStr">
        <is>
          <t>High income</t>
        </is>
      </c>
      <c r="E2175" s="7" t="b">
        <v>0</v>
      </c>
      <c r="F2175" s="7" t="inlineStr">
        <is>
          <t>rise_renewable_energy_score</t>
        </is>
      </c>
      <c r="G2175" s="7" t="n">
        <v>79.333</v>
      </c>
      <c r="H2175" s="7" t="inlineStr">
        <is>
          <t>2023</t>
        </is>
      </c>
      <c r="I2175" s="7" t="inlineStr">
        <is>
          <t>WB_RISE_WIDEF.csv</t>
        </is>
      </c>
    </row>
    <row r="2176">
      <c r="A2176" s="7" t="inlineStr">
        <is>
          <t>PRY</t>
        </is>
      </c>
      <c r="B2176" s="7" t="inlineStr">
        <is>
          <t>Paraguay</t>
        </is>
      </c>
      <c r="C2176" s="7" t="inlineStr">
        <is>
          <t>Latin America &amp; Caribbean</t>
        </is>
      </c>
      <c r="D2176" s="7" t="inlineStr">
        <is>
          <t>Upper middle income</t>
        </is>
      </c>
      <c r="E2176" s="7" t="b">
        <v>1</v>
      </c>
      <c r="F2176" s="7" t="inlineStr">
        <is>
          <t>coal_rents_pct_gdp</t>
        </is>
      </c>
      <c r="G2176" s="7" t="n">
        <v>0</v>
      </c>
      <c r="H2176" s="7" t="inlineStr">
        <is>
          <t>2021</t>
        </is>
      </c>
      <c r="I2176" s="7" t="inlineStr">
        <is>
          <t>API_NY_GDP_COAL_RT_ZS_DS2_en_csv_v2_35370.zip</t>
        </is>
      </c>
    </row>
    <row r="2177">
      <c r="A2177" s="7" t="inlineStr">
        <is>
          <t>PRY</t>
        </is>
      </c>
      <c r="B2177" s="7" t="inlineStr">
        <is>
          <t>Paraguay</t>
        </is>
      </c>
      <c r="C2177" s="7" t="inlineStr">
        <is>
          <t>Latin America &amp; Caribbean</t>
        </is>
      </c>
      <c r="D2177" s="7" t="inlineStr">
        <is>
          <t>Upper middle income</t>
        </is>
      </c>
      <c r="E2177" s="7" t="b">
        <v>1</v>
      </c>
      <c r="F2177" s="7" t="inlineStr">
        <is>
          <t>em_coal_mt</t>
        </is>
      </c>
      <c r="G2177" s="7" t="n">
        <v>0</v>
      </c>
      <c r="H2177" s="7" t="n">
        <v>2024</v>
      </c>
      <c r="I2177" s="7" t="inlineStr">
        <is>
          <t>release_generation_yearly_global.csv (Ember)</t>
        </is>
      </c>
    </row>
    <row r="2178">
      <c r="A2178" s="7" t="inlineStr">
        <is>
          <t>PRY</t>
        </is>
      </c>
      <c r="B2178" s="7" t="inlineStr">
        <is>
          <t>Paraguay</t>
        </is>
      </c>
      <c r="C2178" s="7" t="inlineStr">
        <is>
          <t>Latin America &amp; Caribbean</t>
        </is>
      </c>
      <c r="D2178" s="7" t="inlineStr">
        <is>
          <t>Upper middle income</t>
        </is>
      </c>
      <c r="E2178" s="7" t="b">
        <v>1</v>
      </c>
      <c r="F2178" s="7" t="inlineStr">
        <is>
          <t>em_gas_mt</t>
        </is>
      </c>
      <c r="G2178" s="7" t="n">
        <v>0</v>
      </c>
      <c r="H2178" s="7" t="n">
        <v>2024</v>
      </c>
      <c r="I2178" s="7" t="inlineStr">
        <is>
          <t>release_generation_yearly_global.csv (Ember)</t>
        </is>
      </c>
    </row>
    <row r="2179">
      <c r="A2179" s="7" t="inlineStr">
        <is>
          <t>PRY</t>
        </is>
      </c>
      <c r="B2179" s="7" t="inlineStr">
        <is>
          <t>Paraguay</t>
        </is>
      </c>
      <c r="C2179" s="7" t="inlineStr">
        <is>
          <t>Latin America &amp; Caribbean</t>
        </is>
      </c>
      <c r="D2179" s="7" t="inlineStr">
        <is>
          <t>Upper middle income</t>
        </is>
      </c>
      <c r="E2179" s="7" t="b">
        <v>1</v>
      </c>
      <c r="F2179" s="7" t="inlineStr">
        <is>
          <t>em_oil_mt</t>
        </is>
      </c>
      <c r="G2179" s="7" t="n">
        <v>0</v>
      </c>
      <c r="H2179" s="7" t="n">
        <v>2024</v>
      </c>
      <c r="I2179" s="7" t="inlineStr">
        <is>
          <t>release_generation_yearly_global.csv (Ember)</t>
        </is>
      </c>
    </row>
    <row r="2180">
      <c r="A2180" s="7" t="inlineStr">
        <is>
          <t>PRY</t>
        </is>
      </c>
      <c r="B2180" s="7" t="inlineStr">
        <is>
          <t>Paraguay</t>
        </is>
      </c>
      <c r="C2180" s="7" t="inlineStr">
        <is>
          <t>Latin America &amp; Caribbean</t>
        </is>
      </c>
      <c r="D2180" s="7" t="inlineStr">
        <is>
          <t>Upper middle income</t>
        </is>
      </c>
      <c r="E2180" s="7" t="b">
        <v>1</v>
      </c>
      <c r="F2180" s="7" t="inlineStr">
        <is>
          <t>ff_subsidy_explicit_pct_gdp</t>
        </is>
      </c>
      <c r="G2180" s="7" t="n">
        <v>0.991</v>
      </c>
      <c r="H2180" s="7" t="inlineStr">
        <is>
          <t>2024</t>
        </is>
      </c>
      <c r="I2180" s="7" t="inlineStr">
        <is>
          <t>imffossilfuelsubsidiesdata.xlsb</t>
        </is>
      </c>
    </row>
    <row r="2181">
      <c r="A2181" s="7" t="inlineStr">
        <is>
          <t>PRY</t>
        </is>
      </c>
      <c r="B2181" s="7" t="inlineStr">
        <is>
          <t>Paraguay</t>
        </is>
      </c>
      <c r="C2181" s="7" t="inlineStr">
        <is>
          <t>Latin America &amp; Caribbean</t>
        </is>
      </c>
      <c r="D2181" s="7" t="inlineStr">
        <is>
          <t>Upper middle income</t>
        </is>
      </c>
      <c r="E2181" s="7" t="b">
        <v>1</v>
      </c>
      <c r="F2181" s="7" t="inlineStr">
        <is>
          <t>fuel_exports_pct_merch</t>
        </is>
      </c>
      <c r="G2181" s="7" t="n">
        <v>11.022</v>
      </c>
      <c r="H2181" s="7" t="inlineStr">
        <is>
          <t>2025</t>
        </is>
      </c>
      <c r="I2181" s="7" t="inlineStr">
        <is>
          <t>API_TX_VAL_FUEL_ZS_UN_DS2_en_csv_v2_33055.zip</t>
        </is>
      </c>
    </row>
    <row r="2182">
      <c r="A2182" s="7" t="inlineStr">
        <is>
          <t>PRY</t>
        </is>
      </c>
      <c r="B2182" s="7" t="inlineStr">
        <is>
          <t>Paraguay</t>
        </is>
      </c>
      <c r="C2182" s="7" t="inlineStr">
        <is>
          <t>Latin America &amp; Caribbean</t>
        </is>
      </c>
      <c r="D2182" s="7" t="inlineStr">
        <is>
          <t>Upper middle income</t>
        </is>
      </c>
      <c r="E2182" s="7" t="b">
        <v>1</v>
      </c>
      <c r="F2182" s="7" t="inlineStr">
        <is>
          <t>gen_coal_twh</t>
        </is>
      </c>
      <c r="G2182" s="7" t="n">
        <v>0</v>
      </c>
      <c r="H2182" s="7" t="n">
        <v>2024</v>
      </c>
      <c r="I2182" s="7" t="inlineStr">
        <is>
          <t>release_generation_yearly_global.csv (Ember)</t>
        </is>
      </c>
    </row>
    <row r="2183">
      <c r="A2183" s="7" t="inlineStr">
        <is>
          <t>PRY</t>
        </is>
      </c>
      <c r="B2183" s="7" t="inlineStr">
        <is>
          <t>Paraguay</t>
        </is>
      </c>
      <c r="C2183" s="7" t="inlineStr">
        <is>
          <t>Latin America &amp; Caribbean</t>
        </is>
      </c>
      <c r="D2183" s="7" t="inlineStr">
        <is>
          <t>Upper middle income</t>
        </is>
      </c>
      <c r="E2183" s="7" t="b">
        <v>1</v>
      </c>
      <c r="F2183" s="7" t="inlineStr">
        <is>
          <t>gen_gas_twh</t>
        </is>
      </c>
      <c r="G2183" s="7" t="n">
        <v>0</v>
      </c>
      <c r="H2183" s="7" t="n">
        <v>2024</v>
      </c>
      <c r="I2183" s="7" t="inlineStr">
        <is>
          <t>release_generation_yearly_global.csv (Ember)</t>
        </is>
      </c>
    </row>
    <row r="2184">
      <c r="A2184" s="7" t="inlineStr">
        <is>
          <t>PRY</t>
        </is>
      </c>
      <c r="B2184" s="7" t="inlineStr">
        <is>
          <t>Paraguay</t>
        </is>
      </c>
      <c r="C2184" s="7" t="inlineStr">
        <is>
          <t>Latin America &amp; Caribbean</t>
        </is>
      </c>
      <c r="D2184" s="7" t="inlineStr">
        <is>
          <t>Upper middle income</t>
        </is>
      </c>
      <c r="E2184" s="7" t="b">
        <v>1</v>
      </c>
      <c r="F2184" s="7" t="inlineStr">
        <is>
          <t>gen_oil_twh</t>
        </is>
      </c>
      <c r="G2184" s="7" t="n">
        <v>0</v>
      </c>
      <c r="H2184" s="7" t="n">
        <v>2024</v>
      </c>
      <c r="I2184" s="7" t="inlineStr">
        <is>
          <t>release_generation_yearly_global.csv (Ember)</t>
        </is>
      </c>
    </row>
    <row r="2185">
      <c r="A2185" s="7" t="inlineStr">
        <is>
          <t>PRY</t>
        </is>
      </c>
      <c r="B2185" s="7" t="inlineStr">
        <is>
          <t>Paraguay</t>
        </is>
      </c>
      <c r="C2185" s="7" t="inlineStr">
        <is>
          <t>Latin America &amp; Caribbean</t>
        </is>
      </c>
      <c r="D2185" s="7" t="inlineStr">
        <is>
          <t>Upper middle income</t>
        </is>
      </c>
      <c r="E2185" s="7" t="b">
        <v>1</v>
      </c>
      <c r="F2185" s="7" t="inlineStr">
        <is>
          <t>gen_total_twh</t>
        </is>
      </c>
      <c r="G2185" s="7" t="n">
        <v>42.41</v>
      </c>
      <c r="H2185" s="7" t="n">
        <v>2024</v>
      </c>
      <c r="I2185" s="7" t="inlineStr">
        <is>
          <t>release_generation_yearly_global.csv (Ember)</t>
        </is>
      </c>
    </row>
    <row r="2186">
      <c r="A2186" s="7" t="inlineStr">
        <is>
          <t>PRY</t>
        </is>
      </c>
      <c r="B2186" s="7" t="inlineStr">
        <is>
          <t>Paraguay</t>
        </is>
      </c>
      <c r="C2186" s="7" t="inlineStr">
        <is>
          <t>Latin America &amp; Caribbean</t>
        </is>
      </c>
      <c r="D2186" s="7" t="inlineStr">
        <is>
          <t>Upper middle income</t>
        </is>
      </c>
      <c r="E2186" s="7" t="b">
        <v>1</v>
      </c>
      <c r="F2186" s="7" t="inlineStr">
        <is>
          <t>power_market_structure</t>
        </is>
      </c>
      <c r="G2186" s="7" t="n">
        <v>1</v>
      </c>
      <c r="H2186" s="7" t="inlineStr">
        <is>
          <t>2013</t>
        </is>
      </c>
      <c r="I2186" s="7" t="inlineStr">
        <is>
          <t>dataverse_files.zip</t>
        </is>
      </c>
    </row>
    <row r="2187">
      <c r="A2187" s="7" t="inlineStr">
        <is>
          <t>PRY</t>
        </is>
      </c>
      <c r="B2187" s="7" t="inlineStr">
        <is>
          <t>Paraguay</t>
        </is>
      </c>
      <c r="C2187" s="7" t="inlineStr">
        <is>
          <t>Latin America &amp; Caribbean</t>
        </is>
      </c>
      <c r="D2187" s="7" t="inlineStr">
        <is>
          <t>Upper middle income</t>
        </is>
      </c>
      <c r="E2187" s="7" t="b">
        <v>1</v>
      </c>
      <c r="F2187" s="7" t="inlineStr">
        <is>
          <t>price_coal_power_usd_gj</t>
        </is>
      </c>
      <c r="G2187" s="7" t="n">
        <v>5.575</v>
      </c>
      <c r="H2187" s="7" t="inlineStr">
        <is>
          <t>2024</t>
        </is>
      </c>
      <c r="I2187" s="7" t="inlineStr">
        <is>
          <t>imffossilfuelsubsidiesdata.xlsb</t>
        </is>
      </c>
    </row>
    <row r="2188">
      <c r="A2188" s="7" t="inlineStr">
        <is>
          <t>PRY</t>
        </is>
      </c>
      <c r="B2188" s="7" t="inlineStr">
        <is>
          <t>Paraguay</t>
        </is>
      </c>
      <c r="C2188" s="7" t="inlineStr">
        <is>
          <t>Latin America &amp; Caribbean</t>
        </is>
      </c>
      <c r="D2188" s="7" t="inlineStr">
        <is>
          <t>Upper middle income</t>
        </is>
      </c>
      <c r="E2188" s="7" t="b">
        <v>1</v>
      </c>
      <c r="F2188" s="7" t="inlineStr">
        <is>
          <t>price_electricity_residential_usd_kwh</t>
        </is>
      </c>
      <c r="G2188" s="7" t="n">
        <v>0.046</v>
      </c>
      <c r="H2188" s="7" t="inlineStr">
        <is>
          <t>2024</t>
        </is>
      </c>
      <c r="I2188" s="7" t="inlineStr">
        <is>
          <t>imffossilfuelsubsidiesdata.xlsb</t>
        </is>
      </c>
    </row>
    <row r="2189">
      <c r="A2189" s="7" t="inlineStr">
        <is>
          <t>PRY</t>
        </is>
      </c>
      <c r="B2189" s="7" t="inlineStr">
        <is>
          <t>Paraguay</t>
        </is>
      </c>
      <c r="C2189" s="7" t="inlineStr">
        <is>
          <t>Latin America &amp; Caribbean</t>
        </is>
      </c>
      <c r="D2189" s="7" t="inlineStr">
        <is>
          <t>Upper middle income</t>
        </is>
      </c>
      <c r="E2189" s="7" t="b">
        <v>1</v>
      </c>
      <c r="F2189" s="7" t="inlineStr">
        <is>
          <t>price_gas_industry_usd_gj</t>
        </is>
      </c>
      <c r="G2189" s="7" t="n">
        <v>12.771</v>
      </c>
      <c r="H2189" s="7" t="inlineStr">
        <is>
          <t>2024</t>
        </is>
      </c>
      <c r="I2189" s="7" t="inlineStr">
        <is>
          <t>imffossilfuelsubsidiesdata.xlsb</t>
        </is>
      </c>
    </row>
    <row r="2190">
      <c r="A2190" s="7" t="inlineStr">
        <is>
          <t>PRY</t>
        </is>
      </c>
      <c r="B2190" s="7" t="inlineStr">
        <is>
          <t>Paraguay</t>
        </is>
      </c>
      <c r="C2190" s="7" t="inlineStr">
        <is>
          <t>Latin America &amp; Caribbean</t>
        </is>
      </c>
      <c r="D2190" s="7" t="inlineStr">
        <is>
          <t>Upper middle income</t>
        </is>
      </c>
      <c r="E2190" s="7" t="b">
        <v>1</v>
      </c>
      <c r="F2190" s="7" t="inlineStr">
        <is>
          <t>price_gas_power_usd_gj</t>
        </is>
      </c>
      <c r="G2190" s="7" t="n">
        <v>11.447</v>
      </c>
      <c r="H2190" s="7" t="inlineStr">
        <is>
          <t>2024</t>
        </is>
      </c>
      <c r="I2190" s="7" t="inlineStr">
        <is>
          <t>imffossilfuelsubsidiesdata.xlsb</t>
        </is>
      </c>
    </row>
    <row r="2191">
      <c r="A2191" s="7" t="inlineStr">
        <is>
          <t>PRY</t>
        </is>
      </c>
      <c r="B2191" s="7" t="inlineStr">
        <is>
          <t>Paraguay</t>
        </is>
      </c>
      <c r="C2191" s="7" t="inlineStr">
        <is>
          <t>Latin America &amp; Caribbean</t>
        </is>
      </c>
      <c r="D2191" s="7" t="inlineStr">
        <is>
          <t>Upper middle income</t>
        </is>
      </c>
      <c r="E2191" s="7" t="b">
        <v>1</v>
      </c>
      <c r="F2191" s="7" t="inlineStr">
        <is>
          <t>rise_renewable_energy_score</t>
        </is>
      </c>
      <c r="G2191" s="7" t="n">
        <v>30.831</v>
      </c>
      <c r="H2191" s="7" t="inlineStr">
        <is>
          <t>2023</t>
        </is>
      </c>
      <c r="I2191" s="7" t="inlineStr">
        <is>
          <t>WB_RISE_WIDEF.csv</t>
        </is>
      </c>
    </row>
    <row r="2192">
      <c r="A2192" s="7" t="inlineStr">
        <is>
          <t>PSE</t>
        </is>
      </c>
      <c r="B2192" s="7" t="inlineStr">
        <is>
          <t>West Bank and Gaza</t>
        </is>
      </c>
      <c r="C2192" s="7" t="inlineStr">
        <is>
          <t>Middle East &amp; North Africa</t>
        </is>
      </c>
      <c r="D2192" s="7" t="inlineStr">
        <is>
          <t>Lower middle income</t>
        </is>
      </c>
      <c r="E2192" s="7" t="b">
        <v>1</v>
      </c>
      <c r="F2192" s="7" t="inlineStr">
        <is>
          <t>coal_rents_pct_gdp</t>
        </is>
      </c>
      <c r="G2192" s="7" t="n">
        <v>0</v>
      </c>
      <c r="H2192" s="7" t="inlineStr">
        <is>
          <t>2021</t>
        </is>
      </c>
      <c r="I2192" s="7" t="inlineStr">
        <is>
          <t>API_NY_GDP_COAL_RT_ZS_DS2_en_csv_v2_35370.zip</t>
        </is>
      </c>
    </row>
    <row r="2193">
      <c r="A2193" s="7" t="inlineStr">
        <is>
          <t>PSE</t>
        </is>
      </c>
      <c r="B2193" s="7" t="inlineStr">
        <is>
          <t>West Bank and Gaza</t>
        </is>
      </c>
      <c r="C2193" s="7" t="inlineStr">
        <is>
          <t>Middle East &amp; North Africa</t>
        </is>
      </c>
      <c r="D2193" s="7" t="inlineStr">
        <is>
          <t>Lower middle income</t>
        </is>
      </c>
      <c r="E2193" s="7" t="b">
        <v>1</v>
      </c>
      <c r="F2193" s="7" t="inlineStr">
        <is>
          <t>em_coal_mt</t>
        </is>
      </c>
      <c r="G2193" s="7" t="n">
        <v>0</v>
      </c>
      <c r="H2193" s="7" t="n">
        <v>2024</v>
      </c>
      <c r="I2193" s="7" t="inlineStr">
        <is>
          <t>release_generation_yearly_global.csv (Ember)</t>
        </is>
      </c>
    </row>
    <row r="2194">
      <c r="A2194" s="7" t="inlineStr">
        <is>
          <t>PSE</t>
        </is>
      </c>
      <c r="B2194" s="7" t="inlineStr">
        <is>
          <t>West Bank and Gaza</t>
        </is>
      </c>
      <c r="C2194" s="7" t="inlineStr">
        <is>
          <t>Middle East &amp; North Africa</t>
        </is>
      </c>
      <c r="D2194" s="7" t="inlineStr">
        <is>
          <t>Lower middle income</t>
        </is>
      </c>
      <c r="E2194" s="7" t="b">
        <v>1</v>
      </c>
      <c r="F2194" s="7" t="inlineStr">
        <is>
          <t>em_gas_mt</t>
        </is>
      </c>
      <c r="G2194" s="7" t="n">
        <v>0</v>
      </c>
      <c r="H2194" s="7" t="n">
        <v>2024</v>
      </c>
      <c r="I2194" s="7" t="inlineStr">
        <is>
          <t>release_generation_yearly_global.csv (Ember)</t>
        </is>
      </c>
    </row>
    <row r="2195">
      <c r="A2195" s="7" t="inlineStr">
        <is>
          <t>PSE</t>
        </is>
      </c>
      <c r="B2195" s="7" t="inlineStr">
        <is>
          <t>West Bank and Gaza</t>
        </is>
      </c>
      <c r="C2195" s="7" t="inlineStr">
        <is>
          <t>Middle East &amp; North Africa</t>
        </is>
      </c>
      <c r="D2195" s="7" t="inlineStr">
        <is>
          <t>Lower middle income</t>
        </is>
      </c>
      <c r="E2195" s="7" t="b">
        <v>1</v>
      </c>
      <c r="F2195" s="7" t="inlineStr">
        <is>
          <t>em_oil_mt</t>
        </is>
      </c>
      <c r="G2195" s="7" t="n">
        <v>0.395</v>
      </c>
      <c r="H2195" s="7" t="n">
        <v>2024</v>
      </c>
      <c r="I2195" s="7" t="inlineStr">
        <is>
          <t>release_generation_yearly_global.csv (Ember)</t>
        </is>
      </c>
    </row>
    <row r="2196">
      <c r="A2196" s="7" t="inlineStr">
        <is>
          <t>PSE</t>
        </is>
      </c>
      <c r="B2196" s="7" t="inlineStr">
        <is>
          <t>West Bank and Gaza</t>
        </is>
      </c>
      <c r="C2196" s="7" t="inlineStr">
        <is>
          <t>Middle East &amp; North Africa</t>
        </is>
      </c>
      <c r="D2196" s="7" t="inlineStr">
        <is>
          <t>Lower middle income</t>
        </is>
      </c>
      <c r="E2196" s="7" t="b">
        <v>1</v>
      </c>
      <c r="F2196" s="7" t="inlineStr">
        <is>
          <t>fuel_exports_pct_merch</t>
        </is>
      </c>
      <c r="G2196" s="7" t="n">
        <v>0.08599999999999999</v>
      </c>
      <c r="H2196" s="7" t="inlineStr">
        <is>
          <t>2023</t>
        </is>
      </c>
      <c r="I2196" s="7" t="inlineStr">
        <is>
          <t>API_TX_VAL_FUEL_ZS_UN_DS2_en_csv_v2_33055.zip</t>
        </is>
      </c>
    </row>
    <row r="2197">
      <c r="A2197" s="7" t="inlineStr">
        <is>
          <t>PSE</t>
        </is>
      </c>
      <c r="B2197" s="7" t="inlineStr">
        <is>
          <t>West Bank and Gaza</t>
        </is>
      </c>
      <c r="C2197" s="7" t="inlineStr">
        <is>
          <t>Middle East &amp; North Africa</t>
        </is>
      </c>
      <c r="D2197" s="7" t="inlineStr">
        <is>
          <t>Lower middle income</t>
        </is>
      </c>
      <c r="E2197" s="7" t="b">
        <v>1</v>
      </c>
      <c r="F2197" s="7" t="inlineStr">
        <is>
          <t>gen_coal_twh</t>
        </is>
      </c>
      <c r="G2197" s="7" t="n">
        <v>0</v>
      </c>
      <c r="H2197" s="7" t="n">
        <v>2024</v>
      </c>
      <c r="I2197" s="7" t="inlineStr">
        <is>
          <t>release_generation_yearly_global.csv (Ember)</t>
        </is>
      </c>
    </row>
    <row r="2198">
      <c r="A2198" s="7" t="inlineStr">
        <is>
          <t>PSE</t>
        </is>
      </c>
      <c r="B2198" s="7" t="inlineStr">
        <is>
          <t>West Bank and Gaza</t>
        </is>
      </c>
      <c r="C2198" s="7" t="inlineStr">
        <is>
          <t>Middle East &amp; North Africa</t>
        </is>
      </c>
      <c r="D2198" s="7" t="inlineStr">
        <is>
          <t>Lower middle income</t>
        </is>
      </c>
      <c r="E2198" s="7" t="b">
        <v>1</v>
      </c>
      <c r="F2198" s="7" t="inlineStr">
        <is>
          <t>gen_gas_twh</t>
        </is>
      </c>
      <c r="G2198" s="7" t="n">
        <v>0</v>
      </c>
      <c r="H2198" s="7" t="n">
        <v>2024</v>
      </c>
      <c r="I2198" s="7" t="inlineStr">
        <is>
          <t>release_generation_yearly_global.csv (Ember)</t>
        </is>
      </c>
    </row>
    <row r="2199">
      <c r="A2199" s="7" t="inlineStr">
        <is>
          <t>PSE</t>
        </is>
      </c>
      <c r="B2199" s="7" t="inlineStr">
        <is>
          <t>West Bank and Gaza</t>
        </is>
      </c>
      <c r="C2199" s="7" t="inlineStr">
        <is>
          <t>Middle East &amp; North Africa</t>
        </is>
      </c>
      <c r="D2199" s="7" t="inlineStr">
        <is>
          <t>Lower middle income</t>
        </is>
      </c>
      <c r="E2199" s="7" t="b">
        <v>1</v>
      </c>
      <c r="F2199" s="7" t="inlineStr">
        <is>
          <t>gen_oil_twh</t>
        </is>
      </c>
      <c r="G2199" s="7" t="n">
        <v>0.6</v>
      </c>
      <c r="H2199" s="7" t="n">
        <v>2024</v>
      </c>
      <c r="I2199" s="7" t="inlineStr">
        <is>
          <t>release_generation_yearly_global.csv (Ember)</t>
        </is>
      </c>
    </row>
    <row r="2200">
      <c r="A2200" s="7" t="inlineStr">
        <is>
          <t>PSE</t>
        </is>
      </c>
      <c r="B2200" s="7" t="inlineStr">
        <is>
          <t>West Bank and Gaza</t>
        </is>
      </c>
      <c r="C2200" s="7" t="inlineStr">
        <is>
          <t>Middle East &amp; North Africa</t>
        </is>
      </c>
      <c r="D2200" s="7" t="inlineStr">
        <is>
          <t>Lower middle income</t>
        </is>
      </c>
      <c r="E2200" s="7" t="b">
        <v>1</v>
      </c>
      <c r="F2200" s="7" t="inlineStr">
        <is>
          <t>gen_total_twh</t>
        </is>
      </c>
      <c r="G2200" s="7" t="n">
        <v>0.99</v>
      </c>
      <c r="H2200" s="7" t="n">
        <v>2024</v>
      </c>
      <c r="I2200" s="7" t="inlineStr">
        <is>
          <t>release_generation_yearly_global.csv (Ember)</t>
        </is>
      </c>
    </row>
    <row r="2201">
      <c r="A2201" s="7" t="inlineStr">
        <is>
          <t>PSE</t>
        </is>
      </c>
      <c r="B2201" s="7" t="inlineStr">
        <is>
          <t>West Bank and Gaza</t>
        </is>
      </c>
      <c r="C2201" s="7" t="inlineStr">
        <is>
          <t>Middle East &amp; North Africa</t>
        </is>
      </c>
      <c r="D2201" s="7" t="inlineStr">
        <is>
          <t>Lower middle income</t>
        </is>
      </c>
      <c r="E2201" s="7" t="b">
        <v>1</v>
      </c>
      <c r="F2201" s="7" t="inlineStr">
        <is>
          <t>rise_renewable_energy_score</t>
        </is>
      </c>
      <c r="G2201" s="7" t="n">
        <v>13.074</v>
      </c>
      <c r="H2201" s="7" t="inlineStr">
        <is>
          <t>2023</t>
        </is>
      </c>
      <c r="I2201" s="7" t="inlineStr">
        <is>
          <t>WB_RISE_WIDEF.csv</t>
        </is>
      </c>
    </row>
    <row r="2202">
      <c r="A2202" s="7" t="inlineStr">
        <is>
          <t>PYF</t>
        </is>
      </c>
      <c r="B2202" s="7" t="inlineStr">
        <is>
          <t>French Polynesia</t>
        </is>
      </c>
      <c r="C2202" s="7" t="inlineStr">
        <is>
          <t>East Asia &amp; Pacific</t>
        </is>
      </c>
      <c r="D2202" s="7" t="inlineStr">
        <is>
          <t>High income</t>
        </is>
      </c>
      <c r="E2202" s="7" t="b">
        <v>0</v>
      </c>
      <c r="F2202" s="7" t="inlineStr">
        <is>
          <t>coal_rents_pct_gdp</t>
        </is>
      </c>
      <c r="G2202" s="7" t="n">
        <v>0</v>
      </c>
      <c r="H2202" s="7" t="inlineStr">
        <is>
          <t>2021</t>
        </is>
      </c>
      <c r="I2202" s="7" t="inlineStr">
        <is>
          <t>API_NY_GDP_COAL_RT_ZS_DS2_en_csv_v2_35370.zip</t>
        </is>
      </c>
    </row>
    <row r="2203">
      <c r="A2203" s="7" t="inlineStr">
        <is>
          <t>PYF</t>
        </is>
      </c>
      <c r="B2203" s="7" t="inlineStr">
        <is>
          <t>French Polynesia</t>
        </is>
      </c>
      <c r="C2203" s="7" t="inlineStr">
        <is>
          <t>East Asia &amp; Pacific</t>
        </is>
      </c>
      <c r="D2203" s="7" t="inlineStr">
        <is>
          <t>High income</t>
        </is>
      </c>
      <c r="E2203" s="7" t="b">
        <v>0</v>
      </c>
      <c r="F2203" s="7" t="inlineStr">
        <is>
          <t>em_coal_mt</t>
        </is>
      </c>
      <c r="G2203" s="7" t="n">
        <v>0</v>
      </c>
      <c r="H2203" s="7" t="n">
        <v>2024</v>
      </c>
      <c r="I2203" s="7" t="inlineStr">
        <is>
          <t>release_generation_yearly_global.csv (Ember)</t>
        </is>
      </c>
    </row>
    <row r="2204">
      <c r="A2204" s="7" t="inlineStr">
        <is>
          <t>PYF</t>
        </is>
      </c>
      <c r="B2204" s="7" t="inlineStr">
        <is>
          <t>French Polynesia</t>
        </is>
      </c>
      <c r="C2204" s="7" t="inlineStr">
        <is>
          <t>East Asia &amp; Pacific</t>
        </is>
      </c>
      <c r="D2204" s="7" t="inlineStr">
        <is>
          <t>High income</t>
        </is>
      </c>
      <c r="E2204" s="7" t="b">
        <v>0</v>
      </c>
      <c r="F2204" s="7" t="inlineStr">
        <is>
          <t>em_gas_mt</t>
        </is>
      </c>
      <c r="G2204" s="7" t="n">
        <v>0</v>
      </c>
      <c r="H2204" s="7" t="n">
        <v>2024</v>
      </c>
      <c r="I2204" s="7" t="inlineStr">
        <is>
          <t>release_generation_yearly_global.csv (Ember)</t>
        </is>
      </c>
    </row>
    <row r="2205">
      <c r="A2205" s="7" t="inlineStr">
        <is>
          <t>PYF</t>
        </is>
      </c>
      <c r="B2205" s="7" t="inlineStr">
        <is>
          <t>French Polynesia</t>
        </is>
      </c>
      <c r="C2205" s="7" t="inlineStr">
        <is>
          <t>East Asia &amp; Pacific</t>
        </is>
      </c>
      <c r="D2205" s="7" t="inlineStr">
        <is>
          <t>High income</t>
        </is>
      </c>
      <c r="E2205" s="7" t="b">
        <v>0</v>
      </c>
      <c r="F2205" s="7" t="inlineStr">
        <is>
          <t>em_oil_mt</t>
        </is>
      </c>
      <c r="G2205" s="7" t="n">
        <v>0.309</v>
      </c>
      <c r="H2205" s="7" t="n">
        <v>2024</v>
      </c>
      <c r="I2205" s="7" t="inlineStr">
        <is>
          <t>release_generation_yearly_global.csv (Ember)</t>
        </is>
      </c>
    </row>
    <row r="2206">
      <c r="A2206" s="7" t="inlineStr">
        <is>
          <t>PYF</t>
        </is>
      </c>
      <c r="B2206" s="7" t="inlineStr">
        <is>
          <t>French Polynesia</t>
        </is>
      </c>
      <c r="C2206" s="7" t="inlineStr">
        <is>
          <t>East Asia &amp; Pacific</t>
        </is>
      </c>
      <c r="D2206" s="7" t="inlineStr">
        <is>
          <t>High income</t>
        </is>
      </c>
      <c r="E2206" s="7" t="b">
        <v>0</v>
      </c>
      <c r="F2206" s="7" t="inlineStr">
        <is>
          <t>fuel_exports_pct_merch</t>
        </is>
      </c>
      <c r="G2206" s="7" t="n">
        <v>0.035</v>
      </c>
      <c r="H2206" s="7" t="inlineStr">
        <is>
          <t>2022</t>
        </is>
      </c>
      <c r="I2206" s="7" t="inlineStr">
        <is>
          <t>API_TX_VAL_FUEL_ZS_UN_DS2_en_csv_v2_33055.zip</t>
        </is>
      </c>
    </row>
    <row r="2207">
      <c r="A2207" s="7" t="inlineStr">
        <is>
          <t>PYF</t>
        </is>
      </c>
      <c r="B2207" s="7" t="inlineStr">
        <is>
          <t>French Polynesia</t>
        </is>
      </c>
      <c r="C2207" s="7" t="inlineStr">
        <is>
          <t>East Asia &amp; Pacific</t>
        </is>
      </c>
      <c r="D2207" s="7" t="inlineStr">
        <is>
          <t>High income</t>
        </is>
      </c>
      <c r="E2207" s="7" t="b">
        <v>0</v>
      </c>
      <c r="F2207" s="7" t="inlineStr">
        <is>
          <t>gen_coal_twh</t>
        </is>
      </c>
      <c r="G2207" s="7" t="n">
        <v>0</v>
      </c>
      <c r="H2207" s="7" t="n">
        <v>2024</v>
      </c>
      <c r="I2207" s="7" t="inlineStr">
        <is>
          <t>release_generation_yearly_global.csv (Ember)</t>
        </is>
      </c>
    </row>
    <row r="2208">
      <c r="A2208" s="7" t="inlineStr">
        <is>
          <t>PYF</t>
        </is>
      </c>
      <c r="B2208" s="7" t="inlineStr">
        <is>
          <t>French Polynesia</t>
        </is>
      </c>
      <c r="C2208" s="7" t="inlineStr">
        <is>
          <t>East Asia &amp; Pacific</t>
        </is>
      </c>
      <c r="D2208" s="7" t="inlineStr">
        <is>
          <t>High income</t>
        </is>
      </c>
      <c r="E2208" s="7" t="b">
        <v>0</v>
      </c>
      <c r="F2208" s="7" t="inlineStr">
        <is>
          <t>gen_gas_twh</t>
        </is>
      </c>
      <c r="G2208" s="7" t="n">
        <v>0</v>
      </c>
      <c r="H2208" s="7" t="n">
        <v>2024</v>
      </c>
      <c r="I2208" s="7" t="inlineStr">
        <is>
          <t>release_generation_yearly_global.csv (Ember)</t>
        </is>
      </c>
    </row>
    <row r="2209">
      <c r="A2209" s="7" t="inlineStr">
        <is>
          <t>PYF</t>
        </is>
      </c>
      <c r="B2209" s="7" t="inlineStr">
        <is>
          <t>French Polynesia</t>
        </is>
      </c>
      <c r="C2209" s="7" t="inlineStr">
        <is>
          <t>East Asia &amp; Pacific</t>
        </is>
      </c>
      <c r="D2209" s="7" t="inlineStr">
        <is>
          <t>High income</t>
        </is>
      </c>
      <c r="E2209" s="7" t="b">
        <v>0</v>
      </c>
      <c r="F2209" s="7" t="inlineStr">
        <is>
          <t>gen_oil_twh</t>
        </is>
      </c>
      <c r="G2209" s="7" t="n">
        <v>0.47</v>
      </c>
      <c r="H2209" s="7" t="n">
        <v>2024</v>
      </c>
      <c r="I2209" s="7" t="inlineStr">
        <is>
          <t>release_generation_yearly_global.csv (Ember)</t>
        </is>
      </c>
    </row>
    <row r="2210">
      <c r="A2210" s="7" t="inlineStr">
        <is>
          <t>PYF</t>
        </is>
      </c>
      <c r="B2210" s="7" t="inlineStr">
        <is>
          <t>French Polynesia</t>
        </is>
      </c>
      <c r="C2210" s="7" t="inlineStr">
        <is>
          <t>East Asia &amp; Pacific</t>
        </is>
      </c>
      <c r="D2210" s="7" t="inlineStr">
        <is>
          <t>High income</t>
        </is>
      </c>
      <c r="E2210" s="7" t="b">
        <v>0</v>
      </c>
      <c r="F2210" s="7" t="inlineStr">
        <is>
          <t>gen_total_twh</t>
        </is>
      </c>
      <c r="G2210" s="7" t="n">
        <v>0.72</v>
      </c>
      <c r="H2210" s="7" t="n">
        <v>2024</v>
      </c>
      <c r="I2210" s="7" t="inlineStr">
        <is>
          <t>release_generation_yearly_global.csv (Ember)</t>
        </is>
      </c>
    </row>
    <row r="2211">
      <c r="A2211" s="7" t="inlineStr">
        <is>
          <t>QAT</t>
        </is>
      </c>
      <c r="B2211" s="7" t="inlineStr">
        <is>
          <t>Qatar</t>
        </is>
      </c>
      <c r="C2211" s="7" t="inlineStr">
        <is>
          <t>Middle East &amp; North Africa</t>
        </is>
      </c>
      <c r="D2211" s="7" t="inlineStr">
        <is>
          <t>High income</t>
        </is>
      </c>
      <c r="E2211" s="7" t="b">
        <v>0</v>
      </c>
      <c r="F2211" s="7" t="inlineStr">
        <is>
          <t>coal_rents_pct_gdp</t>
        </is>
      </c>
      <c r="G2211" s="7" t="n">
        <v>0</v>
      </c>
      <c r="H2211" s="7" t="inlineStr">
        <is>
          <t>2021</t>
        </is>
      </c>
      <c r="I2211" s="7" t="inlineStr">
        <is>
          <t>API_NY_GDP_COAL_RT_ZS_DS2_en_csv_v2_35370.zip</t>
        </is>
      </c>
    </row>
    <row r="2212">
      <c r="A2212" s="7" t="inlineStr">
        <is>
          <t>QAT</t>
        </is>
      </c>
      <c r="B2212" s="7" t="inlineStr">
        <is>
          <t>Qatar</t>
        </is>
      </c>
      <c r="C2212" s="7" t="inlineStr">
        <is>
          <t>Middle East &amp; North Africa</t>
        </is>
      </c>
      <c r="D2212" s="7" t="inlineStr">
        <is>
          <t>High income</t>
        </is>
      </c>
      <c r="E2212" s="7" t="b">
        <v>0</v>
      </c>
      <c r="F2212" s="7" t="inlineStr">
        <is>
          <t>em_coal_mt</t>
        </is>
      </c>
      <c r="G2212" s="7" t="n">
        <v>0</v>
      </c>
      <c r="H2212" s="7" t="n">
        <v>2024</v>
      </c>
      <c r="I2212" s="7" t="inlineStr">
        <is>
          <t>release_generation_yearly_global.csv (Ember)</t>
        </is>
      </c>
    </row>
    <row r="2213">
      <c r="A2213" s="7" t="inlineStr">
        <is>
          <t>QAT</t>
        </is>
      </c>
      <c r="B2213" s="7" t="inlineStr">
        <is>
          <t>Qatar</t>
        </is>
      </c>
      <c r="C2213" s="7" t="inlineStr">
        <is>
          <t>Middle East &amp; North Africa</t>
        </is>
      </c>
      <c r="D2213" s="7" t="inlineStr">
        <is>
          <t>High income</t>
        </is>
      </c>
      <c r="E2213" s="7" t="b">
        <v>0</v>
      </c>
      <c r="F2213" s="7" t="inlineStr">
        <is>
          <t>em_gas_mt</t>
        </is>
      </c>
      <c r="G2213" s="7" t="n">
        <v>32.84</v>
      </c>
      <c r="H2213" s="7" t="n">
        <v>2024</v>
      </c>
      <c r="I2213" s="7" t="inlineStr">
        <is>
          <t>release_generation_yearly_global.csv (Ember)</t>
        </is>
      </c>
    </row>
    <row r="2214">
      <c r="A2214" s="7" t="inlineStr">
        <is>
          <t>QAT</t>
        </is>
      </c>
      <c r="B2214" s="7" t="inlineStr">
        <is>
          <t>Qatar</t>
        </is>
      </c>
      <c r="C2214" s="7" t="inlineStr">
        <is>
          <t>Middle East &amp; North Africa</t>
        </is>
      </c>
      <c r="D2214" s="7" t="inlineStr">
        <is>
          <t>High income</t>
        </is>
      </c>
      <c r="E2214" s="7" t="b">
        <v>0</v>
      </c>
      <c r="F2214" s="7" t="inlineStr">
        <is>
          <t>em_oil_mt</t>
        </is>
      </c>
      <c r="G2214" s="7" t="n">
        <v>0</v>
      </c>
      <c r="H2214" s="7" t="n">
        <v>2024</v>
      </c>
      <c r="I2214" s="7" t="inlineStr">
        <is>
          <t>release_generation_yearly_global.csv (Ember)</t>
        </is>
      </c>
    </row>
    <row r="2215">
      <c r="A2215" s="7" t="inlineStr">
        <is>
          <t>QAT</t>
        </is>
      </c>
      <c r="B2215" s="7" t="inlineStr">
        <is>
          <t>Qatar</t>
        </is>
      </c>
      <c r="C2215" s="7" t="inlineStr">
        <is>
          <t>Middle East &amp; North Africa</t>
        </is>
      </c>
      <c r="D2215" s="7" t="inlineStr">
        <is>
          <t>High income</t>
        </is>
      </c>
      <c r="E2215" s="7" t="b">
        <v>0</v>
      </c>
      <c r="F2215" s="7" t="inlineStr">
        <is>
          <t>ff_subsidy_explicit_pct_gdp</t>
        </is>
      </c>
      <c r="G2215" s="7" t="n">
        <v>1.724</v>
      </c>
      <c r="H2215" s="7" t="inlineStr">
        <is>
          <t>2024</t>
        </is>
      </c>
      <c r="I2215" s="7" t="inlineStr">
        <is>
          <t>imffossilfuelsubsidiesdata.xlsb</t>
        </is>
      </c>
    </row>
    <row r="2216">
      <c r="A2216" s="7" t="inlineStr">
        <is>
          <t>QAT</t>
        </is>
      </c>
      <c r="B2216" s="7" t="inlineStr">
        <is>
          <t>Qatar</t>
        </is>
      </c>
      <c r="C2216" s="7" t="inlineStr">
        <is>
          <t>Middle East &amp; North Africa</t>
        </is>
      </c>
      <c r="D2216" s="7" t="inlineStr">
        <is>
          <t>High income</t>
        </is>
      </c>
      <c r="E2216" s="7" t="b">
        <v>0</v>
      </c>
      <c r="F2216" s="7" t="inlineStr">
        <is>
          <t>fuel_exports_pct_merch</t>
        </is>
      </c>
      <c r="G2216" s="7" t="n">
        <v>83.76000000000001</v>
      </c>
      <c r="H2216" s="7" t="inlineStr">
        <is>
          <t>2024</t>
        </is>
      </c>
      <c r="I2216" s="7" t="inlineStr">
        <is>
          <t>API_TX_VAL_FUEL_ZS_UN_DS2_en_csv_v2_33055.zip</t>
        </is>
      </c>
    </row>
    <row r="2217">
      <c r="A2217" s="7" t="inlineStr">
        <is>
          <t>QAT</t>
        </is>
      </c>
      <c r="B2217" s="7" t="inlineStr">
        <is>
          <t>Qatar</t>
        </is>
      </c>
      <c r="C2217" s="7" t="inlineStr">
        <is>
          <t>Middle East &amp; North Africa</t>
        </is>
      </c>
      <c r="D2217" s="7" t="inlineStr">
        <is>
          <t>High income</t>
        </is>
      </c>
      <c r="E2217" s="7" t="b">
        <v>0</v>
      </c>
      <c r="F2217" s="7" t="inlineStr">
        <is>
          <t>gen_coal_twh</t>
        </is>
      </c>
      <c r="G2217" s="7" t="n">
        <v>0</v>
      </c>
      <c r="H2217" s="7" t="n">
        <v>2024</v>
      </c>
      <c r="I2217" s="7" t="inlineStr">
        <is>
          <t>release_generation_yearly_global.csv (Ember)</t>
        </is>
      </c>
    </row>
    <row r="2218">
      <c r="A2218" s="7" t="inlineStr">
        <is>
          <t>QAT</t>
        </is>
      </c>
      <c r="B2218" s="7" t="inlineStr">
        <is>
          <t>Qatar</t>
        </is>
      </c>
      <c r="C2218" s="7" t="inlineStr">
        <is>
          <t>Middle East &amp; North Africa</t>
        </is>
      </c>
      <c r="D2218" s="7" t="inlineStr">
        <is>
          <t>High income</t>
        </is>
      </c>
      <c r="E2218" s="7" t="b">
        <v>0</v>
      </c>
      <c r="F2218" s="7" t="inlineStr">
        <is>
          <t>gen_gas_twh</t>
        </is>
      </c>
      <c r="G2218" s="7" t="n">
        <v>54.4</v>
      </c>
      <c r="H2218" s="7" t="n">
        <v>2024</v>
      </c>
      <c r="I2218" s="7" t="inlineStr">
        <is>
          <t>release_generation_yearly_global.csv (Ember)</t>
        </is>
      </c>
    </row>
    <row r="2219">
      <c r="A2219" s="7" t="inlineStr">
        <is>
          <t>QAT</t>
        </is>
      </c>
      <c r="B2219" s="7" t="inlineStr">
        <is>
          <t>Qatar</t>
        </is>
      </c>
      <c r="C2219" s="7" t="inlineStr">
        <is>
          <t>Middle East &amp; North Africa</t>
        </is>
      </c>
      <c r="D2219" s="7" t="inlineStr">
        <is>
          <t>High income</t>
        </is>
      </c>
      <c r="E2219" s="7" t="b">
        <v>0</v>
      </c>
      <c r="F2219" s="7" t="inlineStr">
        <is>
          <t>gen_oil_twh</t>
        </is>
      </c>
      <c r="G2219" s="7" t="n">
        <v>0</v>
      </c>
      <c r="H2219" s="7" t="n">
        <v>2024</v>
      </c>
      <c r="I2219" s="7" t="inlineStr">
        <is>
          <t>release_generation_yearly_global.csv (Ember)</t>
        </is>
      </c>
    </row>
    <row r="2220">
      <c r="A2220" s="7" t="inlineStr">
        <is>
          <t>QAT</t>
        </is>
      </c>
      <c r="B2220" s="7" t="inlineStr">
        <is>
          <t>Qatar</t>
        </is>
      </c>
      <c r="C2220" s="7" t="inlineStr">
        <is>
          <t>Middle East &amp; North Africa</t>
        </is>
      </c>
      <c r="D2220" s="7" t="inlineStr">
        <is>
          <t>High income</t>
        </is>
      </c>
      <c r="E2220" s="7" t="b">
        <v>0</v>
      </c>
      <c r="F2220" s="7" t="inlineStr">
        <is>
          <t>gen_total_twh</t>
        </is>
      </c>
      <c r="G2220" s="7" t="n">
        <v>56.68</v>
      </c>
      <c r="H2220" s="7" t="n">
        <v>2024</v>
      </c>
      <c r="I2220" s="7" t="inlineStr">
        <is>
          <t>release_generation_yearly_global.csv (Ember)</t>
        </is>
      </c>
    </row>
    <row r="2221">
      <c r="A2221" s="7" t="inlineStr">
        <is>
          <t>QAT</t>
        </is>
      </c>
      <c r="B2221" s="7" t="inlineStr">
        <is>
          <t>Qatar</t>
        </is>
      </c>
      <c r="C2221" s="7" t="inlineStr">
        <is>
          <t>Middle East &amp; North Africa</t>
        </is>
      </c>
      <c r="D2221" s="7" t="inlineStr">
        <is>
          <t>High income</t>
        </is>
      </c>
      <c r="E2221" s="7" t="b">
        <v>0</v>
      </c>
      <c r="F2221" s="7" t="inlineStr">
        <is>
          <t>power_market_structure</t>
        </is>
      </c>
      <c r="G2221" s="7" t="n">
        <v>3</v>
      </c>
      <c r="H2221" s="7" t="inlineStr">
        <is>
          <t>2013</t>
        </is>
      </c>
      <c r="I2221" s="7" t="inlineStr">
        <is>
          <t>dataverse_files.zip</t>
        </is>
      </c>
    </row>
    <row r="2222">
      <c r="A2222" s="7" t="inlineStr">
        <is>
          <t>QAT</t>
        </is>
      </c>
      <c r="B2222" s="7" t="inlineStr">
        <is>
          <t>Qatar</t>
        </is>
      </c>
      <c r="C2222" s="7" t="inlineStr">
        <is>
          <t>Middle East &amp; North Africa</t>
        </is>
      </c>
      <c r="D2222" s="7" t="inlineStr">
        <is>
          <t>High income</t>
        </is>
      </c>
      <c r="E2222" s="7" t="b">
        <v>0</v>
      </c>
      <c r="F2222" s="7" t="inlineStr">
        <is>
          <t>price_coal_power_usd_gj</t>
        </is>
      </c>
      <c r="G2222" s="7" t="n">
        <v>5.787</v>
      </c>
      <c r="H2222" s="7" t="inlineStr">
        <is>
          <t>2024</t>
        </is>
      </c>
      <c r="I2222" s="7" t="inlineStr">
        <is>
          <t>imffossilfuelsubsidiesdata.xlsb</t>
        </is>
      </c>
    </row>
    <row r="2223">
      <c r="A2223" s="7" t="inlineStr">
        <is>
          <t>QAT</t>
        </is>
      </c>
      <c r="B2223" s="7" t="inlineStr">
        <is>
          <t>Qatar</t>
        </is>
      </c>
      <c r="C2223" s="7" t="inlineStr">
        <is>
          <t>Middle East &amp; North Africa</t>
        </is>
      </c>
      <c r="D2223" s="7" t="inlineStr">
        <is>
          <t>High income</t>
        </is>
      </c>
      <c r="E2223" s="7" t="b">
        <v>0</v>
      </c>
      <c r="F2223" s="7" t="inlineStr">
        <is>
          <t>price_electricity_residential_usd_kwh</t>
        </is>
      </c>
      <c r="G2223" s="7" t="n">
        <v>0.038</v>
      </c>
      <c r="H2223" s="7" t="inlineStr">
        <is>
          <t>2024</t>
        </is>
      </c>
      <c r="I2223" s="7" t="inlineStr">
        <is>
          <t>imffossilfuelsubsidiesdata.xlsb</t>
        </is>
      </c>
    </row>
    <row r="2224">
      <c r="A2224" s="7" t="inlineStr">
        <is>
          <t>QAT</t>
        </is>
      </c>
      <c r="B2224" s="7" t="inlineStr">
        <is>
          <t>Qatar</t>
        </is>
      </c>
      <c r="C2224" s="7" t="inlineStr">
        <is>
          <t>Middle East &amp; North Africa</t>
        </is>
      </c>
      <c r="D2224" s="7" t="inlineStr">
        <is>
          <t>High income</t>
        </is>
      </c>
      <c r="E2224" s="7" t="b">
        <v>0</v>
      </c>
      <c r="F2224" s="7" t="inlineStr">
        <is>
          <t>price_gas_industry_usd_gj</t>
        </is>
      </c>
      <c r="G2224" s="7" t="n">
        <v>1.073</v>
      </c>
      <c r="H2224" s="7" t="inlineStr">
        <is>
          <t>2024</t>
        </is>
      </c>
      <c r="I2224" s="7" t="inlineStr">
        <is>
          <t>imffossilfuelsubsidiesdata.xlsb</t>
        </is>
      </c>
    </row>
    <row r="2225">
      <c r="A2225" s="7" t="inlineStr">
        <is>
          <t>QAT</t>
        </is>
      </c>
      <c r="B2225" s="7" t="inlineStr">
        <is>
          <t>Qatar</t>
        </is>
      </c>
      <c r="C2225" s="7" t="inlineStr">
        <is>
          <t>Middle East &amp; North Africa</t>
        </is>
      </c>
      <c r="D2225" s="7" t="inlineStr">
        <is>
          <t>High income</t>
        </is>
      </c>
      <c r="E2225" s="7" t="b">
        <v>0</v>
      </c>
      <c r="F2225" s="7" t="inlineStr">
        <is>
          <t>price_gas_power_usd_gj</t>
        </is>
      </c>
      <c r="G2225" s="7" t="n">
        <v>1.073</v>
      </c>
      <c r="H2225" s="7" t="inlineStr">
        <is>
          <t>2024</t>
        </is>
      </c>
      <c r="I2225" s="7" t="inlineStr">
        <is>
          <t>imffossilfuelsubsidiesdata.xlsb</t>
        </is>
      </c>
    </row>
    <row r="2226">
      <c r="A2226" s="7" t="inlineStr">
        <is>
          <t>QAT</t>
        </is>
      </c>
      <c r="B2226" s="7" t="inlineStr">
        <is>
          <t>Qatar</t>
        </is>
      </c>
      <c r="C2226" s="7" t="inlineStr">
        <is>
          <t>Middle East &amp; North Africa</t>
        </is>
      </c>
      <c r="D2226" s="7" t="inlineStr">
        <is>
          <t>High income</t>
        </is>
      </c>
      <c r="E2226" s="7" t="b">
        <v>0</v>
      </c>
      <c r="F2226" s="7" t="inlineStr">
        <is>
          <t>rise_renewable_energy_score</t>
        </is>
      </c>
      <c r="G2226" s="7" t="n">
        <v>24.32</v>
      </c>
      <c r="H2226" s="7" t="inlineStr">
        <is>
          <t>2023</t>
        </is>
      </c>
      <c r="I2226" s="7" t="inlineStr">
        <is>
          <t>WB_RISE_WIDEF.csv</t>
        </is>
      </c>
    </row>
    <row r="2227">
      <c r="A2227" s="7" t="inlineStr">
        <is>
          <t>ROU</t>
        </is>
      </c>
      <c r="B2227" s="7" t="inlineStr">
        <is>
          <t>Romania</t>
        </is>
      </c>
      <c r="C2227" s="7" t="inlineStr">
        <is>
          <t>Europe &amp; Central Asia</t>
        </is>
      </c>
      <c r="D2227" s="7" t="inlineStr">
        <is>
          <t>High income</t>
        </is>
      </c>
      <c r="E2227" s="7" t="b">
        <v>1</v>
      </c>
      <c r="F2227" s="7" t="inlineStr">
        <is>
          <t>coal_rents_pct_gdp</t>
        </is>
      </c>
      <c r="G2227" s="7" t="n">
        <v>0.024</v>
      </c>
      <c r="H2227" s="7" t="inlineStr">
        <is>
          <t>2021</t>
        </is>
      </c>
      <c r="I2227" s="7" t="inlineStr">
        <is>
          <t>API_NY_GDP_COAL_RT_ZS_DS2_en_csv_v2_35370.zip</t>
        </is>
      </c>
    </row>
    <row r="2228">
      <c r="A2228" s="7" t="inlineStr">
        <is>
          <t>ROU</t>
        </is>
      </c>
      <c r="B2228" s="7" t="inlineStr">
        <is>
          <t>Romania</t>
        </is>
      </c>
      <c r="C2228" s="7" t="inlineStr">
        <is>
          <t>Europe &amp; Central Asia</t>
        </is>
      </c>
      <c r="D2228" s="7" t="inlineStr">
        <is>
          <t>High income</t>
        </is>
      </c>
      <c r="E2228" s="7" t="b">
        <v>1</v>
      </c>
      <c r="F2228" s="7" t="inlineStr">
        <is>
          <t>em_coal_mt</t>
        </is>
      </c>
      <c r="G2228" s="7" t="n">
        <v>8.084</v>
      </c>
      <c r="H2228" s="7" t="n">
        <v>2024</v>
      </c>
      <c r="I2228" s="7" t="inlineStr">
        <is>
          <t>release_generation_yearly_global.csv (Ember)</t>
        </is>
      </c>
    </row>
    <row r="2229">
      <c r="A2229" s="7" t="inlineStr">
        <is>
          <t>ROU</t>
        </is>
      </c>
      <c r="B2229" s="7" t="inlineStr">
        <is>
          <t>Romania</t>
        </is>
      </c>
      <c r="C2229" s="7" t="inlineStr">
        <is>
          <t>Europe &amp; Central Asia</t>
        </is>
      </c>
      <c r="D2229" s="7" t="inlineStr">
        <is>
          <t>High income</t>
        </is>
      </c>
      <c r="E2229" s="7" t="b">
        <v>1</v>
      </c>
      <c r="F2229" s="7" t="inlineStr">
        <is>
          <t>em_gas_mt</t>
        </is>
      </c>
      <c r="G2229" s="7" t="n">
        <v>4.755</v>
      </c>
      <c r="H2229" s="7" t="n">
        <v>2024</v>
      </c>
      <c r="I2229" s="7" t="inlineStr">
        <is>
          <t>release_generation_yearly_global.csv (Ember)</t>
        </is>
      </c>
    </row>
    <row r="2230">
      <c r="A2230" s="7" t="inlineStr">
        <is>
          <t>ROU</t>
        </is>
      </c>
      <c r="B2230" s="7" t="inlineStr">
        <is>
          <t>Romania</t>
        </is>
      </c>
      <c r="C2230" s="7" t="inlineStr">
        <is>
          <t>Europe &amp; Central Asia</t>
        </is>
      </c>
      <c r="D2230" s="7" t="inlineStr">
        <is>
          <t>High income</t>
        </is>
      </c>
      <c r="E2230" s="7" t="b">
        <v>1</v>
      </c>
      <c r="F2230" s="7" t="inlineStr">
        <is>
          <t>em_oil_mt</t>
        </is>
      </c>
      <c r="G2230" s="7" t="n">
        <v>0.118</v>
      </c>
      <c r="H2230" s="7" t="n">
        <v>2024</v>
      </c>
      <c r="I2230" s="7" t="inlineStr">
        <is>
          <t>release_generation_yearly_global.csv (Ember)</t>
        </is>
      </c>
    </row>
    <row r="2231">
      <c r="A2231" s="7" t="inlineStr">
        <is>
          <t>ROU</t>
        </is>
      </c>
      <c r="B2231" s="7" t="inlineStr">
        <is>
          <t>Romania</t>
        </is>
      </c>
      <c r="C2231" s="7" t="inlineStr">
        <is>
          <t>Europe &amp; Central Asia</t>
        </is>
      </c>
      <c r="D2231" s="7" t="inlineStr">
        <is>
          <t>High income</t>
        </is>
      </c>
      <c r="E2231" s="7" t="b">
        <v>1</v>
      </c>
      <c r="F2231" s="7" t="inlineStr">
        <is>
          <t>ff_subsidy_explicit_pct_gdp</t>
        </is>
      </c>
      <c r="G2231" s="7" t="n">
        <v>0.368</v>
      </c>
      <c r="H2231" s="7" t="inlineStr">
        <is>
          <t>2024</t>
        </is>
      </c>
      <c r="I2231" s="7" t="inlineStr">
        <is>
          <t>imffossilfuelsubsidiesdata.xlsb</t>
        </is>
      </c>
    </row>
    <row r="2232">
      <c r="A2232" s="7" t="inlineStr">
        <is>
          <t>ROU</t>
        </is>
      </c>
      <c r="B2232" s="7" t="inlineStr">
        <is>
          <t>Romania</t>
        </is>
      </c>
      <c r="C2232" s="7" t="inlineStr">
        <is>
          <t>Europe &amp; Central Asia</t>
        </is>
      </c>
      <c r="D2232" s="7" t="inlineStr">
        <is>
          <t>High income</t>
        </is>
      </c>
      <c r="E2232" s="7" t="b">
        <v>1</v>
      </c>
      <c r="F2232" s="7" t="inlineStr">
        <is>
          <t>fuel_exports_pct_merch</t>
        </is>
      </c>
      <c r="G2232" s="7" t="n">
        <v>4.876</v>
      </c>
      <c r="H2232" s="7" t="inlineStr">
        <is>
          <t>2024</t>
        </is>
      </c>
      <c r="I2232" s="7" t="inlineStr">
        <is>
          <t>API_TX_VAL_FUEL_ZS_UN_DS2_en_csv_v2_33055.zip</t>
        </is>
      </c>
    </row>
    <row r="2233">
      <c r="A2233" s="7" t="inlineStr">
        <is>
          <t>ROU</t>
        </is>
      </c>
      <c r="B2233" s="7" t="inlineStr">
        <is>
          <t>Romania</t>
        </is>
      </c>
      <c r="C2233" s="7" t="inlineStr">
        <is>
          <t>Europe &amp; Central Asia</t>
        </is>
      </c>
      <c r="D2233" s="7" t="inlineStr">
        <is>
          <t>High income</t>
        </is>
      </c>
      <c r="E2233" s="7" t="b">
        <v>1</v>
      </c>
      <c r="F2233" s="7" t="inlineStr">
        <is>
          <t>gen_coal_twh</t>
        </is>
      </c>
      <c r="G2233" s="7" t="n">
        <v>7.96</v>
      </c>
      <c r="H2233" s="7" t="n">
        <v>2024</v>
      </c>
      <c r="I2233" s="7" t="inlineStr">
        <is>
          <t>release_generation_yearly_global.csv (Ember)</t>
        </is>
      </c>
    </row>
    <row r="2234">
      <c r="A2234" s="7" t="inlineStr">
        <is>
          <t>ROU</t>
        </is>
      </c>
      <c r="B2234" s="7" t="inlineStr">
        <is>
          <t>Romania</t>
        </is>
      </c>
      <c r="C2234" s="7" t="inlineStr">
        <is>
          <t>Europe &amp; Central Asia</t>
        </is>
      </c>
      <c r="D2234" s="7" t="inlineStr">
        <is>
          <t>High income</t>
        </is>
      </c>
      <c r="E2234" s="7" t="b">
        <v>1</v>
      </c>
      <c r="F2234" s="7" t="inlineStr">
        <is>
          <t>gen_gas_twh</t>
        </is>
      </c>
      <c r="G2234" s="7" t="n">
        <v>9.15</v>
      </c>
      <c r="H2234" s="7" t="n">
        <v>2024</v>
      </c>
      <c r="I2234" s="7" t="inlineStr">
        <is>
          <t>release_generation_yearly_global.csv (Ember)</t>
        </is>
      </c>
    </row>
    <row r="2235">
      <c r="A2235" s="7" t="inlineStr">
        <is>
          <t>ROU</t>
        </is>
      </c>
      <c r="B2235" s="7" t="inlineStr">
        <is>
          <t>Romania</t>
        </is>
      </c>
      <c r="C2235" s="7" t="inlineStr">
        <is>
          <t>Europe &amp; Central Asia</t>
        </is>
      </c>
      <c r="D2235" s="7" t="inlineStr">
        <is>
          <t>High income</t>
        </is>
      </c>
      <c r="E2235" s="7" t="b">
        <v>1</v>
      </c>
      <c r="F2235" s="7" t="inlineStr">
        <is>
          <t>gen_oil_twh</t>
        </is>
      </c>
      <c r="G2235" s="7" t="n">
        <v>0.18</v>
      </c>
      <c r="H2235" s="7" t="n">
        <v>2024</v>
      </c>
      <c r="I2235" s="7" t="inlineStr">
        <is>
          <t>release_generation_yearly_global.csv (Ember)</t>
        </is>
      </c>
    </row>
    <row r="2236">
      <c r="A2236" s="7" t="inlineStr">
        <is>
          <t>ROU</t>
        </is>
      </c>
      <c r="B2236" s="7" t="inlineStr">
        <is>
          <t>Romania</t>
        </is>
      </c>
      <c r="C2236" s="7" t="inlineStr">
        <is>
          <t>Europe &amp; Central Asia</t>
        </is>
      </c>
      <c r="D2236" s="7" t="inlineStr">
        <is>
          <t>High income</t>
        </is>
      </c>
      <c r="E2236" s="7" t="b">
        <v>1</v>
      </c>
      <c r="F2236" s="7" t="inlineStr">
        <is>
          <t>gen_total_twh</t>
        </is>
      </c>
      <c r="G2236" s="7" t="n">
        <v>52.72</v>
      </c>
      <c r="H2236" s="7" t="n">
        <v>2024</v>
      </c>
      <c r="I2236" s="7" t="inlineStr">
        <is>
          <t>release_generation_yearly_global.csv (Ember)</t>
        </is>
      </c>
    </row>
    <row r="2237">
      <c r="A2237" s="7" t="inlineStr">
        <is>
          <t>ROU</t>
        </is>
      </c>
      <c r="B2237" s="7" t="inlineStr">
        <is>
          <t>Romania</t>
        </is>
      </c>
      <c r="C2237" s="7" t="inlineStr">
        <is>
          <t>Europe &amp; Central Asia</t>
        </is>
      </c>
      <c r="D2237" s="7" t="inlineStr">
        <is>
          <t>High income</t>
        </is>
      </c>
      <c r="E2237" s="7" t="b">
        <v>1</v>
      </c>
      <c r="F2237" s="7" t="inlineStr">
        <is>
          <t>power_market_structure</t>
        </is>
      </c>
      <c r="G2237" s="7" t="n">
        <v>3</v>
      </c>
      <c r="H2237" s="7" t="inlineStr">
        <is>
          <t>2013</t>
        </is>
      </c>
      <c r="I2237" s="7" t="inlineStr">
        <is>
          <t>dataverse_files.zip</t>
        </is>
      </c>
    </row>
    <row r="2238">
      <c r="A2238" s="7" t="inlineStr">
        <is>
          <t>ROU</t>
        </is>
      </c>
      <c r="B2238" s="7" t="inlineStr">
        <is>
          <t>Romania</t>
        </is>
      </c>
      <c r="C2238" s="7" t="inlineStr">
        <is>
          <t>Europe &amp; Central Asia</t>
        </is>
      </c>
      <c r="D2238" s="7" t="inlineStr">
        <is>
          <t>High income</t>
        </is>
      </c>
      <c r="E2238" s="7" t="b">
        <v>1</v>
      </c>
      <c r="F2238" s="7" t="inlineStr">
        <is>
          <t>price_coal_power_usd_gj</t>
        </is>
      </c>
      <c r="G2238" s="7" t="n">
        <v>9.377000000000001</v>
      </c>
      <c r="H2238" s="7" t="inlineStr">
        <is>
          <t>2024</t>
        </is>
      </c>
      <c r="I2238" s="7" t="inlineStr">
        <is>
          <t>imffossilfuelsubsidiesdata.xlsb</t>
        </is>
      </c>
    </row>
    <row r="2239">
      <c r="A2239" s="7" t="inlineStr">
        <is>
          <t>ROU</t>
        </is>
      </c>
      <c r="B2239" s="7" t="inlineStr">
        <is>
          <t>Romania</t>
        </is>
      </c>
      <c r="C2239" s="7" t="inlineStr">
        <is>
          <t>Europe &amp; Central Asia</t>
        </is>
      </c>
      <c r="D2239" s="7" t="inlineStr">
        <is>
          <t>High income</t>
        </is>
      </c>
      <c r="E2239" s="7" t="b">
        <v>1</v>
      </c>
      <c r="F2239" s="7" t="inlineStr">
        <is>
          <t>price_electricity_residential_usd_kwh</t>
        </is>
      </c>
      <c r="G2239" s="7" t="n">
        <v>0.203</v>
      </c>
      <c r="H2239" s="7" t="inlineStr">
        <is>
          <t>2024</t>
        </is>
      </c>
      <c r="I2239" s="7" t="inlineStr">
        <is>
          <t>imffossilfuelsubsidiesdata.xlsb</t>
        </is>
      </c>
    </row>
    <row r="2240">
      <c r="A2240" s="7" t="inlineStr">
        <is>
          <t>ROU</t>
        </is>
      </c>
      <c r="B2240" s="7" t="inlineStr">
        <is>
          <t>Romania</t>
        </is>
      </c>
      <c r="C2240" s="7" t="inlineStr">
        <is>
          <t>Europe &amp; Central Asia</t>
        </is>
      </c>
      <c r="D2240" s="7" t="inlineStr">
        <is>
          <t>High income</t>
        </is>
      </c>
      <c r="E2240" s="7" t="b">
        <v>1</v>
      </c>
      <c r="F2240" s="7" t="inlineStr">
        <is>
          <t>price_gas_industry_usd_gj</t>
        </is>
      </c>
      <c r="G2240" s="7" t="n">
        <v>18.49</v>
      </c>
      <c r="H2240" s="7" t="inlineStr">
        <is>
          <t>2024</t>
        </is>
      </c>
      <c r="I2240" s="7" t="inlineStr">
        <is>
          <t>imffossilfuelsubsidiesdata.xlsb</t>
        </is>
      </c>
    </row>
    <row r="2241">
      <c r="A2241" s="7" t="inlineStr">
        <is>
          <t>ROU</t>
        </is>
      </c>
      <c r="B2241" s="7" t="inlineStr">
        <is>
          <t>Romania</t>
        </is>
      </c>
      <c r="C2241" s="7" t="inlineStr">
        <is>
          <t>Europe &amp; Central Asia</t>
        </is>
      </c>
      <c r="D2241" s="7" t="inlineStr">
        <is>
          <t>High income</t>
        </is>
      </c>
      <c r="E2241" s="7" t="b">
        <v>1</v>
      </c>
      <c r="F2241" s="7" t="inlineStr">
        <is>
          <t>price_gas_power_usd_gj</t>
        </is>
      </c>
      <c r="G2241" s="7" t="n">
        <v>18.49</v>
      </c>
      <c r="H2241" s="7" t="inlineStr">
        <is>
          <t>2024</t>
        </is>
      </c>
      <c r="I2241" s="7" t="inlineStr">
        <is>
          <t>imffossilfuelsubsidiesdata.xlsb</t>
        </is>
      </c>
    </row>
    <row r="2242">
      <c r="A2242" s="7" t="inlineStr">
        <is>
          <t>ROU</t>
        </is>
      </c>
      <c r="B2242" s="7" t="inlineStr">
        <is>
          <t>Romania</t>
        </is>
      </c>
      <c r="C2242" s="7" t="inlineStr">
        <is>
          <t>Europe &amp; Central Asia</t>
        </is>
      </c>
      <c r="D2242" s="7" t="inlineStr">
        <is>
          <t>High income</t>
        </is>
      </c>
      <c r="E2242" s="7" t="b">
        <v>1</v>
      </c>
      <c r="F2242" s="7" t="inlineStr">
        <is>
          <t>rise_renewable_energy_score</t>
        </is>
      </c>
      <c r="G2242" s="7" t="n">
        <v>65.77800000000001</v>
      </c>
      <c r="H2242" s="7" t="inlineStr">
        <is>
          <t>2023</t>
        </is>
      </c>
      <c r="I2242" s="7" t="inlineStr">
        <is>
          <t>WB_RISE_WIDEF.csv</t>
        </is>
      </c>
    </row>
    <row r="2243">
      <c r="A2243" s="7" t="inlineStr">
        <is>
          <t>RUS</t>
        </is>
      </c>
      <c r="B2243" s="7" t="inlineStr">
        <is>
          <t>Russian Federation</t>
        </is>
      </c>
      <c r="C2243" s="7" t="inlineStr">
        <is>
          <t>Europe &amp; Central Asia</t>
        </is>
      </c>
      <c r="D2243" s="7" t="inlineStr">
        <is>
          <t>High income</t>
        </is>
      </c>
      <c r="E2243" s="7" t="b">
        <v>0</v>
      </c>
      <c r="F2243" s="7" t="inlineStr">
        <is>
          <t>coal_rents_pct_gdp</t>
        </is>
      </c>
      <c r="G2243" s="7" t="n">
        <v>0.613</v>
      </c>
      <c r="H2243" s="7" t="inlineStr">
        <is>
          <t>2021</t>
        </is>
      </c>
      <c r="I2243" s="7" t="inlineStr">
        <is>
          <t>API_NY_GDP_COAL_RT_ZS_DS2_en_csv_v2_35370.zip</t>
        </is>
      </c>
    </row>
    <row r="2244">
      <c r="A2244" s="7" t="inlineStr">
        <is>
          <t>RUS</t>
        </is>
      </c>
      <c r="B2244" s="7" t="inlineStr">
        <is>
          <t>Russian Federation</t>
        </is>
      </c>
      <c r="C2244" s="7" t="inlineStr">
        <is>
          <t>Europe &amp; Central Asia</t>
        </is>
      </c>
      <c r="D2244" s="7" t="inlineStr">
        <is>
          <t>High income</t>
        </is>
      </c>
      <c r="E2244" s="7" t="b">
        <v>0</v>
      </c>
      <c r="F2244" s="7" t="inlineStr">
        <is>
          <t>em_coal_mt</t>
        </is>
      </c>
      <c r="G2244" s="7" t="n">
        <v>208.164</v>
      </c>
      <c r="H2244" s="7" t="n">
        <v>2024</v>
      </c>
      <c r="I2244" s="7" t="inlineStr">
        <is>
          <t>release_generation_yearly_global.csv (Ember)</t>
        </is>
      </c>
    </row>
    <row r="2245">
      <c r="A2245" s="7" t="inlineStr">
        <is>
          <t>RUS</t>
        </is>
      </c>
      <c r="B2245" s="7" t="inlineStr">
        <is>
          <t>Russian Federation</t>
        </is>
      </c>
      <c r="C2245" s="7" t="inlineStr">
        <is>
          <t>Europe &amp; Central Asia</t>
        </is>
      </c>
      <c r="D2245" s="7" t="inlineStr">
        <is>
          <t>High income</t>
        </is>
      </c>
      <c r="E2245" s="7" t="b">
        <v>0</v>
      </c>
      <c r="F2245" s="7" t="inlineStr">
        <is>
          <t>em_gas_mt</t>
        </is>
      </c>
      <c r="G2245" s="7" t="n">
        <v>315.703</v>
      </c>
      <c r="H2245" s="7" t="n">
        <v>2024</v>
      </c>
      <c r="I2245" s="7" t="inlineStr">
        <is>
          <t>release_generation_yearly_global.csv (Ember)</t>
        </is>
      </c>
    </row>
    <row r="2246">
      <c r="A2246" s="7" t="inlineStr">
        <is>
          <t>RUS</t>
        </is>
      </c>
      <c r="B2246" s="7" t="inlineStr">
        <is>
          <t>Russian Federation</t>
        </is>
      </c>
      <c r="C2246" s="7" t="inlineStr">
        <is>
          <t>Europe &amp; Central Asia</t>
        </is>
      </c>
      <c r="D2246" s="7" t="inlineStr">
        <is>
          <t>High income</t>
        </is>
      </c>
      <c r="E2246" s="7" t="b">
        <v>0</v>
      </c>
      <c r="F2246" s="7" t="inlineStr">
        <is>
          <t>em_oil_mt</t>
        </is>
      </c>
      <c r="G2246" s="7" t="n">
        <v>9.074</v>
      </c>
      <c r="H2246" s="7" t="n">
        <v>2024</v>
      </c>
      <c r="I2246" s="7" t="inlineStr">
        <is>
          <t>release_generation_yearly_global.csv (Ember)</t>
        </is>
      </c>
    </row>
    <row r="2247">
      <c r="A2247" s="7" t="inlineStr">
        <is>
          <t>RUS</t>
        </is>
      </c>
      <c r="B2247" s="7" t="inlineStr">
        <is>
          <t>Russian Federation</t>
        </is>
      </c>
      <c r="C2247" s="7" t="inlineStr">
        <is>
          <t>Europe &amp; Central Asia</t>
        </is>
      </c>
      <c r="D2247" s="7" t="inlineStr">
        <is>
          <t>High income</t>
        </is>
      </c>
      <c r="E2247" s="7" t="b">
        <v>0</v>
      </c>
      <c r="F2247" s="7" t="inlineStr">
        <is>
          <t>ff_subsidy_explicit_pct_gdp</t>
        </is>
      </c>
      <c r="G2247" s="7" t="n">
        <v>3.712</v>
      </c>
      <c r="H2247" s="7" t="inlineStr">
        <is>
          <t>2024</t>
        </is>
      </c>
      <c r="I2247" s="7" t="inlineStr">
        <is>
          <t>imffossilfuelsubsidiesdata.xlsb</t>
        </is>
      </c>
    </row>
    <row r="2248">
      <c r="A2248" s="7" t="inlineStr">
        <is>
          <t>RUS</t>
        </is>
      </c>
      <c r="B2248" s="7" t="inlineStr">
        <is>
          <t>Russian Federation</t>
        </is>
      </c>
      <c r="C2248" s="7" t="inlineStr">
        <is>
          <t>Europe &amp; Central Asia</t>
        </is>
      </c>
      <c r="D2248" s="7" t="inlineStr">
        <is>
          <t>High income</t>
        </is>
      </c>
      <c r="E2248" s="7" t="b">
        <v>0</v>
      </c>
      <c r="F2248" s="7" t="inlineStr">
        <is>
          <t>fuel_exports_pct_merch</t>
        </is>
      </c>
      <c r="G2248" s="7" t="n">
        <v>43.147</v>
      </c>
      <c r="H2248" s="7" t="inlineStr">
        <is>
          <t>2021</t>
        </is>
      </c>
      <c r="I2248" s="7" t="inlineStr">
        <is>
          <t>API_TX_VAL_FUEL_ZS_UN_DS2_en_csv_v2_33055.zip</t>
        </is>
      </c>
    </row>
    <row r="2249">
      <c r="A2249" s="7" t="inlineStr">
        <is>
          <t>RUS</t>
        </is>
      </c>
      <c r="B2249" s="7" t="inlineStr">
        <is>
          <t>Russian Federation</t>
        </is>
      </c>
      <c r="C2249" s="7" t="inlineStr">
        <is>
          <t>Europe &amp; Central Asia</t>
        </is>
      </c>
      <c r="D2249" s="7" t="inlineStr">
        <is>
          <t>High income</t>
        </is>
      </c>
      <c r="E2249" s="7" t="b">
        <v>0</v>
      </c>
      <c r="F2249" s="7" t="inlineStr">
        <is>
          <t>gen_coal_twh</t>
        </is>
      </c>
      <c r="G2249" s="7" t="n">
        <v>215.17</v>
      </c>
      <c r="H2249" s="7" t="n">
        <v>2024</v>
      </c>
      <c r="I2249" s="7" t="inlineStr">
        <is>
          <t>release_generation_yearly_global.csv (Ember)</t>
        </is>
      </c>
    </row>
    <row r="2250">
      <c r="A2250" s="7" t="inlineStr">
        <is>
          <t>RUS</t>
        </is>
      </c>
      <c r="B2250" s="7" t="inlineStr">
        <is>
          <t>Russian Federation</t>
        </is>
      </c>
      <c r="C2250" s="7" t="inlineStr">
        <is>
          <t>Europe &amp; Central Asia</t>
        </is>
      </c>
      <c r="D2250" s="7" t="inlineStr">
        <is>
          <t>High income</t>
        </is>
      </c>
      <c r="E2250" s="7" t="b">
        <v>0</v>
      </c>
      <c r="F2250" s="7" t="inlineStr">
        <is>
          <t>gen_gas_twh</t>
        </is>
      </c>
      <c r="G2250" s="7" t="n">
        <v>545.78</v>
      </c>
      <c r="H2250" s="7" t="n">
        <v>2024</v>
      </c>
      <c r="I2250" s="7" t="inlineStr">
        <is>
          <t>release_generation_yearly_global.csv (Ember)</t>
        </is>
      </c>
    </row>
    <row r="2251">
      <c r="A2251" s="7" t="inlineStr">
        <is>
          <t>RUS</t>
        </is>
      </c>
      <c r="B2251" s="7" t="inlineStr">
        <is>
          <t>Russian Federation</t>
        </is>
      </c>
      <c r="C2251" s="7" t="inlineStr">
        <is>
          <t>Europe &amp; Central Asia</t>
        </is>
      </c>
      <c r="D2251" s="7" t="inlineStr">
        <is>
          <t>High income</t>
        </is>
      </c>
      <c r="E2251" s="7" t="b">
        <v>0</v>
      </c>
      <c r="F2251" s="7" t="inlineStr">
        <is>
          <t>gen_oil_twh</t>
        </is>
      </c>
      <c r="G2251" s="7" t="n">
        <v>13.79</v>
      </c>
      <c r="H2251" s="7" t="n">
        <v>2024</v>
      </c>
      <c r="I2251" s="7" t="inlineStr">
        <is>
          <t>release_generation_yearly_global.csv (Ember)</t>
        </is>
      </c>
    </row>
    <row r="2252">
      <c r="A2252" s="7" t="inlineStr">
        <is>
          <t>RUS</t>
        </is>
      </c>
      <c r="B2252" s="7" t="inlineStr">
        <is>
          <t>Russian Federation</t>
        </is>
      </c>
      <c r="C2252" s="7" t="inlineStr">
        <is>
          <t>Europe &amp; Central Asia</t>
        </is>
      </c>
      <c r="D2252" s="7" t="inlineStr">
        <is>
          <t>High income</t>
        </is>
      </c>
      <c r="E2252" s="7" t="b">
        <v>0</v>
      </c>
      <c r="F2252" s="7" t="inlineStr">
        <is>
          <t>gen_total_twh</t>
        </is>
      </c>
      <c r="G2252" s="7" t="n">
        <v>1209.31</v>
      </c>
      <c r="H2252" s="7" t="n">
        <v>2024</v>
      </c>
      <c r="I2252" s="7" t="inlineStr">
        <is>
          <t>release_generation_yearly_global.csv (Ember)</t>
        </is>
      </c>
    </row>
    <row r="2253">
      <c r="A2253" s="7" t="inlineStr">
        <is>
          <t>RUS</t>
        </is>
      </c>
      <c r="B2253" s="7" t="inlineStr">
        <is>
          <t>Russian Federation</t>
        </is>
      </c>
      <c r="C2253" s="7" t="inlineStr">
        <is>
          <t>Europe &amp; Central Asia</t>
        </is>
      </c>
      <c r="D2253" s="7" t="inlineStr">
        <is>
          <t>High income</t>
        </is>
      </c>
      <c r="E2253" s="7" t="b">
        <v>0</v>
      </c>
      <c r="F2253" s="7" t="inlineStr">
        <is>
          <t>power_market_structure</t>
        </is>
      </c>
      <c r="G2253" s="7" t="n">
        <v>3</v>
      </c>
      <c r="H2253" s="7" t="inlineStr">
        <is>
          <t>2013</t>
        </is>
      </c>
      <c r="I2253" s="7" t="inlineStr">
        <is>
          <t>dataverse_files.zip</t>
        </is>
      </c>
    </row>
    <row r="2254">
      <c r="A2254" s="7" t="inlineStr">
        <is>
          <t>RUS</t>
        </is>
      </c>
      <c r="B2254" s="7" t="inlineStr">
        <is>
          <t>Russian Federation</t>
        </is>
      </c>
      <c r="C2254" s="7" t="inlineStr">
        <is>
          <t>Europe &amp; Central Asia</t>
        </is>
      </c>
      <c r="D2254" s="7" t="inlineStr">
        <is>
          <t>High income</t>
        </is>
      </c>
      <c r="E2254" s="7" t="b">
        <v>0</v>
      </c>
      <c r="F2254" s="7" t="inlineStr">
        <is>
          <t>price_coal_power_usd_gj</t>
        </is>
      </c>
      <c r="G2254" s="7" t="n">
        <v>1.38</v>
      </c>
      <c r="H2254" s="7" t="inlineStr">
        <is>
          <t>2024</t>
        </is>
      </c>
      <c r="I2254" s="7" t="inlineStr">
        <is>
          <t>imffossilfuelsubsidiesdata.xlsb</t>
        </is>
      </c>
    </row>
    <row r="2255">
      <c r="A2255" s="7" t="inlineStr">
        <is>
          <t>RUS</t>
        </is>
      </c>
      <c r="B2255" s="7" t="inlineStr">
        <is>
          <t>Russian Federation</t>
        </is>
      </c>
      <c r="C2255" s="7" t="inlineStr">
        <is>
          <t>Europe &amp; Central Asia</t>
        </is>
      </c>
      <c r="D2255" s="7" t="inlineStr">
        <is>
          <t>High income</t>
        </is>
      </c>
      <c r="E2255" s="7" t="b">
        <v>0</v>
      </c>
      <c r="F2255" s="7" t="inlineStr">
        <is>
          <t>price_electricity_residential_usd_kwh</t>
        </is>
      </c>
      <c r="G2255" s="7" t="n">
        <v>0.043</v>
      </c>
      <c r="H2255" s="7" t="inlineStr">
        <is>
          <t>2024</t>
        </is>
      </c>
      <c r="I2255" s="7" t="inlineStr">
        <is>
          <t>imffossilfuelsubsidiesdata.xlsb</t>
        </is>
      </c>
    </row>
    <row r="2256">
      <c r="A2256" s="7" t="inlineStr">
        <is>
          <t>RUS</t>
        </is>
      </c>
      <c r="B2256" s="7" t="inlineStr">
        <is>
          <t>Russian Federation</t>
        </is>
      </c>
      <c r="C2256" s="7" t="inlineStr">
        <is>
          <t>Europe &amp; Central Asia</t>
        </is>
      </c>
      <c r="D2256" s="7" t="inlineStr">
        <is>
          <t>High income</t>
        </is>
      </c>
      <c r="E2256" s="7" t="b">
        <v>0</v>
      </c>
      <c r="F2256" s="7" t="inlineStr">
        <is>
          <t>price_gas_industry_usd_gj</t>
        </is>
      </c>
      <c r="G2256" s="7" t="n">
        <v>2.35</v>
      </c>
      <c r="H2256" s="7" t="inlineStr">
        <is>
          <t>2024</t>
        </is>
      </c>
      <c r="I2256" s="7" t="inlineStr">
        <is>
          <t>imffossilfuelsubsidiesdata.xlsb</t>
        </is>
      </c>
    </row>
    <row r="2257">
      <c r="A2257" s="7" t="inlineStr">
        <is>
          <t>RUS</t>
        </is>
      </c>
      <c r="B2257" s="7" t="inlineStr">
        <is>
          <t>Russian Federation</t>
        </is>
      </c>
      <c r="C2257" s="7" t="inlineStr">
        <is>
          <t>Europe &amp; Central Asia</t>
        </is>
      </c>
      <c r="D2257" s="7" t="inlineStr">
        <is>
          <t>High income</t>
        </is>
      </c>
      <c r="E2257" s="7" t="b">
        <v>0</v>
      </c>
      <c r="F2257" s="7" t="inlineStr">
        <is>
          <t>price_gas_power_usd_gj</t>
        </is>
      </c>
      <c r="G2257" s="7" t="n">
        <v>2.35</v>
      </c>
      <c r="H2257" s="7" t="inlineStr">
        <is>
          <t>2024</t>
        </is>
      </c>
      <c r="I2257" s="7" t="inlineStr">
        <is>
          <t>imffossilfuelsubsidiesdata.xlsb</t>
        </is>
      </c>
    </row>
    <row r="2258">
      <c r="A2258" s="7" t="inlineStr">
        <is>
          <t>RUS</t>
        </is>
      </c>
      <c r="B2258" s="7" t="inlineStr">
        <is>
          <t>Russian Federation</t>
        </is>
      </c>
      <c r="C2258" s="7" t="inlineStr">
        <is>
          <t>Europe &amp; Central Asia</t>
        </is>
      </c>
      <c r="D2258" s="7" t="inlineStr">
        <is>
          <t>High income</t>
        </is>
      </c>
      <c r="E2258" s="7" t="b">
        <v>0</v>
      </c>
      <c r="F2258" s="7" t="inlineStr">
        <is>
          <t>rise_renewable_energy_score</t>
        </is>
      </c>
      <c r="G2258" s="7" t="n">
        <v>29.593</v>
      </c>
      <c r="H2258" s="7" t="inlineStr">
        <is>
          <t>2023</t>
        </is>
      </c>
      <c r="I2258" s="7" t="inlineStr">
        <is>
          <t>WB_RISE_WIDEF.csv</t>
        </is>
      </c>
    </row>
    <row r="2259">
      <c r="A2259" s="7" t="inlineStr">
        <is>
          <t>RWA</t>
        </is>
      </c>
      <c r="B2259" s="7" t="inlineStr">
        <is>
          <t>Rwanda</t>
        </is>
      </c>
      <c r="C2259" s="7" t="inlineStr">
        <is>
          <t>Sub-Saharan Africa</t>
        </is>
      </c>
      <c r="D2259" s="7" t="inlineStr">
        <is>
          <t>Low income</t>
        </is>
      </c>
      <c r="E2259" s="7" t="b">
        <v>1</v>
      </c>
      <c r="F2259" s="7" t="inlineStr">
        <is>
          <t>coal_rents_pct_gdp</t>
        </is>
      </c>
      <c r="G2259" s="7" t="n">
        <v>0</v>
      </c>
      <c r="H2259" s="7" t="inlineStr">
        <is>
          <t>2021</t>
        </is>
      </c>
      <c r="I2259" s="7" t="inlineStr">
        <is>
          <t>API_NY_GDP_COAL_RT_ZS_DS2_en_csv_v2_35370.zip</t>
        </is>
      </c>
    </row>
    <row r="2260">
      <c r="A2260" s="7" t="inlineStr">
        <is>
          <t>RWA</t>
        </is>
      </c>
      <c r="B2260" s="7" t="inlineStr">
        <is>
          <t>Rwanda</t>
        </is>
      </c>
      <c r="C2260" s="7" t="inlineStr">
        <is>
          <t>Sub-Saharan Africa</t>
        </is>
      </c>
      <c r="D2260" s="7" t="inlineStr">
        <is>
          <t>Low income</t>
        </is>
      </c>
      <c r="E2260" s="7" t="b">
        <v>1</v>
      </c>
      <c r="F2260" s="7" t="inlineStr">
        <is>
          <t>em_coal_mt</t>
        </is>
      </c>
      <c r="G2260" s="7" t="n">
        <v>0.154</v>
      </c>
      <c r="H2260" s="7" t="n">
        <v>2024</v>
      </c>
      <c r="I2260" s="7" t="inlineStr">
        <is>
          <t>release_generation_yearly_global.csv (Ember)</t>
        </is>
      </c>
    </row>
    <row r="2261">
      <c r="A2261" s="7" t="inlineStr">
        <is>
          <t>RWA</t>
        </is>
      </c>
      <c r="B2261" s="7" t="inlineStr">
        <is>
          <t>Rwanda</t>
        </is>
      </c>
      <c r="C2261" s="7" t="inlineStr">
        <is>
          <t>Sub-Saharan Africa</t>
        </is>
      </c>
      <c r="D2261" s="7" t="inlineStr">
        <is>
          <t>Low income</t>
        </is>
      </c>
      <c r="E2261" s="7" t="b">
        <v>1</v>
      </c>
      <c r="F2261" s="7" t="inlineStr">
        <is>
          <t>em_gas_mt</t>
        </is>
      </c>
      <c r="G2261" s="7" t="n">
        <v>0.175</v>
      </c>
      <c r="H2261" s="7" t="n">
        <v>2024</v>
      </c>
      <c r="I2261" s="7" t="inlineStr">
        <is>
          <t>release_generation_yearly_global.csv (Ember)</t>
        </is>
      </c>
    </row>
    <row r="2262">
      <c r="A2262" s="7" t="inlineStr">
        <is>
          <t>RWA</t>
        </is>
      </c>
      <c r="B2262" s="7" t="inlineStr">
        <is>
          <t>Rwanda</t>
        </is>
      </c>
      <c r="C2262" s="7" t="inlineStr">
        <is>
          <t>Sub-Saharan Africa</t>
        </is>
      </c>
      <c r="D2262" s="7" t="inlineStr">
        <is>
          <t>Low income</t>
        </is>
      </c>
      <c r="E2262" s="7" t="b">
        <v>1</v>
      </c>
      <c r="F2262" s="7" t="inlineStr">
        <is>
          <t>em_oil_mt</t>
        </is>
      </c>
      <c r="G2262" s="7" t="n">
        <v>0.066</v>
      </c>
      <c r="H2262" s="7" t="n">
        <v>2024</v>
      </c>
      <c r="I2262" s="7" t="inlineStr">
        <is>
          <t>release_generation_yearly_global.csv (Ember)</t>
        </is>
      </c>
    </row>
    <row r="2263">
      <c r="A2263" s="7" t="inlineStr">
        <is>
          <t>RWA</t>
        </is>
      </c>
      <c r="B2263" s="7" t="inlineStr">
        <is>
          <t>Rwanda</t>
        </is>
      </c>
      <c r="C2263" s="7" t="inlineStr">
        <is>
          <t>Sub-Saharan Africa</t>
        </is>
      </c>
      <c r="D2263" s="7" t="inlineStr">
        <is>
          <t>Low income</t>
        </is>
      </c>
      <c r="E2263" s="7" t="b">
        <v>1</v>
      </c>
      <c r="F2263" s="7" t="inlineStr">
        <is>
          <t>ff_subsidy_explicit_pct_gdp</t>
        </is>
      </c>
      <c r="G2263" s="7" t="n">
        <v>0.1</v>
      </c>
      <c r="H2263" s="7" t="inlineStr">
        <is>
          <t>2024</t>
        </is>
      </c>
      <c r="I2263" s="7" t="inlineStr">
        <is>
          <t>imffossilfuelsubsidiesdata.xlsb</t>
        </is>
      </c>
    </row>
    <row r="2264">
      <c r="A2264" s="7" t="inlineStr">
        <is>
          <t>RWA</t>
        </is>
      </c>
      <c r="B2264" s="7" t="inlineStr">
        <is>
          <t>Rwanda</t>
        </is>
      </c>
      <c r="C2264" s="7" t="inlineStr">
        <is>
          <t>Sub-Saharan Africa</t>
        </is>
      </c>
      <c r="D2264" s="7" t="inlineStr">
        <is>
          <t>Low income</t>
        </is>
      </c>
      <c r="E2264" s="7" t="b">
        <v>1</v>
      </c>
      <c r="F2264" s="7" t="inlineStr">
        <is>
          <t>fuel_exports_pct_merch</t>
        </is>
      </c>
      <c r="G2264" s="7" t="n">
        <v>0.063</v>
      </c>
      <c r="H2264" s="7" t="inlineStr">
        <is>
          <t>2022</t>
        </is>
      </c>
      <c r="I2264" s="7" t="inlineStr">
        <is>
          <t>API_TX_VAL_FUEL_ZS_UN_DS2_en_csv_v2_33055.zip</t>
        </is>
      </c>
    </row>
    <row r="2265">
      <c r="A2265" s="7" t="inlineStr">
        <is>
          <t>RWA</t>
        </is>
      </c>
      <c r="B2265" s="7" t="inlineStr">
        <is>
          <t>Rwanda</t>
        </is>
      </c>
      <c r="C2265" s="7" t="inlineStr">
        <is>
          <t>Sub-Saharan Africa</t>
        </is>
      </c>
      <c r="D2265" s="7" t="inlineStr">
        <is>
          <t>Low income</t>
        </is>
      </c>
      <c r="E2265" s="7" t="b">
        <v>1</v>
      </c>
      <c r="F2265" s="7" t="inlineStr">
        <is>
          <t>gen_coal_twh</t>
        </is>
      </c>
      <c r="G2265" s="7" t="n">
        <v>0.17</v>
      </c>
      <c r="H2265" s="7" t="n">
        <v>2024</v>
      </c>
      <c r="I2265" s="7" t="inlineStr">
        <is>
          <t>release_generation_yearly_global.csv (Ember)</t>
        </is>
      </c>
    </row>
    <row r="2266">
      <c r="A2266" s="7" t="inlineStr">
        <is>
          <t>RWA</t>
        </is>
      </c>
      <c r="B2266" s="7" t="inlineStr">
        <is>
          <t>Rwanda</t>
        </is>
      </c>
      <c r="C2266" s="7" t="inlineStr">
        <is>
          <t>Sub-Saharan Africa</t>
        </is>
      </c>
      <c r="D2266" s="7" t="inlineStr">
        <is>
          <t>Low income</t>
        </is>
      </c>
      <c r="E2266" s="7" t="b">
        <v>1</v>
      </c>
      <c r="F2266" s="7" t="inlineStr">
        <is>
          <t>gen_gas_twh</t>
        </is>
      </c>
      <c r="G2266" s="7" t="n">
        <v>0.3</v>
      </c>
      <c r="H2266" s="7" t="n">
        <v>2024</v>
      </c>
      <c r="I2266" s="7" t="inlineStr">
        <is>
          <t>release_generation_yearly_global.csv (Ember)</t>
        </is>
      </c>
    </row>
    <row r="2267">
      <c r="A2267" s="7" t="inlineStr">
        <is>
          <t>RWA</t>
        </is>
      </c>
      <c r="B2267" s="7" t="inlineStr">
        <is>
          <t>Rwanda</t>
        </is>
      </c>
      <c r="C2267" s="7" t="inlineStr">
        <is>
          <t>Sub-Saharan Africa</t>
        </is>
      </c>
      <c r="D2267" s="7" t="inlineStr">
        <is>
          <t>Low income</t>
        </is>
      </c>
      <c r="E2267" s="7" t="b">
        <v>1</v>
      </c>
      <c r="F2267" s="7" t="inlineStr">
        <is>
          <t>gen_oil_twh</t>
        </is>
      </c>
      <c r="G2267" s="7" t="n">
        <v>0.1</v>
      </c>
      <c r="H2267" s="7" t="n">
        <v>2024</v>
      </c>
      <c r="I2267" s="7" t="inlineStr">
        <is>
          <t>release_generation_yearly_global.csv (Ember)</t>
        </is>
      </c>
    </row>
    <row r="2268">
      <c r="A2268" s="7" t="inlineStr">
        <is>
          <t>RWA</t>
        </is>
      </c>
      <c r="B2268" s="7" t="inlineStr">
        <is>
          <t>Rwanda</t>
        </is>
      </c>
      <c r="C2268" s="7" t="inlineStr">
        <is>
          <t>Sub-Saharan Africa</t>
        </is>
      </c>
      <c r="D2268" s="7" t="inlineStr">
        <is>
          <t>Low income</t>
        </is>
      </c>
      <c r="E2268" s="7" t="b">
        <v>1</v>
      </c>
      <c r="F2268" s="7" t="inlineStr">
        <is>
          <t>gen_total_twh</t>
        </is>
      </c>
      <c r="G2268" s="7" t="n">
        <v>1.13</v>
      </c>
      <c r="H2268" s="7" t="n">
        <v>2024</v>
      </c>
      <c r="I2268" s="7" t="inlineStr">
        <is>
          <t>release_generation_yearly_global.csv (Ember)</t>
        </is>
      </c>
    </row>
    <row r="2269">
      <c r="A2269" s="7" t="inlineStr">
        <is>
          <t>RWA</t>
        </is>
      </c>
      <c r="B2269" s="7" t="inlineStr">
        <is>
          <t>Rwanda</t>
        </is>
      </c>
      <c r="C2269" s="7" t="inlineStr">
        <is>
          <t>Sub-Saharan Africa</t>
        </is>
      </c>
      <c r="D2269" s="7" t="inlineStr">
        <is>
          <t>Low income</t>
        </is>
      </c>
      <c r="E2269" s="7" t="b">
        <v>1</v>
      </c>
      <c r="F2269" s="7" t="inlineStr">
        <is>
          <t>power_market_structure</t>
        </is>
      </c>
      <c r="G2269" s="7" t="n">
        <v>1</v>
      </c>
      <c r="H2269" s="7" t="inlineStr">
        <is>
          <t>2013</t>
        </is>
      </c>
      <c r="I2269" s="7" t="inlineStr">
        <is>
          <t>dataverse_files.zip</t>
        </is>
      </c>
    </row>
    <row r="2270">
      <c r="A2270" s="7" t="inlineStr">
        <is>
          <t>RWA</t>
        </is>
      </c>
      <c r="B2270" s="7" t="inlineStr">
        <is>
          <t>Rwanda</t>
        </is>
      </c>
      <c r="C2270" s="7" t="inlineStr">
        <is>
          <t>Sub-Saharan Africa</t>
        </is>
      </c>
      <c r="D2270" s="7" t="inlineStr">
        <is>
          <t>Low income</t>
        </is>
      </c>
      <c r="E2270" s="7" t="b">
        <v>1</v>
      </c>
      <c r="F2270" s="7" t="inlineStr">
        <is>
          <t>price_coal_power_usd_gj</t>
        </is>
      </c>
      <c r="G2270" s="7" t="n">
        <v>4.268</v>
      </c>
      <c r="H2270" s="7" t="inlineStr">
        <is>
          <t>2024</t>
        </is>
      </c>
      <c r="I2270" s="7" t="inlineStr">
        <is>
          <t>imffossilfuelsubsidiesdata.xlsb</t>
        </is>
      </c>
    </row>
    <row r="2271">
      <c r="A2271" s="7" t="inlineStr">
        <is>
          <t>RWA</t>
        </is>
      </c>
      <c r="B2271" s="7" t="inlineStr">
        <is>
          <t>Rwanda</t>
        </is>
      </c>
      <c r="C2271" s="7" t="inlineStr">
        <is>
          <t>Sub-Saharan Africa</t>
        </is>
      </c>
      <c r="D2271" s="7" t="inlineStr">
        <is>
          <t>Low income</t>
        </is>
      </c>
      <c r="E2271" s="7" t="b">
        <v>1</v>
      </c>
      <c r="F2271" s="7" t="inlineStr">
        <is>
          <t>price_electricity_residential_usd_kwh</t>
        </is>
      </c>
      <c r="G2271" s="7" t="n">
        <v>0.165</v>
      </c>
      <c r="H2271" s="7" t="inlineStr">
        <is>
          <t>2024</t>
        </is>
      </c>
      <c r="I2271" s="7" t="inlineStr">
        <is>
          <t>imffossilfuelsubsidiesdata.xlsb</t>
        </is>
      </c>
    </row>
    <row r="2272">
      <c r="A2272" s="7" t="inlineStr">
        <is>
          <t>RWA</t>
        </is>
      </c>
      <c r="B2272" s="7" t="inlineStr">
        <is>
          <t>Rwanda</t>
        </is>
      </c>
      <c r="C2272" s="7" t="inlineStr">
        <is>
          <t>Sub-Saharan Africa</t>
        </is>
      </c>
      <c r="D2272" s="7" t="inlineStr">
        <is>
          <t>Low income</t>
        </is>
      </c>
      <c r="E2272" s="7" t="b">
        <v>1</v>
      </c>
      <c r="F2272" s="7" t="inlineStr">
        <is>
          <t>price_gas_industry_usd_gj</t>
        </is>
      </c>
      <c r="G2272" s="7" t="n">
        <v>6.161</v>
      </c>
      <c r="H2272" s="7" t="inlineStr">
        <is>
          <t>2024</t>
        </is>
      </c>
      <c r="I2272" s="7" t="inlineStr">
        <is>
          <t>imffossilfuelsubsidiesdata.xlsb</t>
        </is>
      </c>
    </row>
    <row r="2273">
      <c r="A2273" s="7" t="inlineStr">
        <is>
          <t>RWA</t>
        </is>
      </c>
      <c r="B2273" s="7" t="inlineStr">
        <is>
          <t>Rwanda</t>
        </is>
      </c>
      <c r="C2273" s="7" t="inlineStr">
        <is>
          <t>Sub-Saharan Africa</t>
        </is>
      </c>
      <c r="D2273" s="7" t="inlineStr">
        <is>
          <t>Low income</t>
        </is>
      </c>
      <c r="E2273" s="7" t="b">
        <v>1</v>
      </c>
      <c r="F2273" s="7" t="inlineStr">
        <is>
          <t>price_gas_power_usd_gj</t>
        </is>
      </c>
      <c r="G2273" s="7" t="n">
        <v>6.161</v>
      </c>
      <c r="H2273" s="7" t="inlineStr">
        <is>
          <t>2024</t>
        </is>
      </c>
      <c r="I2273" s="7" t="inlineStr">
        <is>
          <t>imffossilfuelsubsidiesdata.xlsb</t>
        </is>
      </c>
    </row>
    <row r="2274">
      <c r="A2274" s="7" t="inlineStr">
        <is>
          <t>RWA</t>
        </is>
      </c>
      <c r="B2274" s="7" t="inlineStr">
        <is>
          <t>Rwanda</t>
        </is>
      </c>
      <c r="C2274" s="7" t="inlineStr">
        <is>
          <t>Sub-Saharan Africa</t>
        </is>
      </c>
      <c r="D2274" s="7" t="inlineStr">
        <is>
          <t>Low income</t>
        </is>
      </c>
      <c r="E2274" s="7" t="b">
        <v>1</v>
      </c>
      <c r="F2274" s="7" t="inlineStr">
        <is>
          <t>rise_renewable_energy_score</t>
        </is>
      </c>
      <c r="G2274" s="7" t="n">
        <v>47.063</v>
      </c>
      <c r="H2274" s="7" t="inlineStr">
        <is>
          <t>2023</t>
        </is>
      </c>
      <c r="I2274" s="7" t="inlineStr">
        <is>
          <t>WB_RISE_WIDEF.csv</t>
        </is>
      </c>
    </row>
    <row r="2275">
      <c r="A2275" s="7" t="inlineStr">
        <is>
          <t>SAU</t>
        </is>
      </c>
      <c r="B2275" s="7" t="inlineStr">
        <is>
          <t>Saudi Arabia</t>
        </is>
      </c>
      <c r="C2275" s="7" t="inlineStr">
        <is>
          <t>Middle East &amp; North Africa</t>
        </is>
      </c>
      <c r="D2275" s="7" t="inlineStr">
        <is>
          <t>High income</t>
        </is>
      </c>
      <c r="E2275" s="7" t="b">
        <v>0</v>
      </c>
      <c r="F2275" s="7" t="inlineStr">
        <is>
          <t>coal_rents_pct_gdp</t>
        </is>
      </c>
      <c r="G2275" s="7" t="n">
        <v>0</v>
      </c>
      <c r="H2275" s="7" t="inlineStr">
        <is>
          <t>2021</t>
        </is>
      </c>
      <c r="I2275" s="7" t="inlineStr">
        <is>
          <t>API_NY_GDP_COAL_RT_ZS_DS2_en_csv_v2_35370.zip</t>
        </is>
      </c>
    </row>
    <row r="2276">
      <c r="A2276" s="7" t="inlineStr">
        <is>
          <t>SAU</t>
        </is>
      </c>
      <c r="B2276" s="7" t="inlineStr">
        <is>
          <t>Saudi Arabia</t>
        </is>
      </c>
      <c r="C2276" s="7" t="inlineStr">
        <is>
          <t>Middle East &amp; North Africa</t>
        </is>
      </c>
      <c r="D2276" s="7" t="inlineStr">
        <is>
          <t>High income</t>
        </is>
      </c>
      <c r="E2276" s="7" t="b">
        <v>0</v>
      </c>
      <c r="F2276" s="7" t="inlineStr">
        <is>
          <t>em_coal_mt</t>
        </is>
      </c>
      <c r="G2276" s="7" t="n">
        <v>0</v>
      </c>
      <c r="H2276" s="7" t="n">
        <v>2024</v>
      </c>
      <c r="I2276" s="7" t="inlineStr">
        <is>
          <t>release_generation_yearly_global.csv (Ember)</t>
        </is>
      </c>
    </row>
    <row r="2277">
      <c r="A2277" s="7" t="inlineStr">
        <is>
          <t>SAU</t>
        </is>
      </c>
      <c r="B2277" s="7" t="inlineStr">
        <is>
          <t>Saudi Arabia</t>
        </is>
      </c>
      <c r="C2277" s="7" t="inlineStr">
        <is>
          <t>Middle East &amp; North Africa</t>
        </is>
      </c>
      <c r="D2277" s="7" t="inlineStr">
        <is>
          <t>High income</t>
        </is>
      </c>
      <c r="E2277" s="7" t="b">
        <v>0</v>
      </c>
      <c r="F2277" s="7" t="inlineStr">
        <is>
          <t>em_gas_mt</t>
        </is>
      </c>
      <c r="G2277" s="7" t="n">
        <v>210.98</v>
      </c>
      <c r="H2277" s="7" t="n">
        <v>2024</v>
      </c>
      <c r="I2277" s="7" t="inlineStr">
        <is>
          <t>release_generation_yearly_global.csv (Ember)</t>
        </is>
      </c>
    </row>
    <row r="2278">
      <c r="A2278" s="7" t="inlineStr">
        <is>
          <t>SAU</t>
        </is>
      </c>
      <c r="B2278" s="7" t="inlineStr">
        <is>
          <t>Saudi Arabia</t>
        </is>
      </c>
      <c r="C2278" s="7" t="inlineStr">
        <is>
          <t>Middle East &amp; North Africa</t>
        </is>
      </c>
      <c r="D2278" s="7" t="inlineStr">
        <is>
          <t>High income</t>
        </is>
      </c>
      <c r="E2278" s="7" t="b">
        <v>0</v>
      </c>
      <c r="F2278" s="7" t="inlineStr">
        <is>
          <t>em_oil_mt</t>
        </is>
      </c>
      <c r="G2278" s="7" t="n">
        <v>103.201</v>
      </c>
      <c r="H2278" s="7" t="n">
        <v>2024</v>
      </c>
      <c r="I2278" s="7" t="inlineStr">
        <is>
          <t>release_generation_yearly_global.csv (Ember)</t>
        </is>
      </c>
    </row>
    <row r="2279">
      <c r="A2279" s="7" t="inlineStr">
        <is>
          <t>SAU</t>
        </is>
      </c>
      <c r="B2279" s="7" t="inlineStr">
        <is>
          <t>Saudi Arabia</t>
        </is>
      </c>
      <c r="C2279" s="7" t="inlineStr">
        <is>
          <t>Middle East &amp; North Africa</t>
        </is>
      </c>
      <c r="D2279" s="7" t="inlineStr">
        <is>
          <t>High income</t>
        </is>
      </c>
      <c r="E2279" s="7" t="b">
        <v>0</v>
      </c>
      <c r="F2279" s="7" t="inlineStr">
        <is>
          <t>ff_subsidy_explicit_pct_gdp</t>
        </is>
      </c>
      <c r="G2279" s="7" t="n">
        <v>4.58</v>
      </c>
      <c r="H2279" s="7" t="inlineStr">
        <is>
          <t>2024</t>
        </is>
      </c>
      <c r="I2279" s="7" t="inlineStr">
        <is>
          <t>imffossilfuelsubsidiesdata.xlsb</t>
        </is>
      </c>
    </row>
    <row r="2280">
      <c r="A2280" s="7" t="inlineStr">
        <is>
          <t>SAU</t>
        </is>
      </c>
      <c r="B2280" s="7" t="inlineStr">
        <is>
          <t>Saudi Arabia</t>
        </is>
      </c>
      <c r="C2280" s="7" t="inlineStr">
        <is>
          <t>Middle East &amp; North Africa</t>
        </is>
      </c>
      <c r="D2280" s="7" t="inlineStr">
        <is>
          <t>High income</t>
        </is>
      </c>
      <c r="E2280" s="7" t="b">
        <v>0</v>
      </c>
      <c r="F2280" s="7" t="inlineStr">
        <is>
          <t>fuel_exports_pct_merch</t>
        </is>
      </c>
      <c r="G2280" s="7" t="n">
        <v>79.398</v>
      </c>
      <c r="H2280" s="7" t="inlineStr">
        <is>
          <t>2024</t>
        </is>
      </c>
      <c r="I2280" s="7" t="inlineStr">
        <is>
          <t>API_TX_VAL_FUEL_ZS_UN_DS2_en_csv_v2_33055.zip</t>
        </is>
      </c>
    </row>
    <row r="2281">
      <c r="A2281" s="7" t="inlineStr">
        <is>
          <t>SAU</t>
        </is>
      </c>
      <c r="B2281" s="7" t="inlineStr">
        <is>
          <t>Saudi Arabia</t>
        </is>
      </c>
      <c r="C2281" s="7" t="inlineStr">
        <is>
          <t>Middle East &amp; North Africa</t>
        </is>
      </c>
      <c r="D2281" s="7" t="inlineStr">
        <is>
          <t>High income</t>
        </is>
      </c>
      <c r="E2281" s="7" t="b">
        <v>0</v>
      </c>
      <c r="F2281" s="7" t="inlineStr">
        <is>
          <t>gen_coal_twh</t>
        </is>
      </c>
      <c r="G2281" s="7" t="n">
        <v>0</v>
      </c>
      <c r="H2281" s="7" t="n">
        <v>2024</v>
      </c>
      <c r="I2281" s="7" t="inlineStr">
        <is>
          <t>release_generation_yearly_global.csv (Ember)</t>
        </is>
      </c>
    </row>
    <row r="2282">
      <c r="A2282" s="7" t="inlineStr">
        <is>
          <t>SAU</t>
        </is>
      </c>
      <c r="B2282" s="7" t="inlineStr">
        <is>
          <t>Saudi Arabia</t>
        </is>
      </c>
      <c r="C2282" s="7" t="inlineStr">
        <is>
          <t>Middle East &amp; North Africa</t>
        </is>
      </c>
      <c r="D2282" s="7" t="inlineStr">
        <is>
          <t>High income</t>
        </is>
      </c>
      <c r="E2282" s="7" t="b">
        <v>0</v>
      </c>
      <c r="F2282" s="7" t="inlineStr">
        <is>
          <t>gen_gas_twh</t>
        </is>
      </c>
      <c r="G2282" s="7" t="n">
        <v>287.98</v>
      </c>
      <c r="H2282" s="7" t="n">
        <v>2024</v>
      </c>
      <c r="I2282" s="7" t="inlineStr">
        <is>
          <t>release_generation_yearly_global.csv (Ember)</t>
        </is>
      </c>
    </row>
    <row r="2283">
      <c r="A2283" s="7" t="inlineStr">
        <is>
          <t>SAU</t>
        </is>
      </c>
      <c r="B2283" s="7" t="inlineStr">
        <is>
          <t>Saudi Arabia</t>
        </is>
      </c>
      <c r="C2283" s="7" t="inlineStr">
        <is>
          <t>Middle East &amp; North Africa</t>
        </is>
      </c>
      <c r="D2283" s="7" t="inlineStr">
        <is>
          <t>High income</t>
        </is>
      </c>
      <c r="E2283" s="7" t="b">
        <v>0</v>
      </c>
      <c r="F2283" s="7" t="inlineStr">
        <is>
          <t>gen_oil_twh</t>
        </is>
      </c>
      <c r="G2283" s="7" t="n">
        <v>156.84</v>
      </c>
      <c r="H2283" s="7" t="n">
        <v>2024</v>
      </c>
      <c r="I2283" s="7" t="inlineStr">
        <is>
          <t>release_generation_yearly_global.csv (Ember)</t>
        </is>
      </c>
    </row>
    <row r="2284">
      <c r="A2284" s="7" t="inlineStr">
        <is>
          <t>SAU</t>
        </is>
      </c>
      <c r="B2284" s="7" t="inlineStr">
        <is>
          <t>Saudi Arabia</t>
        </is>
      </c>
      <c r="C2284" s="7" t="inlineStr">
        <is>
          <t>Middle East &amp; North Africa</t>
        </is>
      </c>
      <c r="D2284" s="7" t="inlineStr">
        <is>
          <t>High income</t>
        </is>
      </c>
      <c r="E2284" s="7" t="b">
        <v>0</v>
      </c>
      <c r="F2284" s="7" t="inlineStr">
        <is>
          <t>gen_total_twh</t>
        </is>
      </c>
      <c r="G2284" s="7" t="n">
        <v>454.64</v>
      </c>
      <c r="H2284" s="7" t="n">
        <v>2024</v>
      </c>
      <c r="I2284" s="7" t="inlineStr">
        <is>
          <t>release_generation_yearly_global.csv (Ember)</t>
        </is>
      </c>
    </row>
    <row r="2285">
      <c r="A2285" s="7" t="inlineStr">
        <is>
          <t>SAU</t>
        </is>
      </c>
      <c r="B2285" s="7" t="inlineStr">
        <is>
          <t>Saudi Arabia</t>
        </is>
      </c>
      <c r="C2285" s="7" t="inlineStr">
        <is>
          <t>Middle East &amp; North Africa</t>
        </is>
      </c>
      <c r="D2285" s="7" t="inlineStr">
        <is>
          <t>High income</t>
        </is>
      </c>
      <c r="E2285" s="7" t="b">
        <v>0</v>
      </c>
      <c r="F2285" s="7" t="inlineStr">
        <is>
          <t>power_market_structure</t>
        </is>
      </c>
      <c r="G2285" s="7" t="n">
        <v>2</v>
      </c>
      <c r="H2285" s="7" t="inlineStr">
        <is>
          <t>2013</t>
        </is>
      </c>
      <c r="I2285" s="7" t="inlineStr">
        <is>
          <t>dataverse_files.zip</t>
        </is>
      </c>
    </row>
    <row r="2286">
      <c r="A2286" s="7" t="inlineStr">
        <is>
          <t>SAU</t>
        </is>
      </c>
      <c r="B2286" s="7" t="inlineStr">
        <is>
          <t>Saudi Arabia</t>
        </is>
      </c>
      <c r="C2286" s="7" t="inlineStr">
        <is>
          <t>Middle East &amp; North Africa</t>
        </is>
      </c>
      <c r="D2286" s="7" t="inlineStr">
        <is>
          <t>High income</t>
        </is>
      </c>
      <c r="E2286" s="7" t="b">
        <v>0</v>
      </c>
      <c r="F2286" s="7" t="inlineStr">
        <is>
          <t>price_coal_power_usd_gj</t>
        </is>
      </c>
      <c r="G2286" s="7" t="n">
        <v>5.787</v>
      </c>
      <c r="H2286" s="7" t="inlineStr">
        <is>
          <t>2024</t>
        </is>
      </c>
      <c r="I2286" s="7" t="inlineStr">
        <is>
          <t>imffossilfuelsubsidiesdata.xlsb</t>
        </is>
      </c>
    </row>
    <row r="2287">
      <c r="A2287" s="7" t="inlineStr">
        <is>
          <t>SAU</t>
        </is>
      </c>
      <c r="B2287" s="7" t="inlineStr">
        <is>
          <t>Saudi Arabia</t>
        </is>
      </c>
      <c r="C2287" s="7" t="inlineStr">
        <is>
          <t>Middle East &amp; North Africa</t>
        </is>
      </c>
      <c r="D2287" s="7" t="inlineStr">
        <is>
          <t>High income</t>
        </is>
      </c>
      <c r="E2287" s="7" t="b">
        <v>0</v>
      </c>
      <c r="F2287" s="7" t="inlineStr">
        <is>
          <t>price_electricity_residential_usd_kwh</t>
        </is>
      </c>
      <c r="G2287" s="7" t="n">
        <v>0.057</v>
      </c>
      <c r="H2287" s="7" t="inlineStr">
        <is>
          <t>2024</t>
        </is>
      </c>
      <c r="I2287" s="7" t="inlineStr">
        <is>
          <t>imffossilfuelsubsidiesdata.xlsb</t>
        </is>
      </c>
    </row>
    <row r="2288">
      <c r="A2288" s="7" t="inlineStr">
        <is>
          <t>SAU</t>
        </is>
      </c>
      <c r="B2288" s="7" t="inlineStr">
        <is>
          <t>Saudi Arabia</t>
        </is>
      </c>
      <c r="C2288" s="7" t="inlineStr">
        <is>
          <t>Middle East &amp; North Africa</t>
        </is>
      </c>
      <c r="D2288" s="7" t="inlineStr">
        <is>
          <t>High income</t>
        </is>
      </c>
      <c r="E2288" s="7" t="b">
        <v>0</v>
      </c>
      <c r="F2288" s="7" t="inlineStr">
        <is>
          <t>price_gas_industry_usd_gj</t>
        </is>
      </c>
      <c r="G2288" s="7" t="n">
        <v>1.266</v>
      </c>
      <c r="H2288" s="7" t="inlineStr">
        <is>
          <t>2024</t>
        </is>
      </c>
      <c r="I2288" s="7" t="inlineStr">
        <is>
          <t>imffossilfuelsubsidiesdata.xlsb</t>
        </is>
      </c>
    </row>
    <row r="2289">
      <c r="A2289" s="7" t="inlineStr">
        <is>
          <t>SAU</t>
        </is>
      </c>
      <c r="B2289" s="7" t="inlineStr">
        <is>
          <t>Saudi Arabia</t>
        </is>
      </c>
      <c r="C2289" s="7" t="inlineStr">
        <is>
          <t>Middle East &amp; North Africa</t>
        </is>
      </c>
      <c r="D2289" s="7" t="inlineStr">
        <is>
          <t>High income</t>
        </is>
      </c>
      <c r="E2289" s="7" t="b">
        <v>0</v>
      </c>
      <c r="F2289" s="7" t="inlineStr">
        <is>
          <t>price_gas_power_usd_gj</t>
        </is>
      </c>
      <c r="G2289" s="7" t="n">
        <v>1.509</v>
      </c>
      <c r="H2289" s="7" t="inlineStr">
        <is>
          <t>2024</t>
        </is>
      </c>
      <c r="I2289" s="7" t="inlineStr">
        <is>
          <t>imffossilfuelsubsidiesdata.xlsb</t>
        </is>
      </c>
    </row>
    <row r="2290">
      <c r="A2290" s="7" t="inlineStr">
        <is>
          <t>SAU</t>
        </is>
      </c>
      <c r="B2290" s="7" t="inlineStr">
        <is>
          <t>Saudi Arabia</t>
        </is>
      </c>
      <c r="C2290" s="7" t="inlineStr">
        <is>
          <t>Middle East &amp; North Africa</t>
        </is>
      </c>
      <c r="D2290" s="7" t="inlineStr">
        <is>
          <t>High income</t>
        </is>
      </c>
      <c r="E2290" s="7" t="b">
        <v>0</v>
      </c>
      <c r="F2290" s="7" t="inlineStr">
        <is>
          <t>rise_renewable_energy_score</t>
        </is>
      </c>
      <c r="G2290" s="7" t="n">
        <v>23.167</v>
      </c>
      <c r="H2290" s="7" t="inlineStr">
        <is>
          <t>2023</t>
        </is>
      </c>
      <c r="I2290" s="7" t="inlineStr">
        <is>
          <t>WB_RISE_WIDEF.csv</t>
        </is>
      </c>
    </row>
    <row r="2291">
      <c r="A2291" s="7" t="inlineStr">
        <is>
          <t>SDN</t>
        </is>
      </c>
      <c r="B2291" s="7" t="inlineStr">
        <is>
          <t>Sudan</t>
        </is>
      </c>
      <c r="C2291" s="7" t="inlineStr">
        <is>
          <t>Sub-Saharan Africa</t>
        </is>
      </c>
      <c r="D2291" s="7" t="inlineStr">
        <is>
          <t>Low income</t>
        </is>
      </c>
      <c r="E2291" s="7" t="b">
        <v>0</v>
      </c>
      <c r="F2291" s="7" t="inlineStr">
        <is>
          <t>coal_rents_pct_gdp</t>
        </is>
      </c>
      <c r="G2291" s="7" t="n">
        <v>0</v>
      </c>
      <c r="H2291" s="7" t="inlineStr">
        <is>
          <t>2021</t>
        </is>
      </c>
      <c r="I2291" s="7" t="inlineStr">
        <is>
          <t>API_NY_GDP_COAL_RT_ZS_DS2_en_csv_v2_35370.zip</t>
        </is>
      </c>
    </row>
    <row r="2292">
      <c r="A2292" s="7" t="inlineStr">
        <is>
          <t>SDN</t>
        </is>
      </c>
      <c r="B2292" s="7" t="inlineStr">
        <is>
          <t>Sudan</t>
        </is>
      </c>
      <c r="C2292" s="7" t="inlineStr">
        <is>
          <t>Sub-Saharan Africa</t>
        </is>
      </c>
      <c r="D2292" s="7" t="inlineStr">
        <is>
          <t>Low income</t>
        </is>
      </c>
      <c r="E2292" s="7" t="b">
        <v>0</v>
      </c>
      <c r="F2292" s="7" t="inlineStr">
        <is>
          <t>em_coal_mt</t>
        </is>
      </c>
      <c r="G2292" s="7" t="n">
        <v>0</v>
      </c>
      <c r="H2292" s="7" t="n">
        <v>2024</v>
      </c>
      <c r="I2292" s="7" t="inlineStr">
        <is>
          <t>release_generation_yearly_global.csv (Ember)</t>
        </is>
      </c>
    </row>
    <row r="2293">
      <c r="A2293" s="7" t="inlineStr">
        <is>
          <t>SDN</t>
        </is>
      </c>
      <c r="B2293" s="7" t="inlineStr">
        <is>
          <t>Sudan</t>
        </is>
      </c>
      <c r="C2293" s="7" t="inlineStr">
        <is>
          <t>Sub-Saharan Africa</t>
        </is>
      </c>
      <c r="D2293" s="7" t="inlineStr">
        <is>
          <t>Low income</t>
        </is>
      </c>
      <c r="E2293" s="7" t="b">
        <v>0</v>
      </c>
      <c r="F2293" s="7" t="inlineStr">
        <is>
          <t>em_gas_mt</t>
        </is>
      </c>
      <c r="G2293" s="7" t="n">
        <v>0</v>
      </c>
      <c r="H2293" s="7" t="n">
        <v>2024</v>
      </c>
      <c r="I2293" s="7" t="inlineStr">
        <is>
          <t>release_generation_yearly_global.csv (Ember)</t>
        </is>
      </c>
    </row>
    <row r="2294">
      <c r="A2294" s="7" t="inlineStr">
        <is>
          <t>SDN</t>
        </is>
      </c>
      <c r="B2294" s="7" t="inlineStr">
        <is>
          <t>Sudan</t>
        </is>
      </c>
      <c r="C2294" s="7" t="inlineStr">
        <is>
          <t>Sub-Saharan Africa</t>
        </is>
      </c>
      <c r="D2294" s="7" t="inlineStr">
        <is>
          <t>Low income</t>
        </is>
      </c>
      <c r="E2294" s="7" t="b">
        <v>0</v>
      </c>
      <c r="F2294" s="7" t="inlineStr">
        <is>
          <t>em_oil_mt</t>
        </is>
      </c>
      <c r="G2294" s="7" t="n">
        <v>1.974</v>
      </c>
      <c r="H2294" s="7" t="n">
        <v>2024</v>
      </c>
      <c r="I2294" s="7" t="inlineStr">
        <is>
          <t>release_generation_yearly_global.csv (Ember)</t>
        </is>
      </c>
    </row>
    <row r="2295">
      <c r="A2295" s="7" t="inlineStr">
        <is>
          <t>SDN</t>
        </is>
      </c>
      <c r="B2295" s="7" t="inlineStr">
        <is>
          <t>Sudan</t>
        </is>
      </c>
      <c r="C2295" s="7" t="inlineStr">
        <is>
          <t>Sub-Saharan Africa</t>
        </is>
      </c>
      <c r="D2295" s="7" t="inlineStr">
        <is>
          <t>Low income</t>
        </is>
      </c>
      <c r="E2295" s="7" t="b">
        <v>0</v>
      </c>
      <c r="F2295" s="7" t="inlineStr">
        <is>
          <t>ff_subsidy_explicit_pct_gdp</t>
        </is>
      </c>
      <c r="G2295" s="7" t="n">
        <v>0</v>
      </c>
      <c r="H2295" s="7" t="inlineStr">
        <is>
          <t>2024</t>
        </is>
      </c>
      <c r="I2295" s="7" t="inlineStr">
        <is>
          <t>imffossilfuelsubsidiesdata.xlsb</t>
        </is>
      </c>
    </row>
    <row r="2296">
      <c r="A2296" s="7" t="inlineStr">
        <is>
          <t>SDN</t>
        </is>
      </c>
      <c r="B2296" s="7" t="inlineStr">
        <is>
          <t>Sudan</t>
        </is>
      </c>
      <c r="C2296" s="7" t="inlineStr">
        <is>
          <t>Sub-Saharan Africa</t>
        </is>
      </c>
      <c r="D2296" s="7" t="inlineStr">
        <is>
          <t>Low income</t>
        </is>
      </c>
      <c r="E2296" s="7" t="b">
        <v>0</v>
      </c>
      <c r="F2296" s="7" t="inlineStr">
        <is>
          <t>fuel_exports_pct_merch</t>
        </is>
      </c>
      <c r="G2296" s="7" t="n">
        <v>14.305</v>
      </c>
      <c r="H2296" s="7" t="inlineStr">
        <is>
          <t>2018</t>
        </is>
      </c>
      <c r="I2296" s="7" t="inlineStr">
        <is>
          <t>API_TX_VAL_FUEL_ZS_UN_DS2_en_csv_v2_33055.zip</t>
        </is>
      </c>
    </row>
    <row r="2297">
      <c r="A2297" s="7" t="inlineStr">
        <is>
          <t>SDN</t>
        </is>
      </c>
      <c r="B2297" s="7" t="inlineStr">
        <is>
          <t>Sudan</t>
        </is>
      </c>
      <c r="C2297" s="7" t="inlineStr">
        <is>
          <t>Sub-Saharan Africa</t>
        </is>
      </c>
      <c r="D2297" s="7" t="inlineStr">
        <is>
          <t>Low income</t>
        </is>
      </c>
      <c r="E2297" s="7" t="b">
        <v>0</v>
      </c>
      <c r="F2297" s="7" t="inlineStr">
        <is>
          <t>gen_coal_twh</t>
        </is>
      </c>
      <c r="G2297" s="7" t="n">
        <v>0</v>
      </c>
      <c r="H2297" s="7" t="n">
        <v>2024</v>
      </c>
      <c r="I2297" s="7" t="inlineStr">
        <is>
          <t>release_generation_yearly_global.csv (Ember)</t>
        </is>
      </c>
    </row>
    <row r="2298">
      <c r="A2298" s="7" t="inlineStr">
        <is>
          <t>SDN</t>
        </is>
      </c>
      <c r="B2298" s="7" t="inlineStr">
        <is>
          <t>Sudan</t>
        </is>
      </c>
      <c r="C2298" s="7" t="inlineStr">
        <is>
          <t>Sub-Saharan Africa</t>
        </is>
      </c>
      <c r="D2298" s="7" t="inlineStr">
        <is>
          <t>Low income</t>
        </is>
      </c>
      <c r="E2298" s="7" t="b">
        <v>0</v>
      </c>
      <c r="F2298" s="7" t="inlineStr">
        <is>
          <t>gen_gas_twh</t>
        </is>
      </c>
      <c r="G2298" s="7" t="n">
        <v>0</v>
      </c>
      <c r="H2298" s="7" t="n">
        <v>2024</v>
      </c>
      <c r="I2298" s="7" t="inlineStr">
        <is>
          <t>release_generation_yearly_global.csv (Ember)</t>
        </is>
      </c>
    </row>
    <row r="2299">
      <c r="A2299" s="7" t="inlineStr">
        <is>
          <t>SDN</t>
        </is>
      </c>
      <c r="B2299" s="7" t="inlineStr">
        <is>
          <t>Sudan</t>
        </is>
      </c>
      <c r="C2299" s="7" t="inlineStr">
        <is>
          <t>Sub-Saharan Africa</t>
        </is>
      </c>
      <c r="D2299" s="7" t="inlineStr">
        <is>
          <t>Low income</t>
        </is>
      </c>
      <c r="E2299" s="7" t="b">
        <v>0</v>
      </c>
      <c r="F2299" s="7" t="inlineStr">
        <is>
          <t>gen_oil_twh</t>
        </is>
      </c>
      <c r="G2299" s="7" t="n">
        <v>3</v>
      </c>
      <c r="H2299" s="7" t="n">
        <v>2024</v>
      </c>
      <c r="I2299" s="7" t="inlineStr">
        <is>
          <t>release_generation_yearly_global.csv (Ember)</t>
        </is>
      </c>
    </row>
    <row r="2300">
      <c r="A2300" s="7" t="inlineStr">
        <is>
          <t>SDN</t>
        </is>
      </c>
      <c r="B2300" s="7" t="inlineStr">
        <is>
          <t>Sudan</t>
        </is>
      </c>
      <c r="C2300" s="7" t="inlineStr">
        <is>
          <t>Sub-Saharan Africa</t>
        </is>
      </c>
      <c r="D2300" s="7" t="inlineStr">
        <is>
          <t>Low income</t>
        </is>
      </c>
      <c r="E2300" s="7" t="b">
        <v>0</v>
      </c>
      <c r="F2300" s="7" t="inlineStr">
        <is>
          <t>gen_total_twh</t>
        </is>
      </c>
      <c r="G2300" s="7" t="n">
        <v>14.77</v>
      </c>
      <c r="H2300" s="7" t="n">
        <v>2024</v>
      </c>
      <c r="I2300" s="7" t="inlineStr">
        <is>
          <t>release_generation_yearly_global.csv (Ember)</t>
        </is>
      </c>
    </row>
    <row r="2301">
      <c r="A2301" s="7" t="inlineStr">
        <is>
          <t>SDN</t>
        </is>
      </c>
      <c r="B2301" s="7" t="inlineStr">
        <is>
          <t>Sudan</t>
        </is>
      </c>
      <c r="C2301" s="7" t="inlineStr">
        <is>
          <t>Sub-Saharan Africa</t>
        </is>
      </c>
      <c r="D2301" s="7" t="inlineStr">
        <is>
          <t>Low income</t>
        </is>
      </c>
      <c r="E2301" s="7" t="b">
        <v>0</v>
      </c>
      <c r="F2301" s="7" t="inlineStr">
        <is>
          <t>power_market_structure</t>
        </is>
      </c>
      <c r="G2301" s="7" t="n">
        <v>1</v>
      </c>
      <c r="H2301" s="7" t="inlineStr">
        <is>
          <t>2013</t>
        </is>
      </c>
      <c r="I2301" s="7" t="inlineStr">
        <is>
          <t>dataverse_files.zip</t>
        </is>
      </c>
    </row>
    <row r="2302">
      <c r="A2302" s="7" t="inlineStr">
        <is>
          <t>SDN</t>
        </is>
      </c>
      <c r="B2302" s="7" t="inlineStr">
        <is>
          <t>Sudan</t>
        </is>
      </c>
      <c r="C2302" s="7" t="inlineStr">
        <is>
          <t>Sub-Saharan Africa</t>
        </is>
      </c>
      <c r="D2302" s="7" t="inlineStr">
        <is>
          <t>Low income</t>
        </is>
      </c>
      <c r="E2302" s="7" t="b">
        <v>0</v>
      </c>
      <c r="F2302" s="7" t="inlineStr">
        <is>
          <t>price_coal_power_usd_gj</t>
        </is>
      </c>
      <c r="G2302" s="7" t="n">
        <v>5.575</v>
      </c>
      <c r="H2302" s="7" t="inlineStr">
        <is>
          <t>2024</t>
        </is>
      </c>
      <c r="I2302" s="7" t="inlineStr">
        <is>
          <t>imffossilfuelsubsidiesdata.xlsb</t>
        </is>
      </c>
    </row>
    <row r="2303">
      <c r="A2303" s="7" t="inlineStr">
        <is>
          <t>SDN</t>
        </is>
      </c>
      <c r="B2303" s="7" t="inlineStr">
        <is>
          <t>Sudan</t>
        </is>
      </c>
      <c r="C2303" s="7" t="inlineStr">
        <is>
          <t>Sub-Saharan Africa</t>
        </is>
      </c>
      <c r="D2303" s="7" t="inlineStr">
        <is>
          <t>Low income</t>
        </is>
      </c>
      <c r="E2303" s="7" t="b">
        <v>0</v>
      </c>
      <c r="F2303" s="7" t="inlineStr">
        <is>
          <t>price_electricity_residential_usd_kwh</t>
        </is>
      </c>
      <c r="G2303" s="7" t="n">
        <v>0.159</v>
      </c>
      <c r="H2303" s="7" t="inlineStr">
        <is>
          <t>2024</t>
        </is>
      </c>
      <c r="I2303" s="7" t="inlineStr">
        <is>
          <t>imffossilfuelsubsidiesdata.xlsb</t>
        </is>
      </c>
    </row>
    <row r="2304">
      <c r="A2304" s="7" t="inlineStr">
        <is>
          <t>SDN</t>
        </is>
      </c>
      <c r="B2304" s="7" t="inlineStr">
        <is>
          <t>Sudan</t>
        </is>
      </c>
      <c r="C2304" s="7" t="inlineStr">
        <is>
          <t>Sub-Saharan Africa</t>
        </is>
      </c>
      <c r="D2304" s="7" t="inlineStr">
        <is>
          <t>Low income</t>
        </is>
      </c>
      <c r="E2304" s="7" t="b">
        <v>0</v>
      </c>
      <c r="F2304" s="7" t="inlineStr">
        <is>
          <t>price_gas_industry_usd_gj</t>
        </is>
      </c>
      <c r="G2304" s="7" t="n">
        <v>12.442</v>
      </c>
      <c r="H2304" s="7" t="inlineStr">
        <is>
          <t>2024</t>
        </is>
      </c>
      <c r="I2304" s="7" t="inlineStr">
        <is>
          <t>imffossilfuelsubsidiesdata.xlsb</t>
        </is>
      </c>
    </row>
    <row r="2305">
      <c r="A2305" s="7" t="inlineStr">
        <is>
          <t>SDN</t>
        </is>
      </c>
      <c r="B2305" s="7" t="inlineStr">
        <is>
          <t>Sudan</t>
        </is>
      </c>
      <c r="C2305" s="7" t="inlineStr">
        <is>
          <t>Sub-Saharan Africa</t>
        </is>
      </c>
      <c r="D2305" s="7" t="inlineStr">
        <is>
          <t>Low income</t>
        </is>
      </c>
      <c r="E2305" s="7" t="b">
        <v>0</v>
      </c>
      <c r="F2305" s="7" t="inlineStr">
        <is>
          <t>price_gas_power_usd_gj</t>
        </is>
      </c>
      <c r="G2305" s="7" t="n">
        <v>11.119</v>
      </c>
      <c r="H2305" s="7" t="inlineStr">
        <is>
          <t>2024</t>
        </is>
      </c>
      <c r="I2305" s="7" t="inlineStr">
        <is>
          <t>imffossilfuelsubsidiesdata.xlsb</t>
        </is>
      </c>
    </row>
    <row r="2306">
      <c r="A2306" s="7" t="inlineStr">
        <is>
          <t>SDN</t>
        </is>
      </c>
      <c r="B2306" s="7" t="inlineStr">
        <is>
          <t>Sudan</t>
        </is>
      </c>
      <c r="C2306" s="7" t="inlineStr">
        <is>
          <t>Sub-Saharan Africa</t>
        </is>
      </c>
      <c r="D2306" s="7" t="inlineStr">
        <is>
          <t>Low income</t>
        </is>
      </c>
      <c r="E2306" s="7" t="b">
        <v>0</v>
      </c>
      <c r="F2306" s="7" t="inlineStr">
        <is>
          <t>rise_renewable_energy_score</t>
        </is>
      </c>
      <c r="G2306" s="7" t="n">
        <v>10.913</v>
      </c>
      <c r="H2306" s="7" t="inlineStr">
        <is>
          <t>2023</t>
        </is>
      </c>
      <c r="I2306" s="7" t="inlineStr">
        <is>
          <t>WB_RISE_WIDEF.csv</t>
        </is>
      </c>
    </row>
    <row r="2307">
      <c r="A2307" s="7" t="inlineStr">
        <is>
          <t>SEN</t>
        </is>
      </c>
      <c r="B2307" s="7" t="inlineStr">
        <is>
          <t>Senegal</t>
        </is>
      </c>
      <c r="C2307" s="7" t="inlineStr">
        <is>
          <t>Sub-Saharan Africa</t>
        </is>
      </c>
      <c r="D2307" s="7" t="inlineStr">
        <is>
          <t>Lower middle income</t>
        </is>
      </c>
      <c r="E2307" s="7" t="b">
        <v>1</v>
      </c>
      <c r="F2307" s="7" t="inlineStr">
        <is>
          <t>coal_rents_pct_gdp</t>
        </is>
      </c>
      <c r="G2307" s="7" t="n">
        <v>0</v>
      </c>
      <c r="H2307" s="7" t="inlineStr">
        <is>
          <t>2021</t>
        </is>
      </c>
      <c r="I2307" s="7" t="inlineStr">
        <is>
          <t>API_NY_GDP_COAL_RT_ZS_DS2_en_csv_v2_35370.zip</t>
        </is>
      </c>
    </row>
    <row r="2308">
      <c r="A2308" s="7" t="inlineStr">
        <is>
          <t>SEN</t>
        </is>
      </c>
      <c r="B2308" s="7" t="inlineStr">
        <is>
          <t>Senegal</t>
        </is>
      </c>
      <c r="C2308" s="7" t="inlineStr">
        <is>
          <t>Sub-Saharan Africa</t>
        </is>
      </c>
      <c r="D2308" s="7" t="inlineStr">
        <is>
          <t>Lower middle income</t>
        </is>
      </c>
      <c r="E2308" s="7" t="b">
        <v>1</v>
      </c>
      <c r="F2308" s="7" t="inlineStr">
        <is>
          <t>em_coal_mt</t>
        </is>
      </c>
      <c r="G2308" s="7" t="n">
        <v>0.08599999999999999</v>
      </c>
      <c r="H2308" s="7" t="n">
        <v>2024</v>
      </c>
      <c r="I2308" s="7" t="inlineStr">
        <is>
          <t>release_generation_yearly_global.csv (Ember)</t>
        </is>
      </c>
    </row>
    <row r="2309">
      <c r="A2309" s="7" t="inlineStr">
        <is>
          <t>SEN</t>
        </is>
      </c>
      <c r="B2309" s="7" t="inlineStr">
        <is>
          <t>Senegal</t>
        </is>
      </c>
      <c r="C2309" s="7" t="inlineStr">
        <is>
          <t>Sub-Saharan Africa</t>
        </is>
      </c>
      <c r="D2309" s="7" t="inlineStr">
        <is>
          <t>Lower middle income</t>
        </is>
      </c>
      <c r="E2309" s="7" t="b">
        <v>1</v>
      </c>
      <c r="F2309" s="7" t="inlineStr">
        <is>
          <t>em_gas_mt</t>
        </is>
      </c>
      <c r="G2309" s="7" t="n">
        <v>0.02</v>
      </c>
      <c r="H2309" s="7" t="n">
        <v>2024</v>
      </c>
      <c r="I2309" s="7" t="inlineStr">
        <is>
          <t>release_generation_yearly_global.csv (Ember)</t>
        </is>
      </c>
    </row>
    <row r="2310">
      <c r="A2310" s="7" t="inlineStr">
        <is>
          <t>SEN</t>
        </is>
      </c>
      <c r="B2310" s="7" t="inlineStr">
        <is>
          <t>Senegal</t>
        </is>
      </c>
      <c r="C2310" s="7" t="inlineStr">
        <is>
          <t>Sub-Saharan Africa</t>
        </is>
      </c>
      <c r="D2310" s="7" t="inlineStr">
        <is>
          <t>Lower middle income</t>
        </is>
      </c>
      <c r="E2310" s="7" t="b">
        <v>1</v>
      </c>
      <c r="F2310" s="7" t="inlineStr">
        <is>
          <t>em_oil_mt</t>
        </is>
      </c>
      <c r="G2310" s="7" t="n">
        <v>3.948</v>
      </c>
      <c r="H2310" s="7" t="n">
        <v>2024</v>
      </c>
      <c r="I2310" s="7" t="inlineStr">
        <is>
          <t>release_generation_yearly_global.csv (Ember)</t>
        </is>
      </c>
    </row>
    <row r="2311">
      <c r="A2311" s="7" t="inlineStr">
        <is>
          <t>SEN</t>
        </is>
      </c>
      <c r="B2311" s="7" t="inlineStr">
        <is>
          <t>Senegal</t>
        </is>
      </c>
      <c r="C2311" s="7" t="inlineStr">
        <is>
          <t>Sub-Saharan Africa</t>
        </is>
      </c>
      <c r="D2311" s="7" t="inlineStr">
        <is>
          <t>Lower middle income</t>
        </is>
      </c>
      <c r="E2311" s="7" t="b">
        <v>1</v>
      </c>
      <c r="F2311" s="7" t="inlineStr">
        <is>
          <t>ff_subsidy_explicit_pct_gdp</t>
        </is>
      </c>
      <c r="G2311" s="7" t="n">
        <v>0.044</v>
      </c>
      <c r="H2311" s="7" t="inlineStr">
        <is>
          <t>2024</t>
        </is>
      </c>
      <c r="I2311" s="7" t="inlineStr">
        <is>
          <t>imffossilfuelsubsidiesdata.xlsb</t>
        </is>
      </c>
    </row>
    <row r="2312">
      <c r="A2312" s="7" t="inlineStr">
        <is>
          <t>SEN</t>
        </is>
      </c>
      <c r="B2312" s="7" t="inlineStr">
        <is>
          <t>Senegal</t>
        </is>
      </c>
      <c r="C2312" s="7" t="inlineStr">
        <is>
          <t>Sub-Saharan Africa</t>
        </is>
      </c>
      <c r="D2312" s="7" t="inlineStr">
        <is>
          <t>Lower middle income</t>
        </is>
      </c>
      <c r="E2312" s="7" t="b">
        <v>1</v>
      </c>
      <c r="F2312" s="7" t="inlineStr">
        <is>
          <t>fuel_exports_pct_merch</t>
        </is>
      </c>
      <c r="G2312" s="7" t="n">
        <v>32.711</v>
      </c>
      <c r="H2312" s="7" t="inlineStr">
        <is>
          <t>2024</t>
        </is>
      </c>
      <c r="I2312" s="7" t="inlineStr">
        <is>
          <t>API_TX_VAL_FUEL_ZS_UN_DS2_en_csv_v2_33055.zip</t>
        </is>
      </c>
    </row>
    <row r="2313">
      <c r="A2313" s="7" t="inlineStr">
        <is>
          <t>SEN</t>
        </is>
      </c>
      <c r="B2313" s="7" t="inlineStr">
        <is>
          <t>Senegal</t>
        </is>
      </c>
      <c r="C2313" s="7" t="inlineStr">
        <is>
          <t>Sub-Saharan Africa</t>
        </is>
      </c>
      <c r="D2313" s="7" t="inlineStr">
        <is>
          <t>Lower middle income</t>
        </is>
      </c>
      <c r="E2313" s="7" t="b">
        <v>1</v>
      </c>
      <c r="F2313" s="7" t="inlineStr">
        <is>
          <t>gen_coal_twh</t>
        </is>
      </c>
      <c r="G2313" s="7" t="n">
        <v>0.1</v>
      </c>
      <c r="H2313" s="7" t="n">
        <v>2024</v>
      </c>
      <c r="I2313" s="7" t="inlineStr">
        <is>
          <t>release_generation_yearly_global.csv (Ember)</t>
        </is>
      </c>
    </row>
    <row r="2314">
      <c r="A2314" s="7" t="inlineStr">
        <is>
          <t>SEN</t>
        </is>
      </c>
      <c r="B2314" s="7" t="inlineStr">
        <is>
          <t>Senegal</t>
        </is>
      </c>
      <c r="C2314" s="7" t="inlineStr">
        <is>
          <t>Sub-Saharan Africa</t>
        </is>
      </c>
      <c r="D2314" s="7" t="inlineStr">
        <is>
          <t>Lower middle income</t>
        </is>
      </c>
      <c r="E2314" s="7" t="b">
        <v>1</v>
      </c>
      <c r="F2314" s="7" t="inlineStr">
        <is>
          <t>gen_gas_twh</t>
        </is>
      </c>
      <c r="G2314" s="7" t="n">
        <v>0.02</v>
      </c>
      <c r="H2314" s="7" t="n">
        <v>2024</v>
      </c>
      <c r="I2314" s="7" t="inlineStr">
        <is>
          <t>release_generation_yearly_global.csv (Ember)</t>
        </is>
      </c>
    </row>
    <row r="2315">
      <c r="A2315" s="7" t="inlineStr">
        <is>
          <t>SEN</t>
        </is>
      </c>
      <c r="B2315" s="7" t="inlineStr">
        <is>
          <t>Senegal</t>
        </is>
      </c>
      <c r="C2315" s="7" t="inlineStr">
        <is>
          <t>Sub-Saharan Africa</t>
        </is>
      </c>
      <c r="D2315" s="7" t="inlineStr">
        <is>
          <t>Lower middle income</t>
        </is>
      </c>
      <c r="E2315" s="7" t="b">
        <v>1</v>
      </c>
      <c r="F2315" s="7" t="inlineStr">
        <is>
          <t>gen_oil_twh</t>
        </is>
      </c>
      <c r="G2315" s="7" t="n">
        <v>6</v>
      </c>
      <c r="H2315" s="7" t="n">
        <v>2024</v>
      </c>
      <c r="I2315" s="7" t="inlineStr">
        <is>
          <t>release_generation_yearly_global.csv (Ember)</t>
        </is>
      </c>
    </row>
    <row r="2316">
      <c r="A2316" s="7" t="inlineStr">
        <is>
          <t>SEN</t>
        </is>
      </c>
      <c r="B2316" s="7" t="inlineStr">
        <is>
          <t>Senegal</t>
        </is>
      </c>
      <c r="C2316" s="7" t="inlineStr">
        <is>
          <t>Sub-Saharan Africa</t>
        </is>
      </c>
      <c r="D2316" s="7" t="inlineStr">
        <is>
          <t>Lower middle income</t>
        </is>
      </c>
      <c r="E2316" s="7" t="b">
        <v>1</v>
      </c>
      <c r="F2316" s="7" t="inlineStr">
        <is>
          <t>gen_total_twh</t>
        </is>
      </c>
      <c r="G2316" s="7" t="n">
        <v>7.63</v>
      </c>
      <c r="H2316" s="7" t="n">
        <v>2024</v>
      </c>
      <c r="I2316" s="7" t="inlineStr">
        <is>
          <t>release_generation_yearly_global.csv (Ember)</t>
        </is>
      </c>
    </row>
    <row r="2317">
      <c r="A2317" s="7" t="inlineStr">
        <is>
          <t>SEN</t>
        </is>
      </c>
      <c r="B2317" s="7" t="inlineStr">
        <is>
          <t>Senegal</t>
        </is>
      </c>
      <c r="C2317" s="7" t="inlineStr">
        <is>
          <t>Sub-Saharan Africa</t>
        </is>
      </c>
      <c r="D2317" s="7" t="inlineStr">
        <is>
          <t>Lower middle income</t>
        </is>
      </c>
      <c r="E2317" s="7" t="b">
        <v>1</v>
      </c>
      <c r="F2317" s="7" t="inlineStr">
        <is>
          <t>power_market_structure</t>
        </is>
      </c>
      <c r="G2317" s="7" t="n">
        <v>2</v>
      </c>
      <c r="H2317" s="7" t="inlineStr">
        <is>
          <t>2013</t>
        </is>
      </c>
      <c r="I2317" s="7" t="inlineStr">
        <is>
          <t>dataverse_files.zip</t>
        </is>
      </c>
    </row>
    <row r="2318">
      <c r="A2318" s="7" t="inlineStr">
        <is>
          <t>SEN</t>
        </is>
      </c>
      <c r="B2318" s="7" t="inlineStr">
        <is>
          <t>Senegal</t>
        </is>
      </c>
      <c r="C2318" s="7" t="inlineStr">
        <is>
          <t>Sub-Saharan Africa</t>
        </is>
      </c>
      <c r="D2318" s="7" t="inlineStr">
        <is>
          <t>Lower middle income</t>
        </is>
      </c>
      <c r="E2318" s="7" t="b">
        <v>1</v>
      </c>
      <c r="F2318" s="7" t="inlineStr">
        <is>
          <t>price_coal_power_usd_gj</t>
        </is>
      </c>
      <c r="G2318" s="7" t="n">
        <v>5.575</v>
      </c>
      <c r="H2318" s="7" t="inlineStr">
        <is>
          <t>2024</t>
        </is>
      </c>
      <c r="I2318" s="7" t="inlineStr">
        <is>
          <t>imffossilfuelsubsidiesdata.xlsb</t>
        </is>
      </c>
    </row>
    <row r="2319">
      <c r="A2319" s="7" t="inlineStr">
        <is>
          <t>SEN</t>
        </is>
      </c>
      <c r="B2319" s="7" t="inlineStr">
        <is>
          <t>Senegal</t>
        </is>
      </c>
      <c r="C2319" s="7" t="inlineStr">
        <is>
          <t>Sub-Saharan Africa</t>
        </is>
      </c>
      <c r="D2319" s="7" t="inlineStr">
        <is>
          <t>Lower middle income</t>
        </is>
      </c>
      <c r="E2319" s="7" t="b">
        <v>1</v>
      </c>
      <c r="F2319" s="7" t="inlineStr">
        <is>
          <t>price_electricity_residential_usd_kwh</t>
        </is>
      </c>
      <c r="G2319" s="7" t="n">
        <v>0.204</v>
      </c>
      <c r="H2319" s="7" t="inlineStr">
        <is>
          <t>2024</t>
        </is>
      </c>
      <c r="I2319" s="7" t="inlineStr">
        <is>
          <t>imffossilfuelsubsidiesdata.xlsb</t>
        </is>
      </c>
    </row>
    <row r="2320">
      <c r="A2320" s="7" t="inlineStr">
        <is>
          <t>SEN</t>
        </is>
      </c>
      <c r="B2320" s="7" t="inlineStr">
        <is>
          <t>Senegal</t>
        </is>
      </c>
      <c r="C2320" s="7" t="inlineStr">
        <is>
          <t>Sub-Saharan Africa</t>
        </is>
      </c>
      <c r="D2320" s="7" t="inlineStr">
        <is>
          <t>Lower middle income</t>
        </is>
      </c>
      <c r="E2320" s="7" t="b">
        <v>1</v>
      </c>
      <c r="F2320" s="7" t="inlineStr">
        <is>
          <t>price_gas_industry_usd_gj</t>
        </is>
      </c>
      <c r="G2320" s="7" t="n">
        <v>6.274</v>
      </c>
      <c r="H2320" s="7" t="inlineStr">
        <is>
          <t>2024</t>
        </is>
      </c>
      <c r="I2320" s="7" t="inlineStr">
        <is>
          <t>imffossilfuelsubsidiesdata.xlsb</t>
        </is>
      </c>
    </row>
    <row r="2321">
      <c r="A2321" s="7" t="inlineStr">
        <is>
          <t>SEN</t>
        </is>
      </c>
      <c r="B2321" s="7" t="inlineStr">
        <is>
          <t>Senegal</t>
        </is>
      </c>
      <c r="C2321" s="7" t="inlineStr">
        <is>
          <t>Sub-Saharan Africa</t>
        </is>
      </c>
      <c r="D2321" s="7" t="inlineStr">
        <is>
          <t>Lower middle income</t>
        </is>
      </c>
      <c r="E2321" s="7" t="b">
        <v>1</v>
      </c>
      <c r="F2321" s="7" t="inlineStr">
        <is>
          <t>price_gas_power_usd_gj</t>
        </is>
      </c>
      <c r="G2321" s="7" t="n">
        <v>5.613</v>
      </c>
      <c r="H2321" s="7" t="inlineStr">
        <is>
          <t>2024</t>
        </is>
      </c>
      <c r="I2321" s="7" t="inlineStr">
        <is>
          <t>imffossilfuelsubsidiesdata.xlsb</t>
        </is>
      </c>
    </row>
    <row r="2322">
      <c r="A2322" s="7" t="inlineStr">
        <is>
          <t>SEN</t>
        </is>
      </c>
      <c r="B2322" s="7" t="inlineStr">
        <is>
          <t>Senegal</t>
        </is>
      </c>
      <c r="C2322" s="7" t="inlineStr">
        <is>
          <t>Sub-Saharan Africa</t>
        </is>
      </c>
      <c r="D2322" s="7" t="inlineStr">
        <is>
          <t>Lower middle income</t>
        </is>
      </c>
      <c r="E2322" s="7" t="b">
        <v>1</v>
      </c>
      <c r="F2322" s="7" t="inlineStr">
        <is>
          <t>rise_renewable_energy_score</t>
        </is>
      </c>
      <c r="G2322" s="7" t="n">
        <v>27.63</v>
      </c>
      <c r="H2322" s="7" t="inlineStr">
        <is>
          <t>2023</t>
        </is>
      </c>
      <c r="I2322" s="7" t="inlineStr">
        <is>
          <t>WB_RISE_WIDEF.csv</t>
        </is>
      </c>
    </row>
    <row r="2323">
      <c r="A2323" s="7" t="inlineStr">
        <is>
          <t>SGP</t>
        </is>
      </c>
      <c r="B2323" s="7" t="inlineStr">
        <is>
          <t>Singapore</t>
        </is>
      </c>
      <c r="C2323" s="7" t="inlineStr">
        <is>
          <t>East Asia &amp; Pacific</t>
        </is>
      </c>
      <c r="D2323" s="7" t="inlineStr">
        <is>
          <t>High income</t>
        </is>
      </c>
      <c r="E2323" s="7" t="b">
        <v>0</v>
      </c>
      <c r="F2323" s="7" t="inlineStr">
        <is>
          <t>coal_rents_pct_gdp</t>
        </is>
      </c>
      <c r="G2323" s="7" t="n">
        <v>0</v>
      </c>
      <c r="H2323" s="7" t="inlineStr">
        <is>
          <t>2021</t>
        </is>
      </c>
      <c r="I2323" s="7" t="inlineStr">
        <is>
          <t>API_NY_GDP_COAL_RT_ZS_DS2_en_csv_v2_35370.zip</t>
        </is>
      </c>
    </row>
    <row r="2324">
      <c r="A2324" s="7" t="inlineStr">
        <is>
          <t>SGP</t>
        </is>
      </c>
      <c r="B2324" s="7" t="inlineStr">
        <is>
          <t>Singapore</t>
        </is>
      </c>
      <c r="C2324" s="7" t="inlineStr">
        <is>
          <t>East Asia &amp; Pacific</t>
        </is>
      </c>
      <c r="D2324" s="7" t="inlineStr">
        <is>
          <t>High income</t>
        </is>
      </c>
      <c r="E2324" s="7" t="b">
        <v>0</v>
      </c>
      <c r="F2324" s="7" t="inlineStr">
        <is>
          <t>em_coal_mt</t>
        </is>
      </c>
      <c r="G2324" s="7" t="n">
        <v>0.551</v>
      </c>
      <c r="H2324" s="7" t="n">
        <v>2024</v>
      </c>
      <c r="I2324" s="7" t="inlineStr">
        <is>
          <t>release_generation_yearly_global.csv (Ember)</t>
        </is>
      </c>
    </row>
    <row r="2325">
      <c r="A2325" s="7" t="inlineStr">
        <is>
          <t>SGP</t>
        </is>
      </c>
      <c r="B2325" s="7" t="inlineStr">
        <is>
          <t>Singapore</t>
        </is>
      </c>
      <c r="C2325" s="7" t="inlineStr">
        <is>
          <t>East Asia &amp; Pacific</t>
        </is>
      </c>
      <c r="D2325" s="7" t="inlineStr">
        <is>
          <t>High income</t>
        </is>
      </c>
      <c r="E2325" s="7" t="b">
        <v>0</v>
      </c>
      <c r="F2325" s="7" t="inlineStr">
        <is>
          <t>em_gas_mt</t>
        </is>
      </c>
      <c r="G2325" s="7" t="n">
        <v>27.916</v>
      </c>
      <c r="H2325" s="7" t="n">
        <v>2024</v>
      </c>
      <c r="I2325" s="7" t="inlineStr">
        <is>
          <t>release_generation_yearly_global.csv (Ember)</t>
        </is>
      </c>
    </row>
    <row r="2326">
      <c r="A2326" s="7" t="inlineStr">
        <is>
          <t>SGP</t>
        </is>
      </c>
      <c r="B2326" s="7" t="inlineStr">
        <is>
          <t>Singapore</t>
        </is>
      </c>
      <c r="C2326" s="7" t="inlineStr">
        <is>
          <t>East Asia &amp; Pacific</t>
        </is>
      </c>
      <c r="D2326" s="7" t="inlineStr">
        <is>
          <t>High income</t>
        </is>
      </c>
      <c r="E2326" s="7" t="b">
        <v>0</v>
      </c>
      <c r="F2326" s="7" t="inlineStr">
        <is>
          <t>em_oil_mt</t>
        </is>
      </c>
      <c r="G2326" s="7" t="n">
        <v>0.819</v>
      </c>
      <c r="H2326" s="7" t="n">
        <v>2024</v>
      </c>
      <c r="I2326" s="7" t="inlineStr">
        <is>
          <t>release_generation_yearly_global.csv (Ember)</t>
        </is>
      </c>
    </row>
    <row r="2327">
      <c r="A2327" s="7" t="inlineStr">
        <is>
          <t>SGP</t>
        </is>
      </c>
      <c r="B2327" s="7" t="inlineStr">
        <is>
          <t>Singapore</t>
        </is>
      </c>
      <c r="C2327" s="7" t="inlineStr">
        <is>
          <t>East Asia &amp; Pacific</t>
        </is>
      </c>
      <c r="D2327" s="7" t="inlineStr">
        <is>
          <t>High income</t>
        </is>
      </c>
      <c r="E2327" s="7" t="b">
        <v>0</v>
      </c>
      <c r="F2327" s="7" t="inlineStr">
        <is>
          <t>ff_subsidy_explicit_pct_gdp</t>
        </is>
      </c>
      <c r="G2327" s="7" t="n">
        <v>0.005</v>
      </c>
      <c r="H2327" s="7" t="inlineStr">
        <is>
          <t>2024</t>
        </is>
      </c>
      <c r="I2327" s="7" t="inlineStr">
        <is>
          <t>imffossilfuelsubsidiesdata.xlsb</t>
        </is>
      </c>
    </row>
    <row r="2328">
      <c r="A2328" s="7" t="inlineStr">
        <is>
          <t>SGP</t>
        </is>
      </c>
      <c r="B2328" s="7" t="inlineStr">
        <is>
          <t>Singapore</t>
        </is>
      </c>
      <c r="C2328" s="7" t="inlineStr">
        <is>
          <t>East Asia &amp; Pacific</t>
        </is>
      </c>
      <c r="D2328" s="7" t="inlineStr">
        <is>
          <t>High income</t>
        </is>
      </c>
      <c r="E2328" s="7" t="b">
        <v>0</v>
      </c>
      <c r="F2328" s="7" t="inlineStr">
        <is>
          <t>fuel_exports_pct_merch</t>
        </is>
      </c>
      <c r="G2328" s="7" t="n">
        <v>11.136</v>
      </c>
      <c r="H2328" s="7" t="inlineStr">
        <is>
          <t>2024</t>
        </is>
      </c>
      <c r="I2328" s="7" t="inlineStr">
        <is>
          <t>API_TX_VAL_FUEL_ZS_UN_DS2_en_csv_v2_33055.zip</t>
        </is>
      </c>
    </row>
    <row r="2329">
      <c r="A2329" s="7" t="inlineStr">
        <is>
          <t>SGP</t>
        </is>
      </c>
      <c r="B2329" s="7" t="inlineStr">
        <is>
          <t>Singapore</t>
        </is>
      </c>
      <c r="C2329" s="7" t="inlineStr">
        <is>
          <t>East Asia &amp; Pacific</t>
        </is>
      </c>
      <c r="D2329" s="7" t="inlineStr">
        <is>
          <t>High income</t>
        </is>
      </c>
      <c r="E2329" s="7" t="b">
        <v>0</v>
      </c>
      <c r="F2329" s="7" t="inlineStr">
        <is>
          <t>gen_coal_twh</t>
        </is>
      </c>
      <c r="G2329" s="7" t="n">
        <v>0.57</v>
      </c>
      <c r="H2329" s="7" t="n">
        <v>2024</v>
      </c>
      <c r="I2329" s="7" t="inlineStr">
        <is>
          <t>release_generation_yearly_global.csv (Ember)</t>
        </is>
      </c>
    </row>
    <row r="2330">
      <c r="A2330" s="7" t="inlineStr">
        <is>
          <t>SGP</t>
        </is>
      </c>
      <c r="B2330" s="7" t="inlineStr">
        <is>
          <t>Singapore</t>
        </is>
      </c>
      <c r="C2330" s="7" t="inlineStr">
        <is>
          <t>East Asia &amp; Pacific</t>
        </is>
      </c>
      <c r="D2330" s="7" t="inlineStr">
        <is>
          <t>High income</t>
        </is>
      </c>
      <c r="E2330" s="7" t="b">
        <v>0</v>
      </c>
      <c r="F2330" s="7" t="inlineStr">
        <is>
          <t>gen_gas_twh</t>
        </is>
      </c>
      <c r="G2330" s="7" t="n">
        <v>54.93</v>
      </c>
      <c r="H2330" s="7" t="n">
        <v>2024</v>
      </c>
      <c r="I2330" s="7" t="inlineStr">
        <is>
          <t>release_generation_yearly_global.csv (Ember)</t>
        </is>
      </c>
    </row>
    <row r="2331">
      <c r="A2331" s="7" t="inlineStr">
        <is>
          <t>SGP</t>
        </is>
      </c>
      <c r="B2331" s="7" t="inlineStr">
        <is>
          <t>Singapore</t>
        </is>
      </c>
      <c r="C2331" s="7" t="inlineStr">
        <is>
          <t>East Asia &amp; Pacific</t>
        </is>
      </c>
      <c r="D2331" s="7" t="inlineStr">
        <is>
          <t>High income</t>
        </is>
      </c>
      <c r="E2331" s="7" t="b">
        <v>0</v>
      </c>
      <c r="F2331" s="7" t="inlineStr">
        <is>
          <t>gen_oil_twh</t>
        </is>
      </c>
      <c r="G2331" s="7" t="n">
        <v>1.17</v>
      </c>
      <c r="H2331" s="7" t="n">
        <v>2024</v>
      </c>
      <c r="I2331" s="7" t="inlineStr">
        <is>
          <t>release_generation_yearly_global.csv (Ember)</t>
        </is>
      </c>
    </row>
    <row r="2332">
      <c r="A2332" s="7" t="inlineStr">
        <is>
          <t>SGP</t>
        </is>
      </c>
      <c r="B2332" s="7" t="inlineStr">
        <is>
          <t>Singapore</t>
        </is>
      </c>
      <c r="C2332" s="7" t="inlineStr">
        <is>
          <t>East Asia &amp; Pacific</t>
        </is>
      </c>
      <c r="D2332" s="7" t="inlineStr">
        <is>
          <t>High income</t>
        </is>
      </c>
      <c r="E2332" s="7" t="b">
        <v>0</v>
      </c>
      <c r="F2332" s="7" t="inlineStr">
        <is>
          <t>gen_total_twh</t>
        </is>
      </c>
      <c r="G2332" s="7" t="n">
        <v>59.61</v>
      </c>
      <c r="H2332" s="7" t="n">
        <v>2024</v>
      </c>
      <c r="I2332" s="7" t="inlineStr">
        <is>
          <t>release_generation_yearly_global.csv (Ember)</t>
        </is>
      </c>
    </row>
    <row r="2333">
      <c r="A2333" s="7" t="inlineStr">
        <is>
          <t>SGP</t>
        </is>
      </c>
      <c r="B2333" s="7" t="inlineStr">
        <is>
          <t>Singapore</t>
        </is>
      </c>
      <c r="C2333" s="7" t="inlineStr">
        <is>
          <t>East Asia &amp; Pacific</t>
        </is>
      </c>
      <c r="D2333" s="7" t="inlineStr">
        <is>
          <t>High income</t>
        </is>
      </c>
      <c r="E2333" s="7" t="b">
        <v>0</v>
      </c>
      <c r="F2333" s="7" t="inlineStr">
        <is>
          <t>power_market_structure</t>
        </is>
      </c>
      <c r="G2333" s="7" t="n">
        <v>3</v>
      </c>
      <c r="H2333" s="7" t="inlineStr">
        <is>
          <t>2013</t>
        </is>
      </c>
      <c r="I2333" s="7" t="inlineStr">
        <is>
          <t>dataverse_files.zip</t>
        </is>
      </c>
    </row>
    <row r="2334">
      <c r="A2334" s="7" t="inlineStr">
        <is>
          <t>SGP</t>
        </is>
      </c>
      <c r="B2334" s="7" t="inlineStr">
        <is>
          <t>Singapore</t>
        </is>
      </c>
      <c r="C2334" s="7" t="inlineStr">
        <is>
          <t>East Asia &amp; Pacific</t>
        </is>
      </c>
      <c r="D2334" s="7" t="inlineStr">
        <is>
          <t>High income</t>
        </is>
      </c>
      <c r="E2334" s="7" t="b">
        <v>0</v>
      </c>
      <c r="F2334" s="7" t="inlineStr">
        <is>
          <t>price_coal_power_usd_gj</t>
        </is>
      </c>
      <c r="G2334" s="7" t="n">
        <v>6.522</v>
      </c>
      <c r="H2334" s="7" t="inlineStr">
        <is>
          <t>2024</t>
        </is>
      </c>
      <c r="I2334" s="7" t="inlineStr">
        <is>
          <t>imffossilfuelsubsidiesdata.xlsb</t>
        </is>
      </c>
    </row>
    <row r="2335">
      <c r="A2335" s="7" t="inlineStr">
        <is>
          <t>SGP</t>
        </is>
      </c>
      <c r="B2335" s="7" t="inlineStr">
        <is>
          <t>Singapore</t>
        </is>
      </c>
      <c r="C2335" s="7" t="inlineStr">
        <is>
          <t>East Asia &amp; Pacific</t>
        </is>
      </c>
      <c r="D2335" s="7" t="inlineStr">
        <is>
          <t>High income</t>
        </is>
      </c>
      <c r="E2335" s="7" t="b">
        <v>0</v>
      </c>
      <c r="F2335" s="7" t="inlineStr">
        <is>
          <t>price_electricity_residential_usd_kwh</t>
        </is>
      </c>
      <c r="G2335" s="7" t="n">
        <v>0.231</v>
      </c>
      <c r="H2335" s="7" t="inlineStr">
        <is>
          <t>2024</t>
        </is>
      </c>
      <c r="I2335" s="7" t="inlineStr">
        <is>
          <t>imffossilfuelsubsidiesdata.xlsb</t>
        </is>
      </c>
    </row>
    <row r="2336">
      <c r="A2336" s="7" t="inlineStr">
        <is>
          <t>SGP</t>
        </is>
      </c>
      <c r="B2336" s="7" t="inlineStr">
        <is>
          <t>Singapore</t>
        </is>
      </c>
      <c r="C2336" s="7" t="inlineStr">
        <is>
          <t>East Asia &amp; Pacific</t>
        </is>
      </c>
      <c r="D2336" s="7" t="inlineStr">
        <is>
          <t>High income</t>
        </is>
      </c>
      <c r="E2336" s="7" t="b">
        <v>0</v>
      </c>
      <c r="F2336" s="7" t="inlineStr">
        <is>
          <t>price_gas_industry_usd_gj</t>
        </is>
      </c>
      <c r="G2336" s="7" t="n">
        <v>48.488</v>
      </c>
      <c r="H2336" s="7" t="inlineStr">
        <is>
          <t>2024</t>
        </is>
      </c>
      <c r="I2336" s="7" t="inlineStr">
        <is>
          <t>imffossilfuelsubsidiesdata.xlsb</t>
        </is>
      </c>
    </row>
    <row r="2337">
      <c r="A2337" s="7" t="inlineStr">
        <is>
          <t>SGP</t>
        </is>
      </c>
      <c r="B2337" s="7" t="inlineStr">
        <is>
          <t>Singapore</t>
        </is>
      </c>
      <c r="C2337" s="7" t="inlineStr">
        <is>
          <t>East Asia &amp; Pacific</t>
        </is>
      </c>
      <c r="D2337" s="7" t="inlineStr">
        <is>
          <t>High income</t>
        </is>
      </c>
      <c r="E2337" s="7" t="b">
        <v>0</v>
      </c>
      <c r="F2337" s="7" t="inlineStr">
        <is>
          <t>price_gas_power_usd_gj</t>
        </is>
      </c>
      <c r="G2337" s="7" t="n">
        <v>48.488</v>
      </c>
      <c r="H2337" s="7" t="inlineStr">
        <is>
          <t>2024</t>
        </is>
      </c>
      <c r="I2337" s="7" t="inlineStr">
        <is>
          <t>imffossilfuelsubsidiesdata.xlsb</t>
        </is>
      </c>
    </row>
    <row r="2338">
      <c r="A2338" s="7" t="inlineStr">
        <is>
          <t>SGP</t>
        </is>
      </c>
      <c r="B2338" s="7" t="inlineStr">
        <is>
          <t>Singapore</t>
        </is>
      </c>
      <c r="C2338" s="7" t="inlineStr">
        <is>
          <t>East Asia &amp; Pacific</t>
        </is>
      </c>
      <c r="D2338" s="7" t="inlineStr">
        <is>
          <t>High income</t>
        </is>
      </c>
      <c r="E2338" s="7" t="b">
        <v>0</v>
      </c>
      <c r="F2338" s="7" t="inlineStr">
        <is>
          <t>rise_renewable_energy_score</t>
        </is>
      </c>
      <c r="G2338" s="7" t="n">
        <v>45.048</v>
      </c>
      <c r="H2338" s="7" t="inlineStr">
        <is>
          <t>2023</t>
        </is>
      </c>
      <c r="I2338" s="7" t="inlineStr">
        <is>
          <t>WB_RISE_WIDEF.csv</t>
        </is>
      </c>
    </row>
    <row r="2339">
      <c r="A2339" s="7" t="inlineStr">
        <is>
          <t>SLB</t>
        </is>
      </c>
      <c r="B2339" s="7" t="inlineStr">
        <is>
          <t>Solomon Islands</t>
        </is>
      </c>
      <c r="C2339" s="7" t="inlineStr">
        <is>
          <t>East Asia &amp; Pacific</t>
        </is>
      </c>
      <c r="D2339" s="7" t="inlineStr">
        <is>
          <t>Lower middle income</t>
        </is>
      </c>
      <c r="E2339" s="7" t="b">
        <v>0</v>
      </c>
      <c r="F2339" s="7" t="inlineStr">
        <is>
          <t>coal_rents_pct_gdp</t>
        </is>
      </c>
      <c r="G2339" s="7" t="n">
        <v>0</v>
      </c>
      <c r="H2339" s="7" t="inlineStr">
        <is>
          <t>2021</t>
        </is>
      </c>
      <c r="I2339" s="7" t="inlineStr">
        <is>
          <t>API_NY_GDP_COAL_RT_ZS_DS2_en_csv_v2_35370.zip</t>
        </is>
      </c>
    </row>
    <row r="2340">
      <c r="A2340" s="7" t="inlineStr">
        <is>
          <t>SLB</t>
        </is>
      </c>
      <c r="B2340" s="7" t="inlineStr">
        <is>
          <t>Solomon Islands</t>
        </is>
      </c>
      <c r="C2340" s="7" t="inlineStr">
        <is>
          <t>East Asia &amp; Pacific</t>
        </is>
      </c>
      <c r="D2340" s="7" t="inlineStr">
        <is>
          <t>Lower middle income</t>
        </is>
      </c>
      <c r="E2340" s="7" t="b">
        <v>0</v>
      </c>
      <c r="F2340" s="7" t="inlineStr">
        <is>
          <t>em_coal_mt</t>
        </is>
      </c>
      <c r="G2340" s="7" t="n">
        <v>0</v>
      </c>
      <c r="H2340" s="7" t="n">
        <v>2024</v>
      </c>
      <c r="I2340" s="7" t="inlineStr">
        <is>
          <t>release_generation_yearly_global.csv (Ember)</t>
        </is>
      </c>
    </row>
    <row r="2341">
      <c r="A2341" s="7" t="inlineStr">
        <is>
          <t>SLB</t>
        </is>
      </c>
      <c r="B2341" s="7" t="inlineStr">
        <is>
          <t>Solomon Islands</t>
        </is>
      </c>
      <c r="C2341" s="7" t="inlineStr">
        <is>
          <t>East Asia &amp; Pacific</t>
        </is>
      </c>
      <c r="D2341" s="7" t="inlineStr">
        <is>
          <t>Lower middle income</t>
        </is>
      </c>
      <c r="E2341" s="7" t="b">
        <v>0</v>
      </c>
      <c r="F2341" s="7" t="inlineStr">
        <is>
          <t>em_gas_mt</t>
        </is>
      </c>
      <c r="G2341" s="7" t="n">
        <v>0</v>
      </c>
      <c r="H2341" s="7" t="n">
        <v>2024</v>
      </c>
      <c r="I2341" s="7" t="inlineStr">
        <is>
          <t>release_generation_yearly_global.csv (Ember)</t>
        </is>
      </c>
    </row>
    <row r="2342">
      <c r="A2342" s="7" t="inlineStr">
        <is>
          <t>SLB</t>
        </is>
      </c>
      <c r="B2342" s="7" t="inlineStr">
        <is>
          <t>Solomon Islands</t>
        </is>
      </c>
      <c r="C2342" s="7" t="inlineStr">
        <is>
          <t>East Asia &amp; Pacific</t>
        </is>
      </c>
      <c r="D2342" s="7" t="inlineStr">
        <is>
          <t>Lower middle income</t>
        </is>
      </c>
      <c r="E2342" s="7" t="b">
        <v>0</v>
      </c>
      <c r="F2342" s="7" t="inlineStr">
        <is>
          <t>em_oil_mt</t>
        </is>
      </c>
      <c r="G2342" s="7" t="n">
        <v>0.066</v>
      </c>
      <c r="H2342" s="7" t="n">
        <v>2024</v>
      </c>
      <c r="I2342" s="7" t="inlineStr">
        <is>
          <t>release_generation_yearly_global.csv (Ember)</t>
        </is>
      </c>
    </row>
    <row r="2343">
      <c r="A2343" s="7" t="inlineStr">
        <is>
          <t>SLB</t>
        </is>
      </c>
      <c r="B2343" s="7" t="inlineStr">
        <is>
          <t>Solomon Islands</t>
        </is>
      </c>
      <c r="C2343" s="7" t="inlineStr">
        <is>
          <t>East Asia &amp; Pacific</t>
        </is>
      </c>
      <c r="D2343" s="7" t="inlineStr">
        <is>
          <t>Lower middle income</t>
        </is>
      </c>
      <c r="E2343" s="7" t="b">
        <v>0</v>
      </c>
      <c r="F2343" s="7" t="inlineStr">
        <is>
          <t>ff_subsidy_explicit_pct_gdp</t>
        </is>
      </c>
      <c r="G2343" s="7" t="n">
        <v>0</v>
      </c>
      <c r="H2343" s="7" t="inlineStr">
        <is>
          <t>2024</t>
        </is>
      </c>
      <c r="I2343" s="7" t="inlineStr">
        <is>
          <t>imffossilfuelsubsidiesdata.xlsb</t>
        </is>
      </c>
    </row>
    <row r="2344">
      <c r="A2344" s="7" t="inlineStr">
        <is>
          <t>SLB</t>
        </is>
      </c>
      <c r="B2344" s="7" t="inlineStr">
        <is>
          <t>Solomon Islands</t>
        </is>
      </c>
      <c r="C2344" s="7" t="inlineStr">
        <is>
          <t>East Asia &amp; Pacific</t>
        </is>
      </c>
      <c r="D2344" s="7" t="inlineStr">
        <is>
          <t>Lower middle income</t>
        </is>
      </c>
      <c r="E2344" s="7" t="b">
        <v>0</v>
      </c>
      <c r="F2344" s="7" t="inlineStr">
        <is>
          <t>fuel_exports_pct_merch</t>
        </is>
      </c>
      <c r="G2344" s="7" t="n">
        <v>0</v>
      </c>
      <c r="H2344" s="7" t="inlineStr">
        <is>
          <t>2017</t>
        </is>
      </c>
      <c r="I2344" s="7" t="inlineStr">
        <is>
          <t>API_TX_VAL_FUEL_ZS_UN_DS2_en_csv_v2_33055.zip</t>
        </is>
      </c>
    </row>
    <row r="2345">
      <c r="A2345" s="7" t="inlineStr">
        <is>
          <t>SLB</t>
        </is>
      </c>
      <c r="B2345" s="7" t="inlineStr">
        <is>
          <t>Solomon Islands</t>
        </is>
      </c>
      <c r="C2345" s="7" t="inlineStr">
        <is>
          <t>East Asia &amp; Pacific</t>
        </is>
      </c>
      <c r="D2345" s="7" t="inlineStr">
        <is>
          <t>Lower middle income</t>
        </is>
      </c>
      <c r="E2345" s="7" t="b">
        <v>0</v>
      </c>
      <c r="F2345" s="7" t="inlineStr">
        <is>
          <t>gen_coal_twh</t>
        </is>
      </c>
      <c r="G2345" s="7" t="n">
        <v>0</v>
      </c>
      <c r="H2345" s="7" t="n">
        <v>2024</v>
      </c>
      <c r="I2345" s="7" t="inlineStr">
        <is>
          <t>release_generation_yearly_global.csv (Ember)</t>
        </is>
      </c>
    </row>
    <row r="2346">
      <c r="A2346" s="7" t="inlineStr">
        <is>
          <t>SLB</t>
        </is>
      </c>
      <c r="B2346" s="7" t="inlineStr">
        <is>
          <t>Solomon Islands</t>
        </is>
      </c>
      <c r="C2346" s="7" t="inlineStr">
        <is>
          <t>East Asia &amp; Pacific</t>
        </is>
      </c>
      <c r="D2346" s="7" t="inlineStr">
        <is>
          <t>Lower middle income</t>
        </is>
      </c>
      <c r="E2346" s="7" t="b">
        <v>0</v>
      </c>
      <c r="F2346" s="7" t="inlineStr">
        <is>
          <t>gen_gas_twh</t>
        </is>
      </c>
      <c r="G2346" s="7" t="n">
        <v>0</v>
      </c>
      <c r="H2346" s="7" t="n">
        <v>2024</v>
      </c>
      <c r="I2346" s="7" t="inlineStr">
        <is>
          <t>release_generation_yearly_global.csv (Ember)</t>
        </is>
      </c>
    </row>
    <row r="2347">
      <c r="A2347" s="7" t="inlineStr">
        <is>
          <t>SLB</t>
        </is>
      </c>
      <c r="B2347" s="7" t="inlineStr">
        <is>
          <t>Solomon Islands</t>
        </is>
      </c>
      <c r="C2347" s="7" t="inlineStr">
        <is>
          <t>East Asia &amp; Pacific</t>
        </is>
      </c>
      <c r="D2347" s="7" t="inlineStr">
        <is>
          <t>Lower middle income</t>
        </is>
      </c>
      <c r="E2347" s="7" t="b">
        <v>0</v>
      </c>
      <c r="F2347" s="7" t="inlineStr">
        <is>
          <t>gen_oil_twh</t>
        </is>
      </c>
      <c r="G2347" s="7" t="n">
        <v>0.1</v>
      </c>
      <c r="H2347" s="7" t="n">
        <v>2024</v>
      </c>
      <c r="I2347" s="7" t="inlineStr">
        <is>
          <t>release_generation_yearly_global.csv (Ember)</t>
        </is>
      </c>
    </row>
    <row r="2348">
      <c r="A2348" s="7" t="inlineStr">
        <is>
          <t>SLB</t>
        </is>
      </c>
      <c r="B2348" s="7" t="inlineStr">
        <is>
          <t>Solomon Islands</t>
        </is>
      </c>
      <c r="C2348" s="7" t="inlineStr">
        <is>
          <t>East Asia &amp; Pacific</t>
        </is>
      </c>
      <c r="D2348" s="7" t="inlineStr">
        <is>
          <t>Lower middle income</t>
        </is>
      </c>
      <c r="E2348" s="7" t="b">
        <v>0</v>
      </c>
      <c r="F2348" s="7" t="inlineStr">
        <is>
          <t>gen_total_twh</t>
        </is>
      </c>
      <c r="G2348" s="7" t="n">
        <v>0.11</v>
      </c>
      <c r="H2348" s="7" t="n">
        <v>2024</v>
      </c>
      <c r="I2348" s="7" t="inlineStr">
        <is>
          <t>release_generation_yearly_global.csv (Ember)</t>
        </is>
      </c>
    </row>
    <row r="2349">
      <c r="A2349" s="7" t="inlineStr">
        <is>
          <t>SLB</t>
        </is>
      </c>
      <c r="B2349" s="7" t="inlineStr">
        <is>
          <t>Solomon Islands</t>
        </is>
      </c>
      <c r="C2349" s="7" t="inlineStr">
        <is>
          <t>East Asia &amp; Pacific</t>
        </is>
      </c>
      <c r="D2349" s="7" t="inlineStr">
        <is>
          <t>Lower middle income</t>
        </is>
      </c>
      <c r="E2349" s="7" t="b">
        <v>0</v>
      </c>
      <c r="F2349" s="7" t="inlineStr">
        <is>
          <t>price_coal_power_usd_gj</t>
        </is>
      </c>
      <c r="G2349" s="7" t="n">
        <v>4.833</v>
      </c>
      <c r="H2349" s="7" t="inlineStr">
        <is>
          <t>2024</t>
        </is>
      </c>
      <c r="I2349" s="7" t="inlineStr">
        <is>
          <t>imffossilfuelsubsidiesdata.xlsb</t>
        </is>
      </c>
    </row>
    <row r="2350">
      <c r="A2350" s="7" t="inlineStr">
        <is>
          <t>SLB</t>
        </is>
      </c>
      <c r="B2350" s="7" t="inlineStr">
        <is>
          <t>Solomon Islands</t>
        </is>
      </c>
      <c r="C2350" s="7" t="inlineStr">
        <is>
          <t>East Asia &amp; Pacific</t>
        </is>
      </c>
      <c r="D2350" s="7" t="inlineStr">
        <is>
          <t>Lower middle income</t>
        </is>
      </c>
      <c r="E2350" s="7" t="b">
        <v>0</v>
      </c>
      <c r="F2350" s="7" t="inlineStr">
        <is>
          <t>price_electricity_residential_usd_kwh</t>
        </is>
      </c>
      <c r="G2350" s="7" t="n">
        <v>0.412</v>
      </c>
      <c r="H2350" s="7" t="inlineStr">
        <is>
          <t>2024</t>
        </is>
      </c>
      <c r="I2350" s="7" t="inlineStr">
        <is>
          <t>imffossilfuelsubsidiesdata.xlsb</t>
        </is>
      </c>
    </row>
    <row r="2351">
      <c r="A2351" s="7" t="inlineStr">
        <is>
          <t>SLB</t>
        </is>
      </c>
      <c r="B2351" s="7" t="inlineStr">
        <is>
          <t>Solomon Islands</t>
        </is>
      </c>
      <c r="C2351" s="7" t="inlineStr">
        <is>
          <t>East Asia &amp; Pacific</t>
        </is>
      </c>
      <c r="D2351" s="7" t="inlineStr">
        <is>
          <t>Lower middle income</t>
        </is>
      </c>
      <c r="E2351" s="7" t="b">
        <v>0</v>
      </c>
      <c r="F2351" s="7" t="inlineStr">
        <is>
          <t>price_gas_industry_usd_gj</t>
        </is>
      </c>
      <c r="G2351" s="7" t="n">
        <v>8.257</v>
      </c>
      <c r="H2351" s="7" t="inlineStr">
        <is>
          <t>2024</t>
        </is>
      </c>
      <c r="I2351" s="7" t="inlineStr">
        <is>
          <t>imffossilfuelsubsidiesdata.xlsb</t>
        </is>
      </c>
    </row>
    <row r="2352">
      <c r="A2352" s="7" t="inlineStr">
        <is>
          <t>SLB</t>
        </is>
      </c>
      <c r="B2352" s="7" t="inlineStr">
        <is>
          <t>Solomon Islands</t>
        </is>
      </c>
      <c r="C2352" s="7" t="inlineStr">
        <is>
          <t>East Asia &amp; Pacific</t>
        </is>
      </c>
      <c r="D2352" s="7" t="inlineStr">
        <is>
          <t>Lower middle income</t>
        </is>
      </c>
      <c r="E2352" s="7" t="b">
        <v>0</v>
      </c>
      <c r="F2352" s="7" t="inlineStr">
        <is>
          <t>price_gas_power_usd_gj</t>
        </is>
      </c>
      <c r="G2352" s="7" t="n">
        <v>6.934</v>
      </c>
      <c r="H2352" s="7" t="inlineStr">
        <is>
          <t>2024</t>
        </is>
      </c>
      <c r="I2352" s="7" t="inlineStr">
        <is>
          <t>imffossilfuelsubsidiesdata.xlsb</t>
        </is>
      </c>
    </row>
    <row r="2353">
      <c r="A2353" s="7" t="inlineStr">
        <is>
          <t>SLB</t>
        </is>
      </c>
      <c r="B2353" s="7" t="inlineStr">
        <is>
          <t>Solomon Islands</t>
        </is>
      </c>
      <c r="C2353" s="7" t="inlineStr">
        <is>
          <t>East Asia &amp; Pacific</t>
        </is>
      </c>
      <c r="D2353" s="7" t="inlineStr">
        <is>
          <t>Lower middle income</t>
        </is>
      </c>
      <c r="E2353" s="7" t="b">
        <v>0</v>
      </c>
      <c r="F2353" s="7" t="inlineStr">
        <is>
          <t>rise_renewable_energy_score</t>
        </is>
      </c>
      <c r="G2353" s="7" t="n">
        <v>11.984</v>
      </c>
      <c r="H2353" s="7" t="inlineStr">
        <is>
          <t>2023</t>
        </is>
      </c>
      <c r="I2353" s="7" t="inlineStr">
        <is>
          <t>WB_RISE_WIDEF.csv</t>
        </is>
      </c>
    </row>
    <row r="2354">
      <c r="A2354" s="7" t="inlineStr">
        <is>
          <t>SLE</t>
        </is>
      </c>
      <c r="B2354" s="7" t="inlineStr">
        <is>
          <t>Sierra Leone</t>
        </is>
      </c>
      <c r="C2354" s="7" t="inlineStr">
        <is>
          <t>Sub-Saharan Africa</t>
        </is>
      </c>
      <c r="D2354" s="7" t="inlineStr">
        <is>
          <t>Low income</t>
        </is>
      </c>
      <c r="E2354" s="7" t="b">
        <v>1</v>
      </c>
      <c r="F2354" s="7" t="inlineStr">
        <is>
          <t>coal_rents_pct_gdp</t>
        </is>
      </c>
      <c r="G2354" s="7" t="n">
        <v>0</v>
      </c>
      <c r="H2354" s="7" t="inlineStr">
        <is>
          <t>2021</t>
        </is>
      </c>
      <c r="I2354" s="7" t="inlineStr">
        <is>
          <t>API_NY_GDP_COAL_RT_ZS_DS2_en_csv_v2_35370.zip</t>
        </is>
      </c>
    </row>
    <row r="2355">
      <c r="A2355" s="7" t="inlineStr">
        <is>
          <t>SLE</t>
        </is>
      </c>
      <c r="B2355" s="7" t="inlineStr">
        <is>
          <t>Sierra Leone</t>
        </is>
      </c>
      <c r="C2355" s="7" t="inlineStr">
        <is>
          <t>Sub-Saharan Africa</t>
        </is>
      </c>
      <c r="D2355" s="7" t="inlineStr">
        <is>
          <t>Low income</t>
        </is>
      </c>
      <c r="E2355" s="7" t="b">
        <v>1</v>
      </c>
      <c r="F2355" s="7" t="inlineStr">
        <is>
          <t>em_coal_mt</t>
        </is>
      </c>
      <c r="G2355" s="7" t="n">
        <v>0</v>
      </c>
      <c r="H2355" s="7" t="n">
        <v>2024</v>
      </c>
      <c r="I2355" s="7" t="inlineStr">
        <is>
          <t>release_generation_yearly_global.csv (Ember)</t>
        </is>
      </c>
    </row>
    <row r="2356">
      <c r="A2356" s="7" t="inlineStr">
        <is>
          <t>SLE</t>
        </is>
      </c>
      <c r="B2356" s="7" t="inlineStr">
        <is>
          <t>Sierra Leone</t>
        </is>
      </c>
      <c r="C2356" s="7" t="inlineStr">
        <is>
          <t>Sub-Saharan Africa</t>
        </is>
      </c>
      <c r="D2356" s="7" t="inlineStr">
        <is>
          <t>Low income</t>
        </is>
      </c>
      <c r="E2356" s="7" t="b">
        <v>1</v>
      </c>
      <c r="F2356" s="7" t="inlineStr">
        <is>
          <t>em_gas_mt</t>
        </is>
      </c>
      <c r="G2356" s="7" t="n">
        <v>0</v>
      </c>
      <c r="H2356" s="7" t="n">
        <v>2024</v>
      </c>
      <c r="I2356" s="7" t="inlineStr">
        <is>
          <t>release_generation_yearly_global.csv (Ember)</t>
        </is>
      </c>
    </row>
    <row r="2357">
      <c r="A2357" s="7" t="inlineStr">
        <is>
          <t>SLE</t>
        </is>
      </c>
      <c r="B2357" s="7" t="inlineStr">
        <is>
          <t>Sierra Leone</t>
        </is>
      </c>
      <c r="C2357" s="7" t="inlineStr">
        <is>
          <t>Sub-Saharan Africa</t>
        </is>
      </c>
      <c r="D2357" s="7" t="inlineStr">
        <is>
          <t>Low income</t>
        </is>
      </c>
      <c r="E2357" s="7" t="b">
        <v>1</v>
      </c>
      <c r="F2357" s="7" t="inlineStr">
        <is>
          <t>em_oil_mt</t>
        </is>
      </c>
      <c r="G2357" s="7" t="n">
        <v>0.007</v>
      </c>
      <c r="H2357" s="7" t="n">
        <v>2024</v>
      </c>
      <c r="I2357" s="7" t="inlineStr">
        <is>
          <t>release_generation_yearly_global.csv (Ember)</t>
        </is>
      </c>
    </row>
    <row r="2358">
      <c r="A2358" s="7" t="inlineStr">
        <is>
          <t>SLE</t>
        </is>
      </c>
      <c r="B2358" s="7" t="inlineStr">
        <is>
          <t>Sierra Leone</t>
        </is>
      </c>
      <c r="C2358" s="7" t="inlineStr">
        <is>
          <t>Sub-Saharan Africa</t>
        </is>
      </c>
      <c r="D2358" s="7" t="inlineStr">
        <is>
          <t>Low income</t>
        </is>
      </c>
      <c r="E2358" s="7" t="b">
        <v>1</v>
      </c>
      <c r="F2358" s="7" t="inlineStr">
        <is>
          <t>ff_subsidy_explicit_pct_gdp</t>
        </is>
      </c>
      <c r="G2358" s="7" t="n">
        <v>0.095</v>
      </c>
      <c r="H2358" s="7" t="inlineStr">
        <is>
          <t>2024</t>
        </is>
      </c>
      <c r="I2358" s="7" t="inlineStr">
        <is>
          <t>imffossilfuelsubsidiesdata.xlsb</t>
        </is>
      </c>
    </row>
    <row r="2359">
      <c r="A2359" s="7" t="inlineStr">
        <is>
          <t>SLE</t>
        </is>
      </c>
      <c r="B2359" s="7" t="inlineStr">
        <is>
          <t>Sierra Leone</t>
        </is>
      </c>
      <c r="C2359" s="7" t="inlineStr">
        <is>
          <t>Sub-Saharan Africa</t>
        </is>
      </c>
      <c r="D2359" s="7" t="inlineStr">
        <is>
          <t>Low income</t>
        </is>
      </c>
      <c r="E2359" s="7" t="b">
        <v>1</v>
      </c>
      <c r="F2359" s="7" t="inlineStr">
        <is>
          <t>fuel_exports_pct_merch</t>
        </is>
      </c>
      <c r="G2359" s="7" t="n">
        <v>0.143</v>
      </c>
      <c r="H2359" s="7" t="inlineStr">
        <is>
          <t>2018</t>
        </is>
      </c>
      <c r="I2359" s="7" t="inlineStr">
        <is>
          <t>API_TX_VAL_FUEL_ZS_UN_DS2_en_csv_v2_33055.zip</t>
        </is>
      </c>
    </row>
    <row r="2360">
      <c r="A2360" s="7" t="inlineStr">
        <is>
          <t>SLE</t>
        </is>
      </c>
      <c r="B2360" s="7" t="inlineStr">
        <is>
          <t>Sierra Leone</t>
        </is>
      </c>
      <c r="C2360" s="7" t="inlineStr">
        <is>
          <t>Sub-Saharan Africa</t>
        </is>
      </c>
      <c r="D2360" s="7" t="inlineStr">
        <is>
          <t>Low income</t>
        </is>
      </c>
      <c r="E2360" s="7" t="b">
        <v>1</v>
      </c>
      <c r="F2360" s="7" t="inlineStr">
        <is>
          <t>gen_coal_twh</t>
        </is>
      </c>
      <c r="G2360" s="7" t="n">
        <v>0</v>
      </c>
      <c r="H2360" s="7" t="n">
        <v>2024</v>
      </c>
      <c r="I2360" s="7" t="inlineStr">
        <is>
          <t>release_generation_yearly_global.csv (Ember)</t>
        </is>
      </c>
    </row>
    <row r="2361">
      <c r="A2361" s="7" t="inlineStr">
        <is>
          <t>SLE</t>
        </is>
      </c>
      <c r="B2361" s="7" t="inlineStr">
        <is>
          <t>Sierra Leone</t>
        </is>
      </c>
      <c r="C2361" s="7" t="inlineStr">
        <is>
          <t>Sub-Saharan Africa</t>
        </is>
      </c>
      <c r="D2361" s="7" t="inlineStr">
        <is>
          <t>Low income</t>
        </is>
      </c>
      <c r="E2361" s="7" t="b">
        <v>1</v>
      </c>
      <c r="F2361" s="7" t="inlineStr">
        <is>
          <t>gen_gas_twh</t>
        </is>
      </c>
      <c r="G2361" s="7" t="n">
        <v>0</v>
      </c>
      <c r="H2361" s="7" t="n">
        <v>2024</v>
      </c>
      <c r="I2361" s="7" t="inlineStr">
        <is>
          <t>release_generation_yearly_global.csv (Ember)</t>
        </is>
      </c>
    </row>
    <row r="2362">
      <c r="A2362" s="7" t="inlineStr">
        <is>
          <t>SLE</t>
        </is>
      </c>
      <c r="B2362" s="7" t="inlineStr">
        <is>
          <t>Sierra Leone</t>
        </is>
      </c>
      <c r="C2362" s="7" t="inlineStr">
        <is>
          <t>Sub-Saharan Africa</t>
        </is>
      </c>
      <c r="D2362" s="7" t="inlineStr">
        <is>
          <t>Low income</t>
        </is>
      </c>
      <c r="E2362" s="7" t="b">
        <v>1</v>
      </c>
      <c r="F2362" s="7" t="inlineStr">
        <is>
          <t>gen_oil_twh</t>
        </is>
      </c>
      <c r="G2362" s="7" t="n">
        <v>0.01</v>
      </c>
      <c r="H2362" s="7" t="n">
        <v>2024</v>
      </c>
      <c r="I2362" s="7" t="inlineStr">
        <is>
          <t>release_generation_yearly_global.csv (Ember)</t>
        </is>
      </c>
    </row>
    <row r="2363">
      <c r="A2363" s="7" t="inlineStr">
        <is>
          <t>SLE</t>
        </is>
      </c>
      <c r="B2363" s="7" t="inlineStr">
        <is>
          <t>Sierra Leone</t>
        </is>
      </c>
      <c r="C2363" s="7" t="inlineStr">
        <is>
          <t>Sub-Saharan Africa</t>
        </is>
      </c>
      <c r="D2363" s="7" t="inlineStr">
        <is>
          <t>Low income</t>
        </is>
      </c>
      <c r="E2363" s="7" t="b">
        <v>1</v>
      </c>
      <c r="F2363" s="7" t="inlineStr">
        <is>
          <t>gen_total_twh</t>
        </is>
      </c>
      <c r="G2363" s="7" t="n">
        <v>0.21</v>
      </c>
      <c r="H2363" s="7" t="n">
        <v>2024</v>
      </c>
      <c r="I2363" s="7" t="inlineStr">
        <is>
          <t>release_generation_yearly_global.csv (Ember)</t>
        </is>
      </c>
    </row>
    <row r="2364">
      <c r="A2364" s="7" t="inlineStr">
        <is>
          <t>SLE</t>
        </is>
      </c>
      <c r="B2364" s="7" t="inlineStr">
        <is>
          <t>Sierra Leone</t>
        </is>
      </c>
      <c r="C2364" s="7" t="inlineStr">
        <is>
          <t>Sub-Saharan Africa</t>
        </is>
      </c>
      <c r="D2364" s="7" t="inlineStr">
        <is>
          <t>Low income</t>
        </is>
      </c>
      <c r="E2364" s="7" t="b">
        <v>1</v>
      </c>
      <c r="F2364" s="7" t="inlineStr">
        <is>
          <t>power_market_structure</t>
        </is>
      </c>
      <c r="G2364" s="7" t="n">
        <v>2</v>
      </c>
      <c r="H2364" s="7" t="inlineStr">
        <is>
          <t>2013</t>
        </is>
      </c>
      <c r="I2364" s="7" t="inlineStr">
        <is>
          <t>dataverse_files.zip</t>
        </is>
      </c>
    </row>
    <row r="2365">
      <c r="A2365" s="7" t="inlineStr">
        <is>
          <t>SLE</t>
        </is>
      </c>
      <c r="B2365" s="7" t="inlineStr">
        <is>
          <t>Sierra Leone</t>
        </is>
      </c>
      <c r="C2365" s="7" t="inlineStr">
        <is>
          <t>Sub-Saharan Africa</t>
        </is>
      </c>
      <c r="D2365" s="7" t="inlineStr">
        <is>
          <t>Low income</t>
        </is>
      </c>
      <c r="E2365" s="7" t="b">
        <v>1</v>
      </c>
      <c r="F2365" s="7" t="inlineStr">
        <is>
          <t>price_coal_power_usd_gj</t>
        </is>
      </c>
      <c r="G2365" s="7" t="n">
        <v>5.575</v>
      </c>
      <c r="H2365" s="7" t="inlineStr">
        <is>
          <t>2024</t>
        </is>
      </c>
      <c r="I2365" s="7" t="inlineStr">
        <is>
          <t>imffossilfuelsubsidiesdata.xlsb</t>
        </is>
      </c>
    </row>
    <row r="2366">
      <c r="A2366" s="7" t="inlineStr">
        <is>
          <t>SLE</t>
        </is>
      </c>
      <c r="B2366" s="7" t="inlineStr">
        <is>
          <t>Sierra Leone</t>
        </is>
      </c>
      <c r="C2366" s="7" t="inlineStr">
        <is>
          <t>Sub-Saharan Africa</t>
        </is>
      </c>
      <c r="D2366" s="7" t="inlineStr">
        <is>
          <t>Low income</t>
        </is>
      </c>
      <c r="E2366" s="7" t="b">
        <v>1</v>
      </c>
      <c r="F2366" s="7" t="inlineStr">
        <is>
          <t>price_electricity_residential_usd_kwh</t>
        </is>
      </c>
      <c r="G2366" s="7" t="n">
        <v>0.213</v>
      </c>
      <c r="H2366" s="7" t="inlineStr">
        <is>
          <t>2024</t>
        </is>
      </c>
      <c r="I2366" s="7" t="inlineStr">
        <is>
          <t>imffossilfuelsubsidiesdata.xlsb</t>
        </is>
      </c>
    </row>
    <row r="2367">
      <c r="A2367" s="7" t="inlineStr">
        <is>
          <t>SLE</t>
        </is>
      </c>
      <c r="B2367" s="7" t="inlineStr">
        <is>
          <t>Sierra Leone</t>
        </is>
      </c>
      <c r="C2367" s="7" t="inlineStr">
        <is>
          <t>Sub-Saharan Africa</t>
        </is>
      </c>
      <c r="D2367" s="7" t="inlineStr">
        <is>
          <t>Low income</t>
        </is>
      </c>
      <c r="E2367" s="7" t="b">
        <v>1</v>
      </c>
      <c r="F2367" s="7" t="inlineStr">
        <is>
          <t>price_gas_industry_usd_gj</t>
        </is>
      </c>
      <c r="G2367" s="7" t="n">
        <v>12.815</v>
      </c>
      <c r="H2367" s="7" t="inlineStr">
        <is>
          <t>2024</t>
        </is>
      </c>
      <c r="I2367" s="7" t="inlineStr">
        <is>
          <t>imffossilfuelsubsidiesdata.xlsb</t>
        </is>
      </c>
    </row>
    <row r="2368">
      <c r="A2368" s="7" t="inlineStr">
        <is>
          <t>SLE</t>
        </is>
      </c>
      <c r="B2368" s="7" t="inlineStr">
        <is>
          <t>Sierra Leone</t>
        </is>
      </c>
      <c r="C2368" s="7" t="inlineStr">
        <is>
          <t>Sub-Saharan Africa</t>
        </is>
      </c>
      <c r="D2368" s="7" t="inlineStr">
        <is>
          <t>Low income</t>
        </is>
      </c>
      <c r="E2368" s="7" t="b">
        <v>1</v>
      </c>
      <c r="F2368" s="7" t="inlineStr">
        <is>
          <t>price_gas_power_usd_gj</t>
        </is>
      </c>
      <c r="G2368" s="7" t="n">
        <v>11.492</v>
      </c>
      <c r="H2368" s="7" t="inlineStr">
        <is>
          <t>2024</t>
        </is>
      </c>
      <c r="I2368" s="7" t="inlineStr">
        <is>
          <t>imffossilfuelsubsidiesdata.xlsb</t>
        </is>
      </c>
    </row>
    <row r="2369">
      <c r="A2369" s="7" t="inlineStr">
        <is>
          <t>SLE</t>
        </is>
      </c>
      <c r="B2369" s="7" t="inlineStr">
        <is>
          <t>Sierra Leone</t>
        </is>
      </c>
      <c r="C2369" s="7" t="inlineStr">
        <is>
          <t>Sub-Saharan Africa</t>
        </is>
      </c>
      <c r="D2369" s="7" t="inlineStr">
        <is>
          <t>Low income</t>
        </is>
      </c>
      <c r="E2369" s="7" t="b">
        <v>1</v>
      </c>
      <c r="F2369" s="7" t="inlineStr">
        <is>
          <t>rise_renewable_energy_score</t>
        </is>
      </c>
      <c r="G2369" s="7" t="n">
        <v>13.593</v>
      </c>
      <c r="H2369" s="7" t="inlineStr">
        <is>
          <t>2023</t>
        </is>
      </c>
      <c r="I2369" s="7" t="inlineStr">
        <is>
          <t>WB_RISE_WIDEF.csv</t>
        </is>
      </c>
    </row>
    <row r="2370">
      <c r="A2370" s="7" t="inlineStr">
        <is>
          <t>SLV</t>
        </is>
      </c>
      <c r="B2370" s="7" t="inlineStr">
        <is>
          <t>El Salvador</t>
        </is>
      </c>
      <c r="C2370" s="7" t="inlineStr">
        <is>
          <t>Latin America &amp; Caribbean</t>
        </is>
      </c>
      <c r="D2370" s="7" t="inlineStr">
        <is>
          <t>Upper middle income</t>
        </is>
      </c>
      <c r="E2370" s="7" t="b">
        <v>0</v>
      </c>
      <c r="F2370" s="7" t="inlineStr">
        <is>
          <t>coal_rents_pct_gdp</t>
        </is>
      </c>
      <c r="G2370" s="7" t="n">
        <v>0</v>
      </c>
      <c r="H2370" s="7" t="inlineStr">
        <is>
          <t>2021</t>
        </is>
      </c>
      <c r="I2370" s="7" t="inlineStr">
        <is>
          <t>API_NY_GDP_COAL_RT_ZS_DS2_en_csv_v2_35370.zip</t>
        </is>
      </c>
    </row>
    <row r="2371">
      <c r="A2371" s="7" t="inlineStr">
        <is>
          <t>SLV</t>
        </is>
      </c>
      <c r="B2371" s="7" t="inlineStr">
        <is>
          <t>El Salvador</t>
        </is>
      </c>
      <c r="C2371" s="7" t="inlineStr">
        <is>
          <t>Latin America &amp; Caribbean</t>
        </is>
      </c>
      <c r="D2371" s="7" t="inlineStr">
        <is>
          <t>Upper middle income</t>
        </is>
      </c>
      <c r="E2371" s="7" t="b">
        <v>0</v>
      </c>
      <c r="F2371" s="7" t="inlineStr">
        <is>
          <t>em_oil_mt</t>
        </is>
      </c>
      <c r="G2371" s="7" t="n">
        <v>0.394</v>
      </c>
      <c r="H2371" s="7" t="n">
        <v>2024</v>
      </c>
      <c r="I2371" s="7" t="inlineStr">
        <is>
          <t>release_generation_yearly_global.csv (Ember)</t>
        </is>
      </c>
    </row>
    <row r="2372">
      <c r="A2372" s="7" t="inlineStr">
        <is>
          <t>SLV</t>
        </is>
      </c>
      <c r="B2372" s="7" t="inlineStr">
        <is>
          <t>El Salvador</t>
        </is>
      </c>
      <c r="C2372" s="7" t="inlineStr">
        <is>
          <t>Latin America &amp; Caribbean</t>
        </is>
      </c>
      <c r="D2372" s="7" t="inlineStr">
        <is>
          <t>Upper middle income</t>
        </is>
      </c>
      <c r="E2372" s="7" t="b">
        <v>0</v>
      </c>
      <c r="F2372" s="7" t="inlineStr">
        <is>
          <t>ff_subsidy_explicit_pct_gdp</t>
        </is>
      </c>
      <c r="G2372" s="7" t="n">
        <v>0.721</v>
      </c>
      <c r="H2372" s="7" t="inlineStr">
        <is>
          <t>2024</t>
        </is>
      </c>
      <c r="I2372" s="7" t="inlineStr">
        <is>
          <t>imffossilfuelsubsidiesdata.xlsb</t>
        </is>
      </c>
    </row>
    <row r="2373">
      <c r="A2373" s="7" t="inlineStr">
        <is>
          <t>SLV</t>
        </is>
      </c>
      <c r="B2373" s="7" t="inlineStr">
        <is>
          <t>El Salvador</t>
        </is>
      </c>
      <c r="C2373" s="7" t="inlineStr">
        <is>
          <t>Latin America &amp; Caribbean</t>
        </is>
      </c>
      <c r="D2373" s="7" t="inlineStr">
        <is>
          <t>Upper middle income</t>
        </is>
      </c>
      <c r="E2373" s="7" t="b">
        <v>0</v>
      </c>
      <c r="F2373" s="7" t="inlineStr">
        <is>
          <t>fuel_exports_pct_merch</t>
        </is>
      </c>
      <c r="G2373" s="7" t="n">
        <v>5.001</v>
      </c>
      <c r="H2373" s="7" t="inlineStr">
        <is>
          <t>2024</t>
        </is>
      </c>
      <c r="I2373" s="7" t="inlineStr">
        <is>
          <t>API_TX_VAL_FUEL_ZS_UN_DS2_en_csv_v2_33055.zip</t>
        </is>
      </c>
    </row>
    <row r="2374">
      <c r="A2374" s="7" t="inlineStr">
        <is>
          <t>SLV</t>
        </is>
      </c>
      <c r="B2374" s="7" t="inlineStr">
        <is>
          <t>El Salvador</t>
        </is>
      </c>
      <c r="C2374" s="7" t="inlineStr">
        <is>
          <t>Latin America &amp; Caribbean</t>
        </is>
      </c>
      <c r="D2374" s="7" t="inlineStr">
        <is>
          <t>Upper middle income</t>
        </is>
      </c>
      <c r="E2374" s="7" t="b">
        <v>0</v>
      </c>
      <c r="F2374" s="7" t="inlineStr">
        <is>
          <t>gen_oil_twh</t>
        </is>
      </c>
      <c r="G2374" s="7" t="n">
        <v>0.598</v>
      </c>
      <c r="H2374" s="7" t="n">
        <v>2024</v>
      </c>
      <c r="I2374" s="7" t="inlineStr">
        <is>
          <t>release_generation_yearly_global.csv (Ember)</t>
        </is>
      </c>
    </row>
    <row r="2375">
      <c r="A2375" s="7" t="inlineStr">
        <is>
          <t>SLV</t>
        </is>
      </c>
      <c r="B2375" s="7" t="inlineStr">
        <is>
          <t>El Salvador</t>
        </is>
      </c>
      <c r="C2375" s="7" t="inlineStr">
        <is>
          <t>Latin America &amp; Caribbean</t>
        </is>
      </c>
      <c r="D2375" s="7" t="inlineStr">
        <is>
          <t>Upper middle income</t>
        </is>
      </c>
      <c r="E2375" s="7" t="b">
        <v>0</v>
      </c>
      <c r="F2375" s="7" t="inlineStr">
        <is>
          <t>gen_total_twh</t>
        </is>
      </c>
      <c r="G2375" s="7" t="n">
        <v>6.528</v>
      </c>
      <c r="H2375" s="7" t="n">
        <v>2024</v>
      </c>
      <c r="I2375" s="7" t="inlineStr">
        <is>
          <t>release_generation_yearly_global.csv (Ember)</t>
        </is>
      </c>
    </row>
    <row r="2376">
      <c r="A2376" s="7" t="inlineStr">
        <is>
          <t>SLV</t>
        </is>
      </c>
      <c r="B2376" s="7" t="inlineStr">
        <is>
          <t>El Salvador</t>
        </is>
      </c>
      <c r="C2376" s="7" t="inlineStr">
        <is>
          <t>Latin America &amp; Caribbean</t>
        </is>
      </c>
      <c r="D2376" s="7" t="inlineStr">
        <is>
          <t>Upper middle income</t>
        </is>
      </c>
      <c r="E2376" s="7" t="b">
        <v>0</v>
      </c>
      <c r="F2376" s="7" t="inlineStr">
        <is>
          <t>power_market_structure</t>
        </is>
      </c>
      <c r="G2376" s="7" t="n">
        <v>3</v>
      </c>
      <c r="H2376" s="7" t="inlineStr">
        <is>
          <t>2013</t>
        </is>
      </c>
      <c r="I2376" s="7" t="inlineStr">
        <is>
          <t>dataverse_files.zip</t>
        </is>
      </c>
    </row>
    <row r="2377">
      <c r="A2377" s="7" t="inlineStr">
        <is>
          <t>SLV</t>
        </is>
      </c>
      <c r="B2377" s="7" t="inlineStr">
        <is>
          <t>El Salvador</t>
        </is>
      </c>
      <c r="C2377" s="7" t="inlineStr">
        <is>
          <t>Latin America &amp; Caribbean</t>
        </is>
      </c>
      <c r="D2377" s="7" t="inlineStr">
        <is>
          <t>Upper middle income</t>
        </is>
      </c>
      <c r="E2377" s="7" t="b">
        <v>0</v>
      </c>
      <c r="F2377" s="7" t="inlineStr">
        <is>
          <t>price_coal_power_usd_gj</t>
        </is>
      </c>
      <c r="G2377" s="7" t="n">
        <v>5.787</v>
      </c>
      <c r="H2377" s="7" t="inlineStr">
        <is>
          <t>2024</t>
        </is>
      </c>
      <c r="I2377" s="7" t="inlineStr">
        <is>
          <t>imffossilfuelsubsidiesdata.xlsb</t>
        </is>
      </c>
    </row>
    <row r="2378">
      <c r="A2378" s="7" t="inlineStr">
        <is>
          <t>SLV</t>
        </is>
      </c>
      <c r="B2378" s="7" t="inlineStr">
        <is>
          <t>El Salvador</t>
        </is>
      </c>
      <c r="C2378" s="7" t="inlineStr">
        <is>
          <t>Latin America &amp; Caribbean</t>
        </is>
      </c>
      <c r="D2378" s="7" t="inlineStr">
        <is>
          <t>Upper middle income</t>
        </is>
      </c>
      <c r="E2378" s="7" t="b">
        <v>0</v>
      </c>
      <c r="F2378" s="7" t="inlineStr">
        <is>
          <t>price_electricity_residential_usd_kwh</t>
        </is>
      </c>
      <c r="G2378" s="7" t="n">
        <v>0.205</v>
      </c>
      <c r="H2378" s="7" t="inlineStr">
        <is>
          <t>2024</t>
        </is>
      </c>
      <c r="I2378" s="7" t="inlineStr">
        <is>
          <t>imffossilfuelsubsidiesdata.xlsb</t>
        </is>
      </c>
    </row>
    <row r="2379">
      <c r="A2379" s="7" t="inlineStr">
        <is>
          <t>SLV</t>
        </is>
      </c>
      <c r="B2379" s="7" t="inlineStr">
        <is>
          <t>El Salvador</t>
        </is>
      </c>
      <c r="C2379" s="7" t="inlineStr">
        <is>
          <t>Latin America &amp; Caribbean</t>
        </is>
      </c>
      <c r="D2379" s="7" t="inlineStr">
        <is>
          <t>Upper middle income</t>
        </is>
      </c>
      <c r="E2379" s="7" t="b">
        <v>0</v>
      </c>
      <c r="F2379" s="7" t="inlineStr">
        <is>
          <t>price_gas_industry_usd_gj</t>
        </is>
      </c>
      <c r="G2379" s="7" t="n">
        <v>12.771</v>
      </c>
      <c r="H2379" s="7" t="inlineStr">
        <is>
          <t>2024</t>
        </is>
      </c>
      <c r="I2379" s="7" t="inlineStr">
        <is>
          <t>imffossilfuelsubsidiesdata.xlsb</t>
        </is>
      </c>
    </row>
    <row r="2380">
      <c r="A2380" s="7" t="inlineStr">
        <is>
          <t>SLV</t>
        </is>
      </c>
      <c r="B2380" s="7" t="inlineStr">
        <is>
          <t>El Salvador</t>
        </is>
      </c>
      <c r="C2380" s="7" t="inlineStr">
        <is>
          <t>Latin America &amp; Caribbean</t>
        </is>
      </c>
      <c r="D2380" s="7" t="inlineStr">
        <is>
          <t>Upper middle income</t>
        </is>
      </c>
      <c r="E2380" s="7" t="b">
        <v>0</v>
      </c>
      <c r="F2380" s="7" t="inlineStr">
        <is>
          <t>price_gas_power_usd_gj</t>
        </is>
      </c>
      <c r="G2380" s="7" t="n">
        <v>11.447</v>
      </c>
      <c r="H2380" s="7" t="inlineStr">
        <is>
          <t>2024</t>
        </is>
      </c>
      <c r="I2380" s="7" t="inlineStr">
        <is>
          <t>imffossilfuelsubsidiesdata.xlsb</t>
        </is>
      </c>
    </row>
    <row r="2381">
      <c r="A2381" s="7" t="inlineStr">
        <is>
          <t>SLV</t>
        </is>
      </c>
      <c r="B2381" s="7" t="inlineStr">
        <is>
          <t>El Salvador</t>
        </is>
      </c>
      <c r="C2381" s="7" t="inlineStr">
        <is>
          <t>Latin America &amp; Caribbean</t>
        </is>
      </c>
      <c r="D2381" s="7" t="inlineStr">
        <is>
          <t>Upper middle income</t>
        </is>
      </c>
      <c r="E2381" s="7" t="b">
        <v>0</v>
      </c>
      <c r="F2381" s="7" t="inlineStr">
        <is>
          <t>rise_renewable_energy_score</t>
        </is>
      </c>
      <c r="G2381" s="7" t="n">
        <v>27.392</v>
      </c>
      <c r="H2381" s="7" t="inlineStr">
        <is>
          <t>2023</t>
        </is>
      </c>
      <c r="I2381" s="7" t="inlineStr">
        <is>
          <t>WB_RISE_WIDEF.csv</t>
        </is>
      </c>
    </row>
    <row r="2382">
      <c r="A2382" s="7" t="inlineStr">
        <is>
          <t>SOM</t>
        </is>
      </c>
      <c r="B2382" s="7" t="inlineStr">
        <is>
          <t>Somalia, Fed. Rep.</t>
        </is>
      </c>
      <c r="C2382" s="7" t="inlineStr">
        <is>
          <t>Sub-Saharan Africa</t>
        </is>
      </c>
      <c r="D2382" s="7" t="inlineStr">
        <is>
          <t>Low income</t>
        </is>
      </c>
      <c r="E2382" s="7" t="b">
        <v>1</v>
      </c>
      <c r="F2382" s="7" t="inlineStr">
        <is>
          <t>coal_rents_pct_gdp</t>
        </is>
      </c>
      <c r="G2382" s="7" t="n">
        <v>0</v>
      </c>
      <c r="H2382" s="7" t="inlineStr">
        <is>
          <t>2021</t>
        </is>
      </c>
      <c r="I2382" s="7" t="inlineStr">
        <is>
          <t>API_NY_GDP_COAL_RT_ZS_DS2_en_csv_v2_35370.zip</t>
        </is>
      </c>
    </row>
    <row r="2383">
      <c r="A2383" s="7" t="inlineStr">
        <is>
          <t>SOM</t>
        </is>
      </c>
      <c r="B2383" s="7" t="inlineStr">
        <is>
          <t>Somalia, Fed. Rep.</t>
        </is>
      </c>
      <c r="C2383" s="7" t="inlineStr">
        <is>
          <t>Sub-Saharan Africa</t>
        </is>
      </c>
      <c r="D2383" s="7" t="inlineStr">
        <is>
          <t>Low income</t>
        </is>
      </c>
      <c r="E2383" s="7" t="b">
        <v>1</v>
      </c>
      <c r="F2383" s="7" t="inlineStr">
        <is>
          <t>em_coal_mt</t>
        </is>
      </c>
      <c r="G2383" s="7" t="n">
        <v>0</v>
      </c>
      <c r="H2383" s="7" t="n">
        <v>2024</v>
      </c>
      <c r="I2383" s="7" t="inlineStr">
        <is>
          <t>release_generation_yearly_global.csv (Ember)</t>
        </is>
      </c>
    </row>
    <row r="2384">
      <c r="A2384" s="7" t="inlineStr">
        <is>
          <t>SOM</t>
        </is>
      </c>
      <c r="B2384" s="7" t="inlineStr">
        <is>
          <t>Somalia, Fed. Rep.</t>
        </is>
      </c>
      <c r="C2384" s="7" t="inlineStr">
        <is>
          <t>Sub-Saharan Africa</t>
        </is>
      </c>
      <c r="D2384" s="7" t="inlineStr">
        <is>
          <t>Low income</t>
        </is>
      </c>
      <c r="E2384" s="7" t="b">
        <v>1</v>
      </c>
      <c r="F2384" s="7" t="inlineStr">
        <is>
          <t>em_gas_mt</t>
        </is>
      </c>
      <c r="G2384" s="7" t="n">
        <v>0</v>
      </c>
      <c r="H2384" s="7" t="n">
        <v>2024</v>
      </c>
      <c r="I2384" s="7" t="inlineStr">
        <is>
          <t>release_generation_yearly_global.csv (Ember)</t>
        </is>
      </c>
    </row>
    <row r="2385">
      <c r="A2385" s="7" t="inlineStr">
        <is>
          <t>SOM</t>
        </is>
      </c>
      <c r="B2385" s="7" t="inlineStr">
        <is>
          <t>Somalia, Fed. Rep.</t>
        </is>
      </c>
      <c r="C2385" s="7" t="inlineStr">
        <is>
          <t>Sub-Saharan Africa</t>
        </is>
      </c>
      <c r="D2385" s="7" t="inlineStr">
        <is>
          <t>Low income</t>
        </is>
      </c>
      <c r="E2385" s="7" t="b">
        <v>1</v>
      </c>
      <c r="F2385" s="7" t="inlineStr">
        <is>
          <t>em_oil_mt</t>
        </is>
      </c>
      <c r="G2385" s="7" t="n">
        <v>0.224</v>
      </c>
      <c r="H2385" s="7" t="n">
        <v>2024</v>
      </c>
      <c r="I2385" s="7" t="inlineStr">
        <is>
          <t>release_generation_yearly_global.csv (Ember)</t>
        </is>
      </c>
    </row>
    <row r="2386">
      <c r="A2386" s="7" t="inlineStr">
        <is>
          <t>SOM</t>
        </is>
      </c>
      <c r="B2386" s="7" t="inlineStr">
        <is>
          <t>Somalia, Fed. Rep.</t>
        </is>
      </c>
      <c r="C2386" s="7" t="inlineStr">
        <is>
          <t>Sub-Saharan Africa</t>
        </is>
      </c>
      <c r="D2386" s="7" t="inlineStr">
        <is>
          <t>Low income</t>
        </is>
      </c>
      <c r="E2386" s="7" t="b">
        <v>1</v>
      </c>
      <c r="F2386" s="7" t="inlineStr">
        <is>
          <t>ff_subsidy_explicit_pct_gdp</t>
        </is>
      </c>
      <c r="G2386" s="7" t="n">
        <v>0.844</v>
      </c>
      <c r="H2386" s="7" t="inlineStr">
        <is>
          <t>2024</t>
        </is>
      </c>
      <c r="I2386" s="7" t="inlineStr">
        <is>
          <t>imffossilfuelsubsidiesdata.xlsb</t>
        </is>
      </c>
    </row>
    <row r="2387">
      <c r="A2387" s="7" t="inlineStr">
        <is>
          <t>SOM</t>
        </is>
      </c>
      <c r="B2387" s="7" t="inlineStr">
        <is>
          <t>Somalia, Fed. Rep.</t>
        </is>
      </c>
      <c r="C2387" s="7" t="inlineStr">
        <is>
          <t>Sub-Saharan Africa</t>
        </is>
      </c>
      <c r="D2387" s="7" t="inlineStr">
        <is>
          <t>Low income</t>
        </is>
      </c>
      <c r="E2387" s="7" t="b">
        <v>1</v>
      </c>
      <c r="F2387" s="7" t="inlineStr">
        <is>
          <t>fuel_exports_pct_merch</t>
        </is>
      </c>
      <c r="G2387" s="7" t="n">
        <v>1.118</v>
      </c>
      <c r="H2387" s="7" t="inlineStr">
        <is>
          <t>1982</t>
        </is>
      </c>
      <c r="I2387" s="7" t="inlineStr">
        <is>
          <t>API_TX_VAL_FUEL_ZS_UN_DS2_en_csv_v2_33055.zip</t>
        </is>
      </c>
    </row>
    <row r="2388">
      <c r="A2388" s="7" t="inlineStr">
        <is>
          <t>SOM</t>
        </is>
      </c>
      <c r="B2388" s="7" t="inlineStr">
        <is>
          <t>Somalia, Fed. Rep.</t>
        </is>
      </c>
      <c r="C2388" s="7" t="inlineStr">
        <is>
          <t>Sub-Saharan Africa</t>
        </is>
      </c>
      <c r="D2388" s="7" t="inlineStr">
        <is>
          <t>Low income</t>
        </is>
      </c>
      <c r="E2388" s="7" t="b">
        <v>1</v>
      </c>
      <c r="F2388" s="7" t="inlineStr">
        <is>
          <t>gen_coal_twh</t>
        </is>
      </c>
      <c r="G2388" s="7" t="n">
        <v>0</v>
      </c>
      <c r="H2388" s="7" t="n">
        <v>2024</v>
      </c>
      <c r="I2388" s="7" t="inlineStr">
        <is>
          <t>release_generation_yearly_global.csv (Ember)</t>
        </is>
      </c>
    </row>
    <row r="2389">
      <c r="A2389" s="7" t="inlineStr">
        <is>
          <t>SOM</t>
        </is>
      </c>
      <c r="B2389" s="7" t="inlineStr">
        <is>
          <t>Somalia, Fed. Rep.</t>
        </is>
      </c>
      <c r="C2389" s="7" t="inlineStr">
        <is>
          <t>Sub-Saharan Africa</t>
        </is>
      </c>
      <c r="D2389" s="7" t="inlineStr">
        <is>
          <t>Low income</t>
        </is>
      </c>
      <c r="E2389" s="7" t="b">
        <v>1</v>
      </c>
      <c r="F2389" s="7" t="inlineStr">
        <is>
          <t>gen_gas_twh</t>
        </is>
      </c>
      <c r="G2389" s="7" t="n">
        <v>0</v>
      </c>
      <c r="H2389" s="7" t="n">
        <v>2024</v>
      </c>
      <c r="I2389" s="7" t="inlineStr">
        <is>
          <t>release_generation_yearly_global.csv (Ember)</t>
        </is>
      </c>
    </row>
    <row r="2390">
      <c r="A2390" s="7" t="inlineStr">
        <is>
          <t>SOM</t>
        </is>
      </c>
      <c r="B2390" s="7" t="inlineStr">
        <is>
          <t>Somalia, Fed. Rep.</t>
        </is>
      </c>
      <c r="C2390" s="7" t="inlineStr">
        <is>
          <t>Sub-Saharan Africa</t>
        </is>
      </c>
      <c r="D2390" s="7" t="inlineStr">
        <is>
          <t>Low income</t>
        </is>
      </c>
      <c r="E2390" s="7" t="b">
        <v>1</v>
      </c>
      <c r="F2390" s="7" t="inlineStr">
        <is>
          <t>gen_oil_twh</t>
        </is>
      </c>
      <c r="G2390" s="7" t="n">
        <v>0.34</v>
      </c>
      <c r="H2390" s="7" t="n">
        <v>2024</v>
      </c>
      <c r="I2390" s="7" t="inlineStr">
        <is>
          <t>release_generation_yearly_global.csv (Ember)</t>
        </is>
      </c>
    </row>
    <row r="2391">
      <c r="A2391" s="7" t="inlineStr">
        <is>
          <t>SOM</t>
        </is>
      </c>
      <c r="B2391" s="7" t="inlineStr">
        <is>
          <t>Somalia, Fed. Rep.</t>
        </is>
      </c>
      <c r="C2391" s="7" t="inlineStr">
        <is>
          <t>Sub-Saharan Africa</t>
        </is>
      </c>
      <c r="D2391" s="7" t="inlineStr">
        <is>
          <t>Low income</t>
        </is>
      </c>
      <c r="E2391" s="7" t="b">
        <v>1</v>
      </c>
      <c r="F2391" s="7" t="inlineStr">
        <is>
          <t>gen_total_twh</t>
        </is>
      </c>
      <c r="G2391" s="7" t="n">
        <v>0.43</v>
      </c>
      <c r="H2391" s="7" t="n">
        <v>2024</v>
      </c>
      <c r="I2391" s="7" t="inlineStr">
        <is>
          <t>release_generation_yearly_global.csv (Ember)</t>
        </is>
      </c>
    </row>
    <row r="2392">
      <c r="A2392" s="7" t="inlineStr">
        <is>
          <t>SOM</t>
        </is>
      </c>
      <c r="B2392" s="7" t="inlineStr">
        <is>
          <t>Somalia, Fed. Rep.</t>
        </is>
      </c>
      <c r="C2392" s="7" t="inlineStr">
        <is>
          <t>Sub-Saharan Africa</t>
        </is>
      </c>
      <c r="D2392" s="7" t="inlineStr">
        <is>
          <t>Low income</t>
        </is>
      </c>
      <c r="E2392" s="7" t="b">
        <v>1</v>
      </c>
      <c r="F2392" s="7" t="inlineStr">
        <is>
          <t>price_coal_power_usd_gj</t>
        </is>
      </c>
      <c r="G2392" s="7" t="n">
        <v>5.575</v>
      </c>
      <c r="H2392" s="7" t="inlineStr">
        <is>
          <t>2024</t>
        </is>
      </c>
      <c r="I2392" s="7" t="inlineStr">
        <is>
          <t>imffossilfuelsubsidiesdata.xlsb</t>
        </is>
      </c>
    </row>
    <row r="2393">
      <c r="A2393" s="7" t="inlineStr">
        <is>
          <t>SOM</t>
        </is>
      </c>
      <c r="B2393" s="7" t="inlineStr">
        <is>
          <t>Somalia, Fed. Rep.</t>
        </is>
      </c>
      <c r="C2393" s="7" t="inlineStr">
        <is>
          <t>Sub-Saharan Africa</t>
        </is>
      </c>
      <c r="D2393" s="7" t="inlineStr">
        <is>
          <t>Low income</t>
        </is>
      </c>
      <c r="E2393" s="7" t="b">
        <v>1</v>
      </c>
      <c r="F2393" s="7" t="inlineStr">
        <is>
          <t>price_electricity_residential_usd_kwh</t>
        </is>
      </c>
      <c r="G2393" s="7" t="n">
        <v>0.082</v>
      </c>
      <c r="H2393" s="7" t="inlineStr">
        <is>
          <t>2024</t>
        </is>
      </c>
      <c r="I2393" s="7" t="inlineStr">
        <is>
          <t>imffossilfuelsubsidiesdata.xlsb</t>
        </is>
      </c>
    </row>
    <row r="2394">
      <c r="A2394" s="7" t="inlineStr">
        <is>
          <t>SOM</t>
        </is>
      </c>
      <c r="B2394" s="7" t="inlineStr">
        <is>
          <t>Somalia, Fed. Rep.</t>
        </is>
      </c>
      <c r="C2394" s="7" t="inlineStr">
        <is>
          <t>Sub-Saharan Africa</t>
        </is>
      </c>
      <c r="D2394" s="7" t="inlineStr">
        <is>
          <t>Low income</t>
        </is>
      </c>
      <c r="E2394" s="7" t="b">
        <v>1</v>
      </c>
      <c r="F2394" s="7" t="inlineStr">
        <is>
          <t>price_gas_industry_usd_gj</t>
        </is>
      </c>
      <c r="G2394" s="7" t="n">
        <v>12.815</v>
      </c>
      <c r="H2394" s="7" t="inlineStr">
        <is>
          <t>2024</t>
        </is>
      </c>
      <c r="I2394" s="7" t="inlineStr">
        <is>
          <t>imffossilfuelsubsidiesdata.xlsb</t>
        </is>
      </c>
    </row>
    <row r="2395">
      <c r="A2395" s="7" t="inlineStr">
        <is>
          <t>SOM</t>
        </is>
      </c>
      <c r="B2395" s="7" t="inlineStr">
        <is>
          <t>Somalia, Fed. Rep.</t>
        </is>
      </c>
      <c r="C2395" s="7" t="inlineStr">
        <is>
          <t>Sub-Saharan Africa</t>
        </is>
      </c>
      <c r="D2395" s="7" t="inlineStr">
        <is>
          <t>Low income</t>
        </is>
      </c>
      <c r="E2395" s="7" t="b">
        <v>1</v>
      </c>
      <c r="F2395" s="7" t="inlineStr">
        <is>
          <t>price_gas_power_usd_gj</t>
        </is>
      </c>
      <c r="G2395" s="7" t="n">
        <v>11.492</v>
      </c>
      <c r="H2395" s="7" t="inlineStr">
        <is>
          <t>2024</t>
        </is>
      </c>
      <c r="I2395" s="7" t="inlineStr">
        <is>
          <t>imffossilfuelsubsidiesdata.xlsb</t>
        </is>
      </c>
    </row>
    <row r="2396">
      <c r="A2396" s="7" t="inlineStr">
        <is>
          <t>SOM</t>
        </is>
      </c>
      <c r="B2396" s="7" t="inlineStr">
        <is>
          <t>Somalia, Fed. Rep.</t>
        </is>
      </c>
      <c r="C2396" s="7" t="inlineStr">
        <is>
          <t>Sub-Saharan Africa</t>
        </is>
      </c>
      <c r="D2396" s="7" t="inlineStr">
        <is>
          <t>Low income</t>
        </is>
      </c>
      <c r="E2396" s="7" t="b">
        <v>1</v>
      </c>
      <c r="F2396" s="7" t="inlineStr">
        <is>
          <t>rise_renewable_energy_score</t>
        </is>
      </c>
      <c r="G2396" s="7" t="n">
        <v>3.833</v>
      </c>
      <c r="H2396" s="7" t="inlineStr">
        <is>
          <t>2023</t>
        </is>
      </c>
      <c r="I2396" s="7" t="inlineStr">
        <is>
          <t>WB_RISE_WIDEF.csv</t>
        </is>
      </c>
    </row>
    <row r="2397">
      <c r="A2397" s="7" t="inlineStr">
        <is>
          <t>SRB</t>
        </is>
      </c>
      <c r="B2397" s="7" t="inlineStr">
        <is>
          <t>Serbia</t>
        </is>
      </c>
      <c r="C2397" s="7" t="inlineStr">
        <is>
          <t>Europe &amp; Central Asia</t>
        </is>
      </c>
      <c r="D2397" s="7" t="inlineStr">
        <is>
          <t>Upper middle income</t>
        </is>
      </c>
      <c r="E2397" s="7" t="b">
        <v>1</v>
      </c>
      <c r="F2397" s="7" t="inlineStr">
        <is>
          <t>coal_rents_pct_gdp</t>
        </is>
      </c>
      <c r="G2397" s="7" t="n">
        <v>0.235</v>
      </c>
      <c r="H2397" s="7" t="inlineStr">
        <is>
          <t>2021</t>
        </is>
      </c>
      <c r="I2397" s="7" t="inlineStr">
        <is>
          <t>API_NY_GDP_COAL_RT_ZS_DS2_en_csv_v2_35370.zip</t>
        </is>
      </c>
    </row>
    <row r="2398">
      <c r="A2398" s="7" t="inlineStr">
        <is>
          <t>SRB</t>
        </is>
      </c>
      <c r="B2398" s="7" t="inlineStr">
        <is>
          <t>Serbia</t>
        </is>
      </c>
      <c r="C2398" s="7" t="inlineStr">
        <is>
          <t>Europe &amp; Central Asia</t>
        </is>
      </c>
      <c r="D2398" s="7" t="inlineStr">
        <is>
          <t>Upper middle income</t>
        </is>
      </c>
      <c r="E2398" s="7" t="b">
        <v>1</v>
      </c>
      <c r="F2398" s="7" t="inlineStr">
        <is>
          <t>em_coal_mt</t>
        </is>
      </c>
      <c r="G2398" s="7" t="n">
        <v>23.561</v>
      </c>
      <c r="H2398" s="7" t="n">
        <v>2024</v>
      </c>
      <c r="I2398" s="7" t="inlineStr">
        <is>
          <t>release_generation_yearly_global.csv (Ember)</t>
        </is>
      </c>
    </row>
    <row r="2399">
      <c r="A2399" s="7" t="inlineStr">
        <is>
          <t>SRB</t>
        </is>
      </c>
      <c r="B2399" s="7" t="inlineStr">
        <is>
          <t>Serbia</t>
        </is>
      </c>
      <c r="C2399" s="7" t="inlineStr">
        <is>
          <t>Europe &amp; Central Asia</t>
        </is>
      </c>
      <c r="D2399" s="7" t="inlineStr">
        <is>
          <t>Upper middle income</t>
        </is>
      </c>
      <c r="E2399" s="7" t="b">
        <v>1</v>
      </c>
      <c r="F2399" s="7" t="inlineStr">
        <is>
          <t>em_gas_mt</t>
        </is>
      </c>
      <c r="G2399" s="7" t="n">
        <v>0.712</v>
      </c>
      <c r="H2399" s="7" t="n">
        <v>2024</v>
      </c>
      <c r="I2399" s="7" t="inlineStr">
        <is>
          <t>release_generation_yearly_global.csv (Ember)</t>
        </is>
      </c>
    </row>
    <row r="2400">
      <c r="A2400" s="7" t="inlineStr">
        <is>
          <t>SRB</t>
        </is>
      </c>
      <c r="B2400" s="7" t="inlineStr">
        <is>
          <t>Serbia</t>
        </is>
      </c>
      <c r="C2400" s="7" t="inlineStr">
        <is>
          <t>Europe &amp; Central Asia</t>
        </is>
      </c>
      <c r="D2400" s="7" t="inlineStr">
        <is>
          <t>Upper middle income</t>
        </is>
      </c>
      <c r="E2400" s="7" t="b">
        <v>1</v>
      </c>
      <c r="F2400" s="7" t="inlineStr">
        <is>
          <t>em_oil_mt</t>
        </is>
      </c>
      <c r="G2400" s="7" t="n">
        <v>0.08599999999999999</v>
      </c>
      <c r="H2400" s="7" t="n">
        <v>2024</v>
      </c>
      <c r="I2400" s="7" t="inlineStr">
        <is>
          <t>release_generation_yearly_global.csv (Ember)</t>
        </is>
      </c>
    </row>
    <row r="2401">
      <c r="A2401" s="7" t="inlineStr">
        <is>
          <t>SRB</t>
        </is>
      </c>
      <c r="B2401" s="7" t="inlineStr">
        <is>
          <t>Serbia</t>
        </is>
      </c>
      <c r="C2401" s="7" t="inlineStr">
        <is>
          <t>Europe &amp; Central Asia</t>
        </is>
      </c>
      <c r="D2401" s="7" t="inlineStr">
        <is>
          <t>Upper middle income</t>
        </is>
      </c>
      <c r="E2401" s="7" t="b">
        <v>1</v>
      </c>
      <c r="F2401" s="7" t="inlineStr">
        <is>
          <t>ff_subsidy_explicit_pct_gdp</t>
        </is>
      </c>
      <c r="G2401" s="7" t="n">
        <v>0.288</v>
      </c>
      <c r="H2401" s="7" t="inlineStr">
        <is>
          <t>2024</t>
        </is>
      </c>
      <c r="I2401" s="7" t="inlineStr">
        <is>
          <t>imffossilfuelsubsidiesdata.xlsb</t>
        </is>
      </c>
    </row>
    <row r="2402">
      <c r="A2402" s="7" t="inlineStr">
        <is>
          <t>SRB</t>
        </is>
      </c>
      <c r="B2402" s="7" t="inlineStr">
        <is>
          <t>Serbia</t>
        </is>
      </c>
      <c r="C2402" s="7" t="inlineStr">
        <is>
          <t>Europe &amp; Central Asia</t>
        </is>
      </c>
      <c r="D2402" s="7" t="inlineStr">
        <is>
          <t>Upper middle income</t>
        </is>
      </c>
      <c r="E2402" s="7" t="b">
        <v>1</v>
      </c>
      <c r="F2402" s="7" t="inlineStr">
        <is>
          <t>fuel_exports_pct_merch</t>
        </is>
      </c>
      <c r="G2402" s="7" t="n">
        <v>2.621</v>
      </c>
      <c r="H2402" s="7" t="inlineStr">
        <is>
          <t>2007</t>
        </is>
      </c>
      <c r="I2402" s="7" t="inlineStr">
        <is>
          <t>API_TX_VAL_FUEL_ZS_UN_DS2_en_csv_v2_33055.zip</t>
        </is>
      </c>
    </row>
    <row r="2403">
      <c r="A2403" s="7" t="inlineStr">
        <is>
          <t>SRB</t>
        </is>
      </c>
      <c r="B2403" s="7" t="inlineStr">
        <is>
          <t>Serbia</t>
        </is>
      </c>
      <c r="C2403" s="7" t="inlineStr">
        <is>
          <t>Europe &amp; Central Asia</t>
        </is>
      </c>
      <c r="D2403" s="7" t="inlineStr">
        <is>
          <t>Upper middle income</t>
        </is>
      </c>
      <c r="E2403" s="7" t="b">
        <v>1</v>
      </c>
      <c r="F2403" s="7" t="inlineStr">
        <is>
          <t>gen_coal_twh</t>
        </is>
      </c>
      <c r="G2403" s="7" t="n">
        <v>23.26</v>
      </c>
      <c r="H2403" s="7" t="n">
        <v>2024</v>
      </c>
      <c r="I2403" s="7" t="inlineStr">
        <is>
          <t>release_generation_yearly_global.csv (Ember)</t>
        </is>
      </c>
    </row>
    <row r="2404">
      <c r="A2404" s="7" t="inlineStr">
        <is>
          <t>SRB</t>
        </is>
      </c>
      <c r="B2404" s="7" t="inlineStr">
        <is>
          <t>Serbia</t>
        </is>
      </c>
      <c r="C2404" s="7" t="inlineStr">
        <is>
          <t>Europe &amp; Central Asia</t>
        </is>
      </c>
      <c r="D2404" s="7" t="inlineStr">
        <is>
          <t>Upper middle income</t>
        </is>
      </c>
      <c r="E2404" s="7" t="b">
        <v>1</v>
      </c>
      <c r="F2404" s="7" t="inlineStr">
        <is>
          <t>gen_gas_twh</t>
        </is>
      </c>
      <c r="G2404" s="7" t="n">
        <v>1.72</v>
      </c>
      <c r="H2404" s="7" t="n">
        <v>2024</v>
      </c>
      <c r="I2404" s="7" t="inlineStr">
        <is>
          <t>release_generation_yearly_global.csv (Ember)</t>
        </is>
      </c>
    </row>
    <row r="2405">
      <c r="A2405" s="7" t="inlineStr">
        <is>
          <t>SRB</t>
        </is>
      </c>
      <c r="B2405" s="7" t="inlineStr">
        <is>
          <t>Serbia</t>
        </is>
      </c>
      <c r="C2405" s="7" t="inlineStr">
        <is>
          <t>Europe &amp; Central Asia</t>
        </is>
      </c>
      <c r="D2405" s="7" t="inlineStr">
        <is>
          <t>Upper middle income</t>
        </is>
      </c>
      <c r="E2405" s="7" t="b">
        <v>1</v>
      </c>
      <c r="F2405" s="7" t="inlineStr">
        <is>
          <t>gen_oil_twh</t>
        </is>
      </c>
      <c r="G2405" s="7" t="n">
        <v>0.13</v>
      </c>
      <c r="H2405" s="7" t="n">
        <v>2024</v>
      </c>
      <c r="I2405" s="7" t="inlineStr">
        <is>
          <t>release_generation_yearly_global.csv (Ember)</t>
        </is>
      </c>
    </row>
    <row r="2406">
      <c r="A2406" s="7" t="inlineStr">
        <is>
          <t>SRB</t>
        </is>
      </c>
      <c r="B2406" s="7" t="inlineStr">
        <is>
          <t>Serbia</t>
        </is>
      </c>
      <c r="C2406" s="7" t="inlineStr">
        <is>
          <t>Europe &amp; Central Asia</t>
        </is>
      </c>
      <c r="D2406" s="7" t="inlineStr">
        <is>
          <t>Upper middle income</t>
        </is>
      </c>
      <c r="E2406" s="7" t="b">
        <v>1</v>
      </c>
      <c r="F2406" s="7" t="inlineStr">
        <is>
          <t>gen_total_twh</t>
        </is>
      </c>
      <c r="G2406" s="7" t="n">
        <v>36.96</v>
      </c>
      <c r="H2406" s="7" t="n">
        <v>2024</v>
      </c>
      <c r="I2406" s="7" t="inlineStr">
        <is>
          <t>release_generation_yearly_global.csv (Ember)</t>
        </is>
      </c>
    </row>
    <row r="2407">
      <c r="A2407" s="7" t="inlineStr">
        <is>
          <t>SRB</t>
        </is>
      </c>
      <c r="B2407" s="7" t="inlineStr">
        <is>
          <t>Serbia</t>
        </is>
      </c>
      <c r="C2407" s="7" t="inlineStr">
        <is>
          <t>Europe &amp; Central Asia</t>
        </is>
      </c>
      <c r="D2407" s="7" t="inlineStr">
        <is>
          <t>Upper middle income</t>
        </is>
      </c>
      <c r="E2407" s="7" t="b">
        <v>1</v>
      </c>
      <c r="F2407" s="7" t="inlineStr">
        <is>
          <t>power_market_structure</t>
        </is>
      </c>
      <c r="G2407" s="7" t="n">
        <v>1</v>
      </c>
      <c r="H2407" s="7" t="inlineStr">
        <is>
          <t>2013</t>
        </is>
      </c>
      <c r="I2407" s="7" t="inlineStr">
        <is>
          <t>dataverse_files.zip</t>
        </is>
      </c>
    </row>
    <row r="2408">
      <c r="A2408" s="7" t="inlineStr">
        <is>
          <t>SRB</t>
        </is>
      </c>
      <c r="B2408" s="7" t="inlineStr">
        <is>
          <t>Serbia</t>
        </is>
      </c>
      <c r="C2408" s="7" t="inlineStr">
        <is>
          <t>Europe &amp; Central Asia</t>
        </is>
      </c>
      <c r="D2408" s="7" t="inlineStr">
        <is>
          <t>Upper middle income</t>
        </is>
      </c>
      <c r="E2408" s="7" t="b">
        <v>1</v>
      </c>
      <c r="F2408" s="7" t="inlineStr">
        <is>
          <t>price_coal_power_usd_gj</t>
        </is>
      </c>
      <c r="G2408" s="7" t="n">
        <v>2.466</v>
      </c>
      <c r="H2408" s="7" t="inlineStr">
        <is>
          <t>2024</t>
        </is>
      </c>
      <c r="I2408" s="7" t="inlineStr">
        <is>
          <t>imffossilfuelsubsidiesdata.xlsb</t>
        </is>
      </c>
    </row>
    <row r="2409">
      <c r="A2409" s="7" t="inlineStr">
        <is>
          <t>SRB</t>
        </is>
      </c>
      <c r="B2409" s="7" t="inlineStr">
        <is>
          <t>Serbia</t>
        </is>
      </c>
      <c r="C2409" s="7" t="inlineStr">
        <is>
          <t>Europe &amp; Central Asia</t>
        </is>
      </c>
      <c r="D2409" s="7" t="inlineStr">
        <is>
          <t>Upper middle income</t>
        </is>
      </c>
      <c r="E2409" s="7" t="b">
        <v>1</v>
      </c>
      <c r="F2409" s="7" t="inlineStr">
        <is>
          <t>price_electricity_residential_usd_kwh</t>
        </is>
      </c>
      <c r="G2409" s="7" t="n">
        <v>0.119</v>
      </c>
      <c r="H2409" s="7" t="inlineStr">
        <is>
          <t>2024</t>
        </is>
      </c>
      <c r="I2409" s="7" t="inlineStr">
        <is>
          <t>imffossilfuelsubsidiesdata.xlsb</t>
        </is>
      </c>
    </row>
    <row r="2410">
      <c r="A2410" s="7" t="inlineStr">
        <is>
          <t>SRB</t>
        </is>
      </c>
      <c r="B2410" s="7" t="inlineStr">
        <is>
          <t>Serbia</t>
        </is>
      </c>
      <c r="C2410" s="7" t="inlineStr">
        <is>
          <t>Europe &amp; Central Asia</t>
        </is>
      </c>
      <c r="D2410" s="7" t="inlineStr">
        <is>
          <t>Upper middle income</t>
        </is>
      </c>
      <c r="E2410" s="7" t="b">
        <v>1</v>
      </c>
      <c r="F2410" s="7" t="inlineStr">
        <is>
          <t>price_gas_industry_usd_gj</t>
        </is>
      </c>
      <c r="G2410" s="7" t="n">
        <v>15.427</v>
      </c>
      <c r="H2410" s="7" t="inlineStr">
        <is>
          <t>2024</t>
        </is>
      </c>
      <c r="I2410" s="7" t="inlineStr">
        <is>
          <t>imffossilfuelsubsidiesdata.xlsb</t>
        </is>
      </c>
    </row>
    <row r="2411">
      <c r="A2411" s="7" t="inlineStr">
        <is>
          <t>SRB</t>
        </is>
      </c>
      <c r="B2411" s="7" t="inlineStr">
        <is>
          <t>Serbia</t>
        </is>
      </c>
      <c r="C2411" s="7" t="inlineStr">
        <is>
          <t>Europe &amp; Central Asia</t>
        </is>
      </c>
      <c r="D2411" s="7" t="inlineStr">
        <is>
          <t>Upper middle income</t>
        </is>
      </c>
      <c r="E2411" s="7" t="b">
        <v>1</v>
      </c>
      <c r="F2411" s="7" t="inlineStr">
        <is>
          <t>price_gas_power_usd_gj</t>
        </is>
      </c>
      <c r="G2411" s="7" t="n">
        <v>15.427</v>
      </c>
      <c r="H2411" s="7" t="inlineStr">
        <is>
          <t>2024</t>
        </is>
      </c>
      <c r="I2411" s="7" t="inlineStr">
        <is>
          <t>imffossilfuelsubsidiesdata.xlsb</t>
        </is>
      </c>
    </row>
    <row r="2412">
      <c r="A2412" s="7" t="inlineStr">
        <is>
          <t>SRB</t>
        </is>
      </c>
      <c r="B2412" s="7" t="inlineStr">
        <is>
          <t>Serbia</t>
        </is>
      </c>
      <c r="C2412" s="7" t="inlineStr">
        <is>
          <t>Europe &amp; Central Asia</t>
        </is>
      </c>
      <c r="D2412" s="7" t="inlineStr">
        <is>
          <t>Upper middle income</t>
        </is>
      </c>
      <c r="E2412" s="7" t="b">
        <v>1</v>
      </c>
      <c r="F2412" s="7" t="inlineStr">
        <is>
          <t>rise_renewable_energy_score</t>
        </is>
      </c>
      <c r="G2412" s="7" t="n">
        <v>50.712</v>
      </c>
      <c r="H2412" s="7" t="inlineStr">
        <is>
          <t>2023</t>
        </is>
      </c>
      <c r="I2412" s="7" t="inlineStr">
        <is>
          <t>WB_RISE_WIDEF.csv</t>
        </is>
      </c>
    </row>
    <row r="2413">
      <c r="A2413" s="7" t="inlineStr">
        <is>
          <t>SSD</t>
        </is>
      </c>
      <c r="B2413" s="7" t="inlineStr">
        <is>
          <t>South Sudan</t>
        </is>
      </c>
      <c r="C2413" s="7" t="inlineStr">
        <is>
          <t>Sub-Saharan Africa</t>
        </is>
      </c>
      <c r="D2413" s="7" t="inlineStr">
        <is>
          <t>Low income</t>
        </is>
      </c>
      <c r="E2413" s="7" t="b">
        <v>1</v>
      </c>
      <c r="F2413" s="7" t="inlineStr">
        <is>
          <t>coal_rents_pct_gdp</t>
        </is>
      </c>
      <c r="G2413" s="7" t="n">
        <v>0</v>
      </c>
      <c r="H2413" s="7" t="inlineStr">
        <is>
          <t>2015</t>
        </is>
      </c>
      <c r="I2413" s="7" t="inlineStr">
        <is>
          <t>API_NY_GDP_COAL_RT_ZS_DS2_en_csv_v2_35370.zip</t>
        </is>
      </c>
    </row>
    <row r="2414">
      <c r="A2414" s="7" t="inlineStr">
        <is>
          <t>SSD</t>
        </is>
      </c>
      <c r="B2414" s="7" t="inlineStr">
        <is>
          <t>South Sudan</t>
        </is>
      </c>
      <c r="C2414" s="7" t="inlineStr">
        <is>
          <t>Sub-Saharan Africa</t>
        </is>
      </c>
      <c r="D2414" s="7" t="inlineStr">
        <is>
          <t>Low income</t>
        </is>
      </c>
      <c r="E2414" s="7" t="b">
        <v>1</v>
      </c>
      <c r="F2414" s="7" t="inlineStr">
        <is>
          <t>em_coal_mt</t>
        </is>
      </c>
      <c r="G2414" s="7" t="n">
        <v>0</v>
      </c>
      <c r="H2414" s="7" t="n">
        <v>2024</v>
      </c>
      <c r="I2414" s="7" t="inlineStr">
        <is>
          <t>release_generation_yearly_global.csv (Ember)</t>
        </is>
      </c>
    </row>
    <row r="2415">
      <c r="A2415" s="7" t="inlineStr">
        <is>
          <t>SSD</t>
        </is>
      </c>
      <c r="B2415" s="7" t="inlineStr">
        <is>
          <t>South Sudan</t>
        </is>
      </c>
      <c r="C2415" s="7" t="inlineStr">
        <is>
          <t>Sub-Saharan Africa</t>
        </is>
      </c>
      <c r="D2415" s="7" t="inlineStr">
        <is>
          <t>Low income</t>
        </is>
      </c>
      <c r="E2415" s="7" t="b">
        <v>1</v>
      </c>
      <c r="F2415" s="7" t="inlineStr">
        <is>
          <t>em_gas_mt</t>
        </is>
      </c>
      <c r="G2415" s="7" t="n">
        <v>0</v>
      </c>
      <c r="H2415" s="7" t="n">
        <v>2024</v>
      </c>
      <c r="I2415" s="7" t="inlineStr">
        <is>
          <t>release_generation_yearly_global.csv (Ember)</t>
        </is>
      </c>
    </row>
    <row r="2416">
      <c r="A2416" s="7" t="inlineStr">
        <is>
          <t>SSD</t>
        </is>
      </c>
      <c r="B2416" s="7" t="inlineStr">
        <is>
          <t>South Sudan</t>
        </is>
      </c>
      <c r="C2416" s="7" t="inlineStr">
        <is>
          <t>Sub-Saharan Africa</t>
        </is>
      </c>
      <c r="D2416" s="7" t="inlineStr">
        <is>
          <t>Low income</t>
        </is>
      </c>
      <c r="E2416" s="7" t="b">
        <v>1</v>
      </c>
      <c r="F2416" s="7" t="inlineStr">
        <is>
          <t>em_oil_mt</t>
        </is>
      </c>
      <c r="G2416" s="7" t="n">
        <v>0.362</v>
      </c>
      <c r="H2416" s="7" t="n">
        <v>2024</v>
      </c>
      <c r="I2416" s="7" t="inlineStr">
        <is>
          <t>release_generation_yearly_global.csv (Ember)</t>
        </is>
      </c>
    </row>
    <row r="2417">
      <c r="A2417" s="7" t="inlineStr">
        <is>
          <t>SSD</t>
        </is>
      </c>
      <c r="B2417" s="7" t="inlineStr">
        <is>
          <t>South Sudan</t>
        </is>
      </c>
      <c r="C2417" s="7" t="inlineStr">
        <is>
          <t>Sub-Saharan Africa</t>
        </is>
      </c>
      <c r="D2417" s="7" t="inlineStr">
        <is>
          <t>Low income</t>
        </is>
      </c>
      <c r="E2417" s="7" t="b">
        <v>1</v>
      </c>
      <c r="F2417" s="7" t="inlineStr">
        <is>
          <t>gen_coal_twh</t>
        </is>
      </c>
      <c r="G2417" s="7" t="n">
        <v>0</v>
      </c>
      <c r="H2417" s="7" t="n">
        <v>2024</v>
      </c>
      <c r="I2417" s="7" t="inlineStr">
        <is>
          <t>release_generation_yearly_global.csv (Ember)</t>
        </is>
      </c>
    </row>
    <row r="2418">
      <c r="A2418" s="7" t="inlineStr">
        <is>
          <t>SSD</t>
        </is>
      </c>
      <c r="B2418" s="7" t="inlineStr">
        <is>
          <t>South Sudan</t>
        </is>
      </c>
      <c r="C2418" s="7" t="inlineStr">
        <is>
          <t>Sub-Saharan Africa</t>
        </is>
      </c>
      <c r="D2418" s="7" t="inlineStr">
        <is>
          <t>Low income</t>
        </is>
      </c>
      <c r="E2418" s="7" t="b">
        <v>1</v>
      </c>
      <c r="F2418" s="7" t="inlineStr">
        <is>
          <t>gen_gas_twh</t>
        </is>
      </c>
      <c r="G2418" s="7" t="n">
        <v>0</v>
      </c>
      <c r="H2418" s="7" t="n">
        <v>2024</v>
      </c>
      <c r="I2418" s="7" t="inlineStr">
        <is>
          <t>release_generation_yearly_global.csv (Ember)</t>
        </is>
      </c>
    </row>
    <row r="2419">
      <c r="A2419" s="7" t="inlineStr">
        <is>
          <t>SSD</t>
        </is>
      </c>
      <c r="B2419" s="7" t="inlineStr">
        <is>
          <t>South Sudan</t>
        </is>
      </c>
      <c r="C2419" s="7" t="inlineStr">
        <is>
          <t>Sub-Saharan Africa</t>
        </is>
      </c>
      <c r="D2419" s="7" t="inlineStr">
        <is>
          <t>Low income</t>
        </is>
      </c>
      <c r="E2419" s="7" t="b">
        <v>1</v>
      </c>
      <c r="F2419" s="7" t="inlineStr">
        <is>
          <t>gen_oil_twh</t>
        </is>
      </c>
      <c r="G2419" s="7" t="n">
        <v>0.55</v>
      </c>
      <c r="H2419" s="7" t="n">
        <v>2024</v>
      </c>
      <c r="I2419" s="7" t="inlineStr">
        <is>
          <t>release_generation_yearly_global.csv (Ember)</t>
        </is>
      </c>
    </row>
    <row r="2420">
      <c r="A2420" s="7" t="inlineStr">
        <is>
          <t>SSD</t>
        </is>
      </c>
      <c r="B2420" s="7" t="inlineStr">
        <is>
          <t>South Sudan</t>
        </is>
      </c>
      <c r="C2420" s="7" t="inlineStr">
        <is>
          <t>Sub-Saharan Africa</t>
        </is>
      </c>
      <c r="D2420" s="7" t="inlineStr">
        <is>
          <t>Low income</t>
        </is>
      </c>
      <c r="E2420" s="7" t="b">
        <v>1</v>
      </c>
      <c r="F2420" s="7" t="inlineStr">
        <is>
          <t>gen_total_twh</t>
        </is>
      </c>
      <c r="G2420" s="7" t="n">
        <v>0.5600000000000001</v>
      </c>
      <c r="H2420" s="7" t="n">
        <v>2024</v>
      </c>
      <c r="I2420" s="7" t="inlineStr">
        <is>
          <t>release_generation_yearly_global.csv (Ember)</t>
        </is>
      </c>
    </row>
    <row r="2421">
      <c r="A2421" s="7" t="inlineStr">
        <is>
          <t>SSD</t>
        </is>
      </c>
      <c r="B2421" s="7" t="inlineStr">
        <is>
          <t>South Sudan</t>
        </is>
      </c>
      <c r="C2421" s="7" t="inlineStr">
        <is>
          <t>Sub-Saharan Africa</t>
        </is>
      </c>
      <c r="D2421" s="7" t="inlineStr">
        <is>
          <t>Low income</t>
        </is>
      </c>
      <c r="E2421" s="7" t="b">
        <v>1</v>
      </c>
      <c r="F2421" s="7" t="inlineStr">
        <is>
          <t>rise_renewable_energy_score</t>
        </is>
      </c>
      <c r="G2421" s="7" t="n">
        <v>3.333</v>
      </c>
      <c r="H2421" s="7" t="inlineStr">
        <is>
          <t>2023</t>
        </is>
      </c>
      <c r="I2421" s="7" t="inlineStr">
        <is>
          <t>WB_RISE_WIDEF.csv</t>
        </is>
      </c>
    </row>
    <row r="2422">
      <c r="A2422" s="7" t="inlineStr">
        <is>
          <t>STP</t>
        </is>
      </c>
      <c r="B2422" s="7" t="inlineStr">
        <is>
          <t>São Tomé and Principe</t>
        </is>
      </c>
      <c r="C2422" s="7" t="inlineStr">
        <is>
          <t>Sub-Saharan Africa</t>
        </is>
      </c>
      <c r="D2422" s="7" t="inlineStr">
        <is>
          <t>Lower middle income</t>
        </is>
      </c>
      <c r="E2422" s="7" t="b">
        <v>0</v>
      </c>
      <c r="F2422" s="7" t="inlineStr">
        <is>
          <t>coal_rents_pct_gdp</t>
        </is>
      </c>
      <c r="G2422" s="7" t="n">
        <v>0</v>
      </c>
      <c r="H2422" s="7" t="inlineStr">
        <is>
          <t>2021</t>
        </is>
      </c>
      <c r="I2422" s="7" t="inlineStr">
        <is>
          <t>API_NY_GDP_COAL_RT_ZS_DS2_en_csv_v2_35370.zip</t>
        </is>
      </c>
    </row>
    <row r="2423">
      <c r="A2423" s="7" t="inlineStr">
        <is>
          <t>STP</t>
        </is>
      </c>
      <c r="B2423" s="7" t="inlineStr">
        <is>
          <t>São Tomé and Principe</t>
        </is>
      </c>
      <c r="C2423" s="7" t="inlineStr">
        <is>
          <t>Sub-Saharan Africa</t>
        </is>
      </c>
      <c r="D2423" s="7" t="inlineStr">
        <is>
          <t>Lower middle income</t>
        </is>
      </c>
      <c r="E2423" s="7" t="b">
        <v>0</v>
      </c>
      <c r="F2423" s="7" t="inlineStr">
        <is>
          <t>ff_subsidy_explicit_pct_gdp</t>
        </is>
      </c>
      <c r="G2423" s="7" t="n">
        <v>1.098</v>
      </c>
      <c r="H2423" s="7" t="inlineStr">
        <is>
          <t>2024</t>
        </is>
      </c>
      <c r="I2423" s="7" t="inlineStr">
        <is>
          <t>imffossilfuelsubsidiesdata.xlsb</t>
        </is>
      </c>
    </row>
    <row r="2424">
      <c r="A2424" s="7" t="inlineStr">
        <is>
          <t>STP</t>
        </is>
      </c>
      <c r="B2424" s="7" t="inlineStr">
        <is>
          <t>São Tomé and Principe</t>
        </is>
      </c>
      <c r="C2424" s="7" t="inlineStr">
        <is>
          <t>Sub-Saharan Africa</t>
        </is>
      </c>
      <c r="D2424" s="7" t="inlineStr">
        <is>
          <t>Lower middle income</t>
        </is>
      </c>
      <c r="E2424" s="7" t="b">
        <v>0</v>
      </c>
      <c r="F2424" s="7" t="inlineStr">
        <is>
          <t>fuel_exports_pct_merch</t>
        </is>
      </c>
      <c r="G2424" s="7" t="n">
        <v>0.008999999999999999</v>
      </c>
      <c r="H2424" s="7" t="inlineStr">
        <is>
          <t>2022</t>
        </is>
      </c>
      <c r="I2424" s="7" t="inlineStr">
        <is>
          <t>API_TX_VAL_FUEL_ZS_UN_DS2_en_csv_v2_33055.zip</t>
        </is>
      </c>
    </row>
    <row r="2425">
      <c r="A2425" s="7" t="inlineStr">
        <is>
          <t>STP</t>
        </is>
      </c>
      <c r="B2425" s="7" t="inlineStr">
        <is>
          <t>São Tomé and Principe</t>
        </is>
      </c>
      <c r="C2425" s="7" t="inlineStr">
        <is>
          <t>Sub-Saharan Africa</t>
        </is>
      </c>
      <c r="D2425" s="7" t="inlineStr">
        <is>
          <t>Lower middle income</t>
        </is>
      </c>
      <c r="E2425" s="7" t="b">
        <v>0</v>
      </c>
      <c r="F2425" s="7" t="inlineStr">
        <is>
          <t>price_coal_power_usd_gj</t>
        </is>
      </c>
      <c r="G2425" s="7" t="n">
        <v>5.575</v>
      </c>
      <c r="H2425" s="7" t="inlineStr">
        <is>
          <t>2024</t>
        </is>
      </c>
      <c r="I2425" s="7" t="inlineStr">
        <is>
          <t>imffossilfuelsubsidiesdata.xlsb</t>
        </is>
      </c>
    </row>
    <row r="2426">
      <c r="A2426" s="7" t="inlineStr">
        <is>
          <t>STP</t>
        </is>
      </c>
      <c r="B2426" s="7" t="inlineStr">
        <is>
          <t>São Tomé and Principe</t>
        </is>
      </c>
      <c r="C2426" s="7" t="inlineStr">
        <is>
          <t>Sub-Saharan Africa</t>
        </is>
      </c>
      <c r="D2426" s="7" t="inlineStr">
        <is>
          <t>Lower middle income</t>
        </is>
      </c>
      <c r="E2426" s="7" t="b">
        <v>0</v>
      </c>
      <c r="F2426" s="7" t="inlineStr">
        <is>
          <t>price_electricity_residential_usd_kwh</t>
        </is>
      </c>
      <c r="G2426" s="7" t="n">
        <v>0.108</v>
      </c>
      <c r="H2426" s="7" t="inlineStr">
        <is>
          <t>2024</t>
        </is>
      </c>
      <c r="I2426" s="7" t="inlineStr">
        <is>
          <t>imffossilfuelsubsidiesdata.xlsb</t>
        </is>
      </c>
    </row>
    <row r="2427">
      <c r="A2427" s="7" t="inlineStr">
        <is>
          <t>STP</t>
        </is>
      </c>
      <c r="B2427" s="7" t="inlineStr">
        <is>
          <t>São Tomé and Principe</t>
        </is>
      </c>
      <c r="C2427" s="7" t="inlineStr">
        <is>
          <t>Sub-Saharan Africa</t>
        </is>
      </c>
      <c r="D2427" s="7" t="inlineStr">
        <is>
          <t>Lower middle income</t>
        </is>
      </c>
      <c r="E2427" s="7" t="b">
        <v>0</v>
      </c>
      <c r="F2427" s="7" t="inlineStr">
        <is>
          <t>price_gas_industry_usd_gj</t>
        </is>
      </c>
      <c r="G2427" s="7" t="n">
        <v>12.345</v>
      </c>
      <c r="H2427" s="7" t="inlineStr">
        <is>
          <t>2024</t>
        </is>
      </c>
      <c r="I2427" s="7" t="inlineStr">
        <is>
          <t>imffossilfuelsubsidiesdata.xlsb</t>
        </is>
      </c>
    </row>
    <row r="2428">
      <c r="A2428" s="7" t="inlineStr">
        <is>
          <t>STP</t>
        </is>
      </c>
      <c r="B2428" s="7" t="inlineStr">
        <is>
          <t>São Tomé and Principe</t>
        </is>
      </c>
      <c r="C2428" s="7" t="inlineStr">
        <is>
          <t>Sub-Saharan Africa</t>
        </is>
      </c>
      <c r="D2428" s="7" t="inlineStr">
        <is>
          <t>Lower middle income</t>
        </is>
      </c>
      <c r="E2428" s="7" t="b">
        <v>0</v>
      </c>
      <c r="F2428" s="7" t="inlineStr">
        <is>
          <t>price_gas_power_usd_gj</t>
        </is>
      </c>
      <c r="G2428" s="7" t="n">
        <v>11.021</v>
      </c>
      <c r="H2428" s="7" t="inlineStr">
        <is>
          <t>2024</t>
        </is>
      </c>
      <c r="I2428" s="7" t="inlineStr">
        <is>
          <t>imffossilfuelsubsidiesdata.xlsb</t>
        </is>
      </c>
    </row>
    <row r="2429">
      <c r="A2429" s="7" t="inlineStr">
        <is>
          <t>SUR</t>
        </is>
      </c>
      <c r="B2429" s="7" t="inlineStr">
        <is>
          <t>Suriname</t>
        </is>
      </c>
      <c r="C2429" s="7" t="inlineStr">
        <is>
          <t>Latin America &amp; Caribbean</t>
        </is>
      </c>
      <c r="D2429" s="7" t="inlineStr">
        <is>
          <t>Upper middle income</t>
        </is>
      </c>
      <c r="E2429" s="7" t="b">
        <v>0</v>
      </c>
      <c r="F2429" s="7" t="inlineStr">
        <is>
          <t>coal_rents_pct_gdp</t>
        </is>
      </c>
      <c r="G2429" s="7" t="n">
        <v>0</v>
      </c>
      <c r="H2429" s="7" t="inlineStr">
        <is>
          <t>2021</t>
        </is>
      </c>
      <c r="I2429" s="7" t="inlineStr">
        <is>
          <t>API_NY_GDP_COAL_RT_ZS_DS2_en_csv_v2_35370.zip</t>
        </is>
      </c>
    </row>
    <row r="2430">
      <c r="A2430" s="7" t="inlineStr">
        <is>
          <t>SUR</t>
        </is>
      </c>
      <c r="B2430" s="7" t="inlineStr">
        <is>
          <t>Suriname</t>
        </is>
      </c>
      <c r="C2430" s="7" t="inlineStr">
        <is>
          <t>Latin America &amp; Caribbean</t>
        </is>
      </c>
      <c r="D2430" s="7" t="inlineStr">
        <is>
          <t>Upper middle income</t>
        </is>
      </c>
      <c r="E2430" s="7" t="b">
        <v>0</v>
      </c>
      <c r="F2430" s="7" t="inlineStr">
        <is>
          <t>em_coal_mt</t>
        </is>
      </c>
      <c r="G2430" s="7" t="n">
        <v>0</v>
      </c>
      <c r="H2430" s="7" t="n">
        <v>2024</v>
      </c>
      <c r="I2430" s="7" t="inlineStr">
        <is>
          <t>release_generation_yearly_global.csv (Ember)</t>
        </is>
      </c>
    </row>
    <row r="2431">
      <c r="A2431" s="7" t="inlineStr">
        <is>
          <t>SUR</t>
        </is>
      </c>
      <c r="B2431" s="7" t="inlineStr">
        <is>
          <t>Suriname</t>
        </is>
      </c>
      <c r="C2431" s="7" t="inlineStr">
        <is>
          <t>Latin America &amp; Caribbean</t>
        </is>
      </c>
      <c r="D2431" s="7" t="inlineStr">
        <is>
          <t>Upper middle income</t>
        </is>
      </c>
      <c r="E2431" s="7" t="b">
        <v>0</v>
      </c>
      <c r="F2431" s="7" t="inlineStr">
        <is>
          <t>em_gas_mt</t>
        </is>
      </c>
      <c r="G2431" s="7" t="n">
        <v>0.012</v>
      </c>
      <c r="H2431" s="7" t="n">
        <v>2024</v>
      </c>
      <c r="I2431" s="7" t="inlineStr">
        <is>
          <t>release_generation_yearly_global.csv (Ember)</t>
        </is>
      </c>
    </row>
    <row r="2432">
      <c r="A2432" s="7" t="inlineStr">
        <is>
          <t>SUR</t>
        </is>
      </c>
      <c r="B2432" s="7" t="inlineStr">
        <is>
          <t>Suriname</t>
        </is>
      </c>
      <c r="C2432" s="7" t="inlineStr">
        <is>
          <t>Latin America &amp; Caribbean</t>
        </is>
      </c>
      <c r="D2432" s="7" t="inlineStr">
        <is>
          <t>Upper middle income</t>
        </is>
      </c>
      <c r="E2432" s="7" t="b">
        <v>0</v>
      </c>
      <c r="F2432" s="7" t="inlineStr">
        <is>
          <t>em_oil_mt</t>
        </is>
      </c>
      <c r="G2432" s="7" t="n">
        <v>0.526</v>
      </c>
      <c r="H2432" s="7" t="n">
        <v>2024</v>
      </c>
      <c r="I2432" s="7" t="inlineStr">
        <is>
          <t>release_generation_yearly_global.csv (Ember)</t>
        </is>
      </c>
    </row>
    <row r="2433">
      <c r="A2433" s="7" t="inlineStr">
        <is>
          <t>SUR</t>
        </is>
      </c>
      <c r="B2433" s="7" t="inlineStr">
        <is>
          <t>Suriname</t>
        </is>
      </c>
      <c r="C2433" s="7" t="inlineStr">
        <is>
          <t>Latin America &amp; Caribbean</t>
        </is>
      </c>
      <c r="D2433" s="7" t="inlineStr">
        <is>
          <t>Upper middle income</t>
        </is>
      </c>
      <c r="E2433" s="7" t="b">
        <v>0</v>
      </c>
      <c r="F2433" s="7" t="inlineStr">
        <is>
          <t>ff_subsidy_explicit_pct_gdp</t>
        </is>
      </c>
      <c r="G2433" s="7" t="n">
        <v>4.361</v>
      </c>
      <c r="H2433" s="7" t="inlineStr">
        <is>
          <t>2024</t>
        </is>
      </c>
      <c r="I2433" s="7" t="inlineStr">
        <is>
          <t>imffossilfuelsubsidiesdata.xlsb</t>
        </is>
      </c>
    </row>
    <row r="2434">
      <c r="A2434" s="7" t="inlineStr">
        <is>
          <t>SUR</t>
        </is>
      </c>
      <c r="B2434" s="7" t="inlineStr">
        <is>
          <t>Suriname</t>
        </is>
      </c>
      <c r="C2434" s="7" t="inlineStr">
        <is>
          <t>Latin America &amp; Caribbean</t>
        </is>
      </c>
      <c r="D2434" s="7" t="inlineStr">
        <is>
          <t>Upper middle income</t>
        </is>
      </c>
      <c r="E2434" s="7" t="b">
        <v>0</v>
      </c>
      <c r="F2434" s="7" t="inlineStr">
        <is>
          <t>fuel_exports_pct_merch</t>
        </is>
      </c>
      <c r="G2434" s="7" t="n">
        <v>3.14</v>
      </c>
      <c r="H2434" s="7" t="inlineStr">
        <is>
          <t>2024</t>
        </is>
      </c>
      <c r="I2434" s="7" t="inlineStr">
        <is>
          <t>API_TX_VAL_FUEL_ZS_UN_DS2_en_csv_v2_33055.zip</t>
        </is>
      </c>
    </row>
    <row r="2435">
      <c r="A2435" s="7" t="inlineStr">
        <is>
          <t>SUR</t>
        </is>
      </c>
      <c r="B2435" s="7" t="inlineStr">
        <is>
          <t>Suriname</t>
        </is>
      </c>
      <c r="C2435" s="7" t="inlineStr">
        <is>
          <t>Latin America &amp; Caribbean</t>
        </is>
      </c>
      <c r="D2435" s="7" t="inlineStr">
        <is>
          <t>Upper middle income</t>
        </is>
      </c>
      <c r="E2435" s="7" t="b">
        <v>0</v>
      </c>
      <c r="F2435" s="7" t="inlineStr">
        <is>
          <t>gen_coal_twh</t>
        </is>
      </c>
      <c r="G2435" s="7" t="n">
        <v>0</v>
      </c>
      <c r="H2435" s="7" t="n">
        <v>2024</v>
      </c>
      <c r="I2435" s="7" t="inlineStr">
        <is>
          <t>release_generation_yearly_global.csv (Ember)</t>
        </is>
      </c>
    </row>
    <row r="2436">
      <c r="A2436" s="7" t="inlineStr">
        <is>
          <t>SUR</t>
        </is>
      </c>
      <c r="B2436" s="7" t="inlineStr">
        <is>
          <t>Suriname</t>
        </is>
      </c>
      <c r="C2436" s="7" t="inlineStr">
        <is>
          <t>Latin America &amp; Caribbean</t>
        </is>
      </c>
      <c r="D2436" s="7" t="inlineStr">
        <is>
          <t>Upper middle income</t>
        </is>
      </c>
      <c r="E2436" s="7" t="b">
        <v>0</v>
      </c>
      <c r="F2436" s="7" t="inlineStr">
        <is>
          <t>gen_gas_twh</t>
        </is>
      </c>
      <c r="G2436" s="7" t="n">
        <v>0.02</v>
      </c>
      <c r="H2436" s="7" t="n">
        <v>2024</v>
      </c>
      <c r="I2436" s="7" t="inlineStr">
        <is>
          <t>release_generation_yearly_global.csv (Ember)</t>
        </is>
      </c>
    </row>
    <row r="2437">
      <c r="A2437" s="7" t="inlineStr">
        <is>
          <t>SUR</t>
        </is>
      </c>
      <c r="B2437" s="7" t="inlineStr">
        <is>
          <t>Suriname</t>
        </is>
      </c>
      <c r="C2437" s="7" t="inlineStr">
        <is>
          <t>Latin America &amp; Caribbean</t>
        </is>
      </c>
      <c r="D2437" s="7" t="inlineStr">
        <is>
          <t>Upper middle income</t>
        </is>
      </c>
      <c r="E2437" s="7" t="b">
        <v>0</v>
      </c>
      <c r="F2437" s="7" t="inlineStr">
        <is>
          <t>gen_oil_twh</t>
        </is>
      </c>
      <c r="G2437" s="7" t="n">
        <v>0.8</v>
      </c>
      <c r="H2437" s="7" t="n">
        <v>2024</v>
      </c>
      <c r="I2437" s="7" t="inlineStr">
        <is>
          <t>release_generation_yearly_global.csv (Ember)</t>
        </is>
      </c>
    </row>
    <row r="2438">
      <c r="A2438" s="7" t="inlineStr">
        <is>
          <t>SUR</t>
        </is>
      </c>
      <c r="B2438" s="7" t="inlineStr">
        <is>
          <t>Suriname</t>
        </is>
      </c>
      <c r="C2438" s="7" t="inlineStr">
        <is>
          <t>Latin America &amp; Caribbean</t>
        </is>
      </c>
      <c r="D2438" s="7" t="inlineStr">
        <is>
          <t>Upper middle income</t>
        </is>
      </c>
      <c r="E2438" s="7" t="b">
        <v>0</v>
      </c>
      <c r="F2438" s="7" t="inlineStr">
        <is>
          <t>gen_total_twh</t>
        </is>
      </c>
      <c r="G2438" s="7" t="n">
        <v>1.74</v>
      </c>
      <c r="H2438" s="7" t="n">
        <v>2024</v>
      </c>
      <c r="I2438" s="7" t="inlineStr">
        <is>
          <t>release_generation_yearly_global.csv (Ember)</t>
        </is>
      </c>
    </row>
    <row r="2439">
      <c r="A2439" s="7" t="inlineStr">
        <is>
          <t>SUR</t>
        </is>
      </c>
      <c r="B2439" s="7" t="inlineStr">
        <is>
          <t>Suriname</t>
        </is>
      </c>
      <c r="C2439" s="7" t="inlineStr">
        <is>
          <t>Latin America &amp; Caribbean</t>
        </is>
      </c>
      <c r="D2439" s="7" t="inlineStr">
        <is>
          <t>Upper middle income</t>
        </is>
      </c>
      <c r="E2439" s="7" t="b">
        <v>0</v>
      </c>
      <c r="F2439" s="7" t="inlineStr">
        <is>
          <t>power_market_structure</t>
        </is>
      </c>
      <c r="G2439" s="7" t="n">
        <v>2</v>
      </c>
      <c r="H2439" s="7" t="inlineStr">
        <is>
          <t>2013</t>
        </is>
      </c>
      <c r="I2439" s="7" t="inlineStr">
        <is>
          <t>dataverse_files.zip</t>
        </is>
      </c>
    </row>
    <row r="2440">
      <c r="A2440" s="7" t="inlineStr">
        <is>
          <t>SUR</t>
        </is>
      </c>
      <c r="B2440" s="7" t="inlineStr">
        <is>
          <t>Suriname</t>
        </is>
      </c>
      <c r="C2440" s="7" t="inlineStr">
        <is>
          <t>Latin America &amp; Caribbean</t>
        </is>
      </c>
      <c r="D2440" s="7" t="inlineStr">
        <is>
          <t>Upper middle income</t>
        </is>
      </c>
      <c r="E2440" s="7" t="b">
        <v>0</v>
      </c>
      <c r="F2440" s="7" t="inlineStr">
        <is>
          <t>price_coal_power_usd_gj</t>
        </is>
      </c>
      <c r="G2440" s="7" t="n">
        <v>5.575</v>
      </c>
      <c r="H2440" s="7" t="inlineStr">
        <is>
          <t>2024</t>
        </is>
      </c>
      <c r="I2440" s="7" t="inlineStr">
        <is>
          <t>imffossilfuelsubsidiesdata.xlsb</t>
        </is>
      </c>
    </row>
    <row r="2441">
      <c r="A2441" s="7" t="inlineStr">
        <is>
          <t>SUR</t>
        </is>
      </c>
      <c r="B2441" s="7" t="inlineStr">
        <is>
          <t>Suriname</t>
        </is>
      </c>
      <c r="C2441" s="7" t="inlineStr">
        <is>
          <t>Latin America &amp; Caribbean</t>
        </is>
      </c>
      <c r="D2441" s="7" t="inlineStr">
        <is>
          <t>Upper middle income</t>
        </is>
      </c>
      <c r="E2441" s="7" t="b">
        <v>0</v>
      </c>
      <c r="F2441" s="7" t="inlineStr">
        <is>
          <t>price_electricity_residential_usd_kwh</t>
        </is>
      </c>
      <c r="G2441" s="7" t="n">
        <v>0.073</v>
      </c>
      <c r="H2441" s="7" t="inlineStr">
        <is>
          <t>2024</t>
        </is>
      </c>
      <c r="I2441" s="7" t="inlineStr">
        <is>
          <t>imffossilfuelsubsidiesdata.xlsb</t>
        </is>
      </c>
    </row>
    <row r="2442">
      <c r="A2442" s="7" t="inlineStr">
        <is>
          <t>SUR</t>
        </is>
      </c>
      <c r="B2442" s="7" t="inlineStr">
        <is>
          <t>Suriname</t>
        </is>
      </c>
      <c r="C2442" s="7" t="inlineStr">
        <is>
          <t>Latin America &amp; Caribbean</t>
        </is>
      </c>
      <c r="D2442" s="7" t="inlineStr">
        <is>
          <t>Upper middle income</t>
        </is>
      </c>
      <c r="E2442" s="7" t="b">
        <v>0</v>
      </c>
      <c r="F2442" s="7" t="inlineStr">
        <is>
          <t>price_gas_industry_usd_gj</t>
        </is>
      </c>
      <c r="G2442" s="7" t="n">
        <v>6.853</v>
      </c>
      <c r="H2442" s="7" t="inlineStr">
        <is>
          <t>2024</t>
        </is>
      </c>
      <c r="I2442" s="7" t="inlineStr">
        <is>
          <t>imffossilfuelsubsidiesdata.xlsb</t>
        </is>
      </c>
    </row>
    <row r="2443">
      <c r="A2443" s="7" t="inlineStr">
        <is>
          <t>SUR</t>
        </is>
      </c>
      <c r="B2443" s="7" t="inlineStr">
        <is>
          <t>Suriname</t>
        </is>
      </c>
      <c r="C2443" s="7" t="inlineStr">
        <is>
          <t>Latin America &amp; Caribbean</t>
        </is>
      </c>
      <c r="D2443" s="7" t="inlineStr">
        <is>
          <t>Upper middle income</t>
        </is>
      </c>
      <c r="E2443" s="7" t="b">
        <v>0</v>
      </c>
      <c r="F2443" s="7" t="inlineStr">
        <is>
          <t>price_gas_power_usd_gj</t>
        </is>
      </c>
      <c r="G2443" s="7" t="n">
        <v>6.191</v>
      </c>
      <c r="H2443" s="7" t="inlineStr">
        <is>
          <t>2024</t>
        </is>
      </c>
      <c r="I2443" s="7" t="inlineStr">
        <is>
          <t>imffossilfuelsubsidiesdata.xlsb</t>
        </is>
      </c>
    </row>
    <row r="2444">
      <c r="A2444" s="7" t="inlineStr">
        <is>
          <t>SVK</t>
        </is>
      </c>
      <c r="B2444" s="7" t="inlineStr">
        <is>
          <t>Slovak Republic</t>
        </is>
      </c>
      <c r="C2444" s="7" t="inlineStr">
        <is>
          <t>Europe &amp; Central Asia</t>
        </is>
      </c>
      <c r="D2444" s="7" t="inlineStr">
        <is>
          <t>High income</t>
        </is>
      </c>
      <c r="E2444" s="7" t="b">
        <v>0</v>
      </c>
      <c r="F2444" s="7" t="inlineStr">
        <is>
          <t>coal_rents_pct_gdp</t>
        </is>
      </c>
      <c r="G2444" s="7" t="n">
        <v>0.005</v>
      </c>
      <c r="H2444" s="7" t="inlineStr">
        <is>
          <t>2021</t>
        </is>
      </c>
      <c r="I2444" s="7" t="inlineStr">
        <is>
          <t>API_NY_GDP_COAL_RT_ZS_DS2_en_csv_v2_35370.zip</t>
        </is>
      </c>
    </row>
    <row r="2445">
      <c r="A2445" s="7" t="inlineStr">
        <is>
          <t>SVK</t>
        </is>
      </c>
      <c r="B2445" s="7" t="inlineStr">
        <is>
          <t>Slovak Republic</t>
        </is>
      </c>
      <c r="C2445" s="7" t="inlineStr">
        <is>
          <t>Europe &amp; Central Asia</t>
        </is>
      </c>
      <c r="D2445" s="7" t="inlineStr">
        <is>
          <t>High income</t>
        </is>
      </c>
      <c r="E2445" s="7" t="b">
        <v>0</v>
      </c>
      <c r="F2445" s="7" t="inlineStr">
        <is>
          <t>em_coal_mt</t>
        </is>
      </c>
      <c r="G2445" s="7" t="n">
        <v>0.508</v>
      </c>
      <c r="H2445" s="7" t="n">
        <v>2024</v>
      </c>
      <c r="I2445" s="7" t="inlineStr">
        <is>
          <t>release_generation_yearly_global.csv (Ember)</t>
        </is>
      </c>
    </row>
    <row r="2446">
      <c r="A2446" s="7" t="inlineStr">
        <is>
          <t>SVK</t>
        </is>
      </c>
      <c r="B2446" s="7" t="inlineStr">
        <is>
          <t>Slovak Republic</t>
        </is>
      </c>
      <c r="C2446" s="7" t="inlineStr">
        <is>
          <t>Europe &amp; Central Asia</t>
        </is>
      </c>
      <c r="D2446" s="7" t="inlineStr">
        <is>
          <t>High income</t>
        </is>
      </c>
      <c r="E2446" s="7" t="b">
        <v>0</v>
      </c>
      <c r="F2446" s="7" t="inlineStr">
        <is>
          <t>em_gas_mt</t>
        </is>
      </c>
      <c r="G2446" s="7" t="n">
        <v>1.264</v>
      </c>
      <c r="H2446" s="7" t="n">
        <v>2024</v>
      </c>
      <c r="I2446" s="7" t="inlineStr">
        <is>
          <t>release_generation_yearly_global.csv (Ember)</t>
        </is>
      </c>
    </row>
    <row r="2447">
      <c r="A2447" s="7" t="inlineStr">
        <is>
          <t>SVK</t>
        </is>
      </c>
      <c r="B2447" s="7" t="inlineStr">
        <is>
          <t>Slovak Republic</t>
        </is>
      </c>
      <c r="C2447" s="7" t="inlineStr">
        <is>
          <t>Europe &amp; Central Asia</t>
        </is>
      </c>
      <c r="D2447" s="7" t="inlineStr">
        <is>
          <t>High income</t>
        </is>
      </c>
      <c r="E2447" s="7" t="b">
        <v>0</v>
      </c>
      <c r="F2447" s="7" t="inlineStr">
        <is>
          <t>em_oil_mt</t>
        </is>
      </c>
      <c r="G2447" s="7" t="n">
        <v>0.52</v>
      </c>
      <c r="H2447" s="7" t="n">
        <v>2024</v>
      </c>
      <c r="I2447" s="7" t="inlineStr">
        <is>
          <t>release_generation_yearly_global.csv (Ember)</t>
        </is>
      </c>
    </row>
    <row r="2448">
      <c r="A2448" s="7" t="inlineStr">
        <is>
          <t>SVK</t>
        </is>
      </c>
      <c r="B2448" s="7" t="inlineStr">
        <is>
          <t>Slovak Republic</t>
        </is>
      </c>
      <c r="C2448" s="7" t="inlineStr">
        <is>
          <t>Europe &amp; Central Asia</t>
        </is>
      </c>
      <c r="D2448" s="7" t="inlineStr">
        <is>
          <t>High income</t>
        </is>
      </c>
      <c r="E2448" s="7" t="b">
        <v>0</v>
      </c>
      <c r="F2448" s="7" t="inlineStr">
        <is>
          <t>ff_subsidy_explicit_pct_gdp</t>
        </is>
      </c>
      <c r="G2448" s="7" t="n">
        <v>0.5600000000000001</v>
      </c>
      <c r="H2448" s="7" t="inlineStr">
        <is>
          <t>2024</t>
        </is>
      </c>
      <c r="I2448" s="7" t="inlineStr">
        <is>
          <t>imffossilfuelsubsidiesdata.xlsb</t>
        </is>
      </c>
    </row>
    <row r="2449">
      <c r="A2449" s="7" t="inlineStr">
        <is>
          <t>SVK</t>
        </is>
      </c>
      <c r="B2449" s="7" t="inlineStr">
        <is>
          <t>Slovak Republic</t>
        </is>
      </c>
      <c r="C2449" s="7" t="inlineStr">
        <is>
          <t>Europe &amp; Central Asia</t>
        </is>
      </c>
      <c r="D2449" s="7" t="inlineStr">
        <is>
          <t>High income</t>
        </is>
      </c>
      <c r="E2449" s="7" t="b">
        <v>0</v>
      </c>
      <c r="F2449" s="7" t="inlineStr">
        <is>
          <t>fuel_exports_pct_merch</t>
        </is>
      </c>
      <c r="G2449" s="7" t="n">
        <v>3.969</v>
      </c>
      <c r="H2449" s="7" t="inlineStr">
        <is>
          <t>2024</t>
        </is>
      </c>
      <c r="I2449" s="7" t="inlineStr">
        <is>
          <t>API_TX_VAL_FUEL_ZS_UN_DS2_en_csv_v2_33055.zip</t>
        </is>
      </c>
    </row>
    <row r="2450">
      <c r="A2450" s="7" t="inlineStr">
        <is>
          <t>SVK</t>
        </is>
      </c>
      <c r="B2450" s="7" t="inlineStr">
        <is>
          <t>Slovak Republic</t>
        </is>
      </c>
      <c r="C2450" s="7" t="inlineStr">
        <is>
          <t>Europe &amp; Central Asia</t>
        </is>
      </c>
      <c r="D2450" s="7" t="inlineStr">
        <is>
          <t>High income</t>
        </is>
      </c>
      <c r="E2450" s="7" t="b">
        <v>0</v>
      </c>
      <c r="F2450" s="7" t="inlineStr">
        <is>
          <t>gen_coal_twh</t>
        </is>
      </c>
      <c r="G2450" s="7" t="n">
        <v>0.52</v>
      </c>
      <c r="H2450" s="7" t="n">
        <v>2024</v>
      </c>
      <c r="I2450" s="7" t="inlineStr">
        <is>
          <t>release_generation_yearly_global.csv (Ember)</t>
        </is>
      </c>
    </row>
    <row r="2451">
      <c r="A2451" s="7" t="inlineStr">
        <is>
          <t>SVK</t>
        </is>
      </c>
      <c r="B2451" s="7" t="inlineStr">
        <is>
          <t>Slovak Republic</t>
        </is>
      </c>
      <c r="C2451" s="7" t="inlineStr">
        <is>
          <t>Europe &amp; Central Asia</t>
        </is>
      </c>
      <c r="D2451" s="7" t="inlineStr">
        <is>
          <t>High income</t>
        </is>
      </c>
      <c r="E2451" s="7" t="b">
        <v>0</v>
      </c>
      <c r="F2451" s="7" t="inlineStr">
        <is>
          <t>gen_gas_twh</t>
        </is>
      </c>
      <c r="G2451" s="7" t="n">
        <v>2.88</v>
      </c>
      <c r="H2451" s="7" t="n">
        <v>2024</v>
      </c>
      <c r="I2451" s="7" t="inlineStr">
        <is>
          <t>release_generation_yearly_global.csv (Ember)</t>
        </is>
      </c>
    </row>
    <row r="2452">
      <c r="A2452" s="7" t="inlineStr">
        <is>
          <t>SVK</t>
        </is>
      </c>
      <c r="B2452" s="7" t="inlineStr">
        <is>
          <t>Slovak Republic</t>
        </is>
      </c>
      <c r="C2452" s="7" t="inlineStr">
        <is>
          <t>Europe &amp; Central Asia</t>
        </is>
      </c>
      <c r="D2452" s="7" t="inlineStr">
        <is>
          <t>High income</t>
        </is>
      </c>
      <c r="E2452" s="7" t="b">
        <v>0</v>
      </c>
      <c r="F2452" s="7" t="inlineStr">
        <is>
          <t>gen_oil_twh</t>
        </is>
      </c>
      <c r="G2452" s="7" t="n">
        <v>0.79</v>
      </c>
      <c r="H2452" s="7" t="n">
        <v>2024</v>
      </c>
      <c r="I2452" s="7" t="inlineStr">
        <is>
          <t>release_generation_yearly_global.csv (Ember)</t>
        </is>
      </c>
    </row>
    <row r="2453">
      <c r="A2453" s="7" t="inlineStr">
        <is>
          <t>SVK</t>
        </is>
      </c>
      <c r="B2453" s="7" t="inlineStr">
        <is>
          <t>Slovak Republic</t>
        </is>
      </c>
      <c r="C2453" s="7" t="inlineStr">
        <is>
          <t>Europe &amp; Central Asia</t>
        </is>
      </c>
      <c r="D2453" s="7" t="inlineStr">
        <is>
          <t>High income</t>
        </is>
      </c>
      <c r="E2453" s="7" t="b">
        <v>0</v>
      </c>
      <c r="F2453" s="7" t="inlineStr">
        <is>
          <t>gen_total_twh</t>
        </is>
      </c>
      <c r="G2453" s="7" t="n">
        <v>29.52</v>
      </c>
      <c r="H2453" s="7" t="n">
        <v>2024</v>
      </c>
      <c r="I2453" s="7" t="inlineStr">
        <is>
          <t>release_generation_yearly_global.csv (Ember)</t>
        </is>
      </c>
    </row>
    <row r="2454">
      <c r="A2454" s="7" t="inlineStr">
        <is>
          <t>SVK</t>
        </is>
      </c>
      <c r="B2454" s="7" t="inlineStr">
        <is>
          <t>Slovak Republic</t>
        </is>
      </c>
      <c r="C2454" s="7" t="inlineStr">
        <is>
          <t>Europe &amp; Central Asia</t>
        </is>
      </c>
      <c r="D2454" s="7" t="inlineStr">
        <is>
          <t>High income</t>
        </is>
      </c>
      <c r="E2454" s="7" t="b">
        <v>0</v>
      </c>
      <c r="F2454" s="7" t="inlineStr">
        <is>
          <t>price_coal_power_usd_gj</t>
        </is>
      </c>
      <c r="G2454" s="7" t="n">
        <v>15.583</v>
      </c>
      <c r="H2454" s="7" t="inlineStr">
        <is>
          <t>2024</t>
        </is>
      </c>
      <c r="I2454" s="7" t="inlineStr">
        <is>
          <t>imffossilfuelsubsidiesdata.xlsb</t>
        </is>
      </c>
    </row>
    <row r="2455">
      <c r="A2455" s="7" t="inlineStr">
        <is>
          <t>SVK</t>
        </is>
      </c>
      <c r="B2455" s="7" t="inlineStr">
        <is>
          <t>Slovak Republic</t>
        </is>
      </c>
      <c r="C2455" s="7" t="inlineStr">
        <is>
          <t>Europe &amp; Central Asia</t>
        </is>
      </c>
      <c r="D2455" s="7" t="inlineStr">
        <is>
          <t>High income</t>
        </is>
      </c>
      <c r="E2455" s="7" t="b">
        <v>0</v>
      </c>
      <c r="F2455" s="7" t="inlineStr">
        <is>
          <t>price_electricity_residential_usd_kwh</t>
        </is>
      </c>
      <c r="G2455" s="7" t="n">
        <v>0.194</v>
      </c>
      <c r="H2455" s="7" t="inlineStr">
        <is>
          <t>2024</t>
        </is>
      </c>
      <c r="I2455" s="7" t="inlineStr">
        <is>
          <t>imffossilfuelsubsidiesdata.xlsb</t>
        </is>
      </c>
    </row>
    <row r="2456">
      <c r="A2456" s="7" t="inlineStr">
        <is>
          <t>SVK</t>
        </is>
      </c>
      <c r="B2456" s="7" t="inlineStr">
        <is>
          <t>Slovak Republic</t>
        </is>
      </c>
      <c r="C2456" s="7" t="inlineStr">
        <is>
          <t>Europe &amp; Central Asia</t>
        </is>
      </c>
      <c r="D2456" s="7" t="inlineStr">
        <is>
          <t>High income</t>
        </is>
      </c>
      <c r="E2456" s="7" t="b">
        <v>0</v>
      </c>
      <c r="F2456" s="7" t="inlineStr">
        <is>
          <t>price_gas_industry_usd_gj</t>
        </is>
      </c>
      <c r="G2456" s="7" t="n">
        <v>25.144</v>
      </c>
      <c r="H2456" s="7" t="inlineStr">
        <is>
          <t>2024</t>
        </is>
      </c>
      <c r="I2456" s="7" t="inlineStr">
        <is>
          <t>imffossilfuelsubsidiesdata.xlsb</t>
        </is>
      </c>
    </row>
    <row r="2457">
      <c r="A2457" s="7" t="inlineStr">
        <is>
          <t>SVK</t>
        </is>
      </c>
      <c r="B2457" s="7" t="inlineStr">
        <is>
          <t>Slovak Republic</t>
        </is>
      </c>
      <c r="C2457" s="7" t="inlineStr">
        <is>
          <t>Europe &amp; Central Asia</t>
        </is>
      </c>
      <c r="D2457" s="7" t="inlineStr">
        <is>
          <t>High income</t>
        </is>
      </c>
      <c r="E2457" s="7" t="b">
        <v>0</v>
      </c>
      <c r="F2457" s="7" t="inlineStr">
        <is>
          <t>price_gas_power_usd_gj</t>
        </is>
      </c>
      <c r="G2457" s="7" t="n">
        <v>25.144</v>
      </c>
      <c r="H2457" s="7" t="inlineStr">
        <is>
          <t>2024</t>
        </is>
      </c>
      <c r="I2457" s="7" t="inlineStr">
        <is>
          <t>imffossilfuelsubsidiesdata.xlsb</t>
        </is>
      </c>
    </row>
    <row r="2458">
      <c r="A2458" s="7" t="inlineStr">
        <is>
          <t>SVK</t>
        </is>
      </c>
      <c r="B2458" s="7" t="inlineStr">
        <is>
          <t>Slovak Republic</t>
        </is>
      </c>
      <c r="C2458" s="7" t="inlineStr">
        <is>
          <t>Europe &amp; Central Asia</t>
        </is>
      </c>
      <c r="D2458" s="7" t="inlineStr">
        <is>
          <t>High income</t>
        </is>
      </c>
      <c r="E2458" s="7" t="b">
        <v>0</v>
      </c>
      <c r="F2458" s="7" t="inlineStr">
        <is>
          <t>rise_renewable_energy_score</t>
        </is>
      </c>
      <c r="G2458" s="7" t="n">
        <v>73.611</v>
      </c>
      <c r="H2458" s="7" t="inlineStr">
        <is>
          <t>2023</t>
        </is>
      </c>
      <c r="I2458" s="7" t="inlineStr">
        <is>
          <t>WB_RISE_WIDEF.csv</t>
        </is>
      </c>
    </row>
    <row r="2459">
      <c r="A2459" s="7" t="inlineStr">
        <is>
          <t>SVN</t>
        </is>
      </c>
      <c r="B2459" s="7" t="inlineStr">
        <is>
          <t>Slovenia</t>
        </is>
      </c>
      <c r="C2459" s="7" t="inlineStr">
        <is>
          <t>Europe &amp; Central Asia</t>
        </is>
      </c>
      <c r="D2459" s="7" t="inlineStr">
        <is>
          <t>High income</t>
        </is>
      </c>
      <c r="E2459" s="7" t="b">
        <v>0</v>
      </c>
      <c r="F2459" s="7" t="inlineStr">
        <is>
          <t>coal_rents_pct_gdp</t>
        </is>
      </c>
      <c r="G2459" s="7" t="n">
        <v>0.026</v>
      </c>
      <c r="H2459" s="7" t="inlineStr">
        <is>
          <t>2021</t>
        </is>
      </c>
      <c r="I2459" s="7" t="inlineStr">
        <is>
          <t>API_NY_GDP_COAL_RT_ZS_DS2_en_csv_v2_35370.zip</t>
        </is>
      </c>
    </row>
    <row r="2460">
      <c r="A2460" s="7" t="inlineStr">
        <is>
          <t>SVN</t>
        </is>
      </c>
      <c r="B2460" s="7" t="inlineStr">
        <is>
          <t>Slovenia</t>
        </is>
      </c>
      <c r="C2460" s="7" t="inlineStr">
        <is>
          <t>Europe &amp; Central Asia</t>
        </is>
      </c>
      <c r="D2460" s="7" t="inlineStr">
        <is>
          <t>High income</t>
        </is>
      </c>
      <c r="E2460" s="7" t="b">
        <v>0</v>
      </c>
      <c r="F2460" s="7" t="inlineStr">
        <is>
          <t>em_coal_mt</t>
        </is>
      </c>
      <c r="G2460" s="7" t="n">
        <v>3.398</v>
      </c>
      <c r="H2460" s="7" t="n">
        <v>2024</v>
      </c>
      <c r="I2460" s="7" t="inlineStr">
        <is>
          <t>release_generation_yearly_global.csv (Ember)</t>
        </is>
      </c>
    </row>
    <row r="2461">
      <c r="A2461" s="7" t="inlineStr">
        <is>
          <t>SVN</t>
        </is>
      </c>
      <c r="B2461" s="7" t="inlineStr">
        <is>
          <t>Slovenia</t>
        </is>
      </c>
      <c r="C2461" s="7" t="inlineStr">
        <is>
          <t>Europe &amp; Central Asia</t>
        </is>
      </c>
      <c r="D2461" s="7" t="inlineStr">
        <is>
          <t>High income</t>
        </is>
      </c>
      <c r="E2461" s="7" t="b">
        <v>0</v>
      </c>
      <c r="F2461" s="7" t="inlineStr">
        <is>
          <t>em_gas_mt</t>
        </is>
      </c>
      <c r="G2461" s="7" t="n">
        <v>0.171</v>
      </c>
      <c r="H2461" s="7" t="n">
        <v>2024</v>
      </c>
      <c r="I2461" s="7" t="inlineStr">
        <is>
          <t>release_generation_yearly_global.csv (Ember)</t>
        </is>
      </c>
    </row>
    <row r="2462">
      <c r="A2462" s="7" t="inlineStr">
        <is>
          <t>SVN</t>
        </is>
      </c>
      <c r="B2462" s="7" t="inlineStr">
        <is>
          <t>Slovenia</t>
        </is>
      </c>
      <c r="C2462" s="7" t="inlineStr">
        <is>
          <t>Europe &amp; Central Asia</t>
        </is>
      </c>
      <c r="D2462" s="7" t="inlineStr">
        <is>
          <t>High income</t>
        </is>
      </c>
      <c r="E2462" s="7" t="b">
        <v>0</v>
      </c>
      <c r="F2462" s="7" t="inlineStr">
        <is>
          <t>em_oil_mt</t>
        </is>
      </c>
      <c r="G2462" s="7" t="n">
        <v>0.013</v>
      </c>
      <c r="H2462" s="7" t="n">
        <v>2024</v>
      </c>
      <c r="I2462" s="7" t="inlineStr">
        <is>
          <t>release_generation_yearly_global.csv (Ember)</t>
        </is>
      </c>
    </row>
    <row r="2463">
      <c r="A2463" s="7" t="inlineStr">
        <is>
          <t>SVN</t>
        </is>
      </c>
      <c r="B2463" s="7" t="inlineStr">
        <is>
          <t>Slovenia</t>
        </is>
      </c>
      <c r="C2463" s="7" t="inlineStr">
        <is>
          <t>Europe &amp; Central Asia</t>
        </is>
      </c>
      <c r="D2463" s="7" t="inlineStr">
        <is>
          <t>High income</t>
        </is>
      </c>
      <c r="E2463" s="7" t="b">
        <v>0</v>
      </c>
      <c r="F2463" s="7" t="inlineStr">
        <is>
          <t>ff_subsidy_explicit_pct_gdp</t>
        </is>
      </c>
      <c r="G2463" s="7" t="n">
        <v>0</v>
      </c>
      <c r="H2463" s="7" t="inlineStr">
        <is>
          <t>2024</t>
        </is>
      </c>
      <c r="I2463" s="7" t="inlineStr">
        <is>
          <t>imffossilfuelsubsidiesdata.xlsb</t>
        </is>
      </c>
    </row>
    <row r="2464">
      <c r="A2464" s="7" t="inlineStr">
        <is>
          <t>SVN</t>
        </is>
      </c>
      <c r="B2464" s="7" t="inlineStr">
        <is>
          <t>Slovenia</t>
        </is>
      </c>
      <c r="C2464" s="7" t="inlineStr">
        <is>
          <t>Europe &amp; Central Asia</t>
        </is>
      </c>
      <c r="D2464" s="7" t="inlineStr">
        <is>
          <t>High income</t>
        </is>
      </c>
      <c r="E2464" s="7" t="b">
        <v>0</v>
      </c>
      <c r="F2464" s="7" t="inlineStr">
        <is>
          <t>fuel_exports_pct_merch</t>
        </is>
      </c>
      <c r="G2464" s="7" t="n">
        <v>4.658</v>
      </c>
      <c r="H2464" s="7" t="inlineStr">
        <is>
          <t>2024</t>
        </is>
      </c>
      <c r="I2464" s="7" t="inlineStr">
        <is>
          <t>API_TX_VAL_FUEL_ZS_UN_DS2_en_csv_v2_33055.zip</t>
        </is>
      </c>
    </row>
    <row r="2465">
      <c r="A2465" s="7" t="inlineStr">
        <is>
          <t>SVN</t>
        </is>
      </c>
      <c r="B2465" s="7" t="inlineStr">
        <is>
          <t>Slovenia</t>
        </is>
      </c>
      <c r="C2465" s="7" t="inlineStr">
        <is>
          <t>Europe &amp; Central Asia</t>
        </is>
      </c>
      <c r="D2465" s="7" t="inlineStr">
        <is>
          <t>High income</t>
        </is>
      </c>
      <c r="E2465" s="7" t="b">
        <v>0</v>
      </c>
      <c r="F2465" s="7" t="inlineStr">
        <is>
          <t>gen_coal_twh</t>
        </is>
      </c>
      <c r="G2465" s="7" t="n">
        <v>3.5</v>
      </c>
      <c r="H2465" s="7" t="n">
        <v>2024</v>
      </c>
      <c r="I2465" s="7" t="inlineStr">
        <is>
          <t>release_generation_yearly_global.csv (Ember)</t>
        </is>
      </c>
    </row>
    <row r="2466">
      <c r="A2466" s="7" t="inlineStr">
        <is>
          <t>SVN</t>
        </is>
      </c>
      <c r="B2466" s="7" t="inlineStr">
        <is>
          <t>Slovenia</t>
        </is>
      </c>
      <c r="C2466" s="7" t="inlineStr">
        <is>
          <t>Europe &amp; Central Asia</t>
        </is>
      </c>
      <c r="D2466" s="7" t="inlineStr">
        <is>
          <t>High income</t>
        </is>
      </c>
      <c r="E2466" s="7" t="b">
        <v>0</v>
      </c>
      <c r="F2466" s="7" t="inlineStr">
        <is>
          <t>gen_gas_twh</t>
        </is>
      </c>
      <c r="G2466" s="7" t="n">
        <v>0.48</v>
      </c>
      <c r="H2466" s="7" t="n">
        <v>2024</v>
      </c>
      <c r="I2466" s="7" t="inlineStr">
        <is>
          <t>release_generation_yearly_global.csv (Ember)</t>
        </is>
      </c>
    </row>
    <row r="2467">
      <c r="A2467" s="7" t="inlineStr">
        <is>
          <t>SVN</t>
        </is>
      </c>
      <c r="B2467" s="7" t="inlineStr">
        <is>
          <t>Slovenia</t>
        </is>
      </c>
      <c r="C2467" s="7" t="inlineStr">
        <is>
          <t>Europe &amp; Central Asia</t>
        </is>
      </c>
      <c r="D2467" s="7" t="inlineStr">
        <is>
          <t>High income</t>
        </is>
      </c>
      <c r="E2467" s="7" t="b">
        <v>0</v>
      </c>
      <c r="F2467" s="7" t="inlineStr">
        <is>
          <t>gen_oil_twh</t>
        </is>
      </c>
      <c r="G2467" s="7" t="n">
        <v>0.02</v>
      </c>
      <c r="H2467" s="7" t="n">
        <v>2024</v>
      </c>
      <c r="I2467" s="7" t="inlineStr">
        <is>
          <t>release_generation_yearly_global.csv (Ember)</t>
        </is>
      </c>
    </row>
    <row r="2468">
      <c r="A2468" s="7" t="inlineStr">
        <is>
          <t>SVN</t>
        </is>
      </c>
      <c r="B2468" s="7" t="inlineStr">
        <is>
          <t>Slovenia</t>
        </is>
      </c>
      <c r="C2468" s="7" t="inlineStr">
        <is>
          <t>Europe &amp; Central Asia</t>
        </is>
      </c>
      <c r="D2468" s="7" t="inlineStr">
        <is>
          <t>High income</t>
        </is>
      </c>
      <c r="E2468" s="7" t="b">
        <v>0</v>
      </c>
      <c r="F2468" s="7" t="inlineStr">
        <is>
          <t>gen_total_twh</t>
        </is>
      </c>
      <c r="G2468" s="7" t="n">
        <v>16.71</v>
      </c>
      <c r="H2468" s="7" t="n">
        <v>2024</v>
      </c>
      <c r="I2468" s="7" t="inlineStr">
        <is>
          <t>release_generation_yearly_global.csv (Ember)</t>
        </is>
      </c>
    </row>
    <row r="2469">
      <c r="A2469" s="7" t="inlineStr">
        <is>
          <t>SVN</t>
        </is>
      </c>
      <c r="B2469" s="7" t="inlineStr">
        <is>
          <t>Slovenia</t>
        </is>
      </c>
      <c r="C2469" s="7" t="inlineStr">
        <is>
          <t>Europe &amp; Central Asia</t>
        </is>
      </c>
      <c r="D2469" s="7" t="inlineStr">
        <is>
          <t>High income</t>
        </is>
      </c>
      <c r="E2469" s="7" t="b">
        <v>0</v>
      </c>
      <c r="F2469" s="7" t="inlineStr">
        <is>
          <t>price_coal_power_usd_gj</t>
        </is>
      </c>
      <c r="G2469" s="7" t="n">
        <v>10.503</v>
      </c>
      <c r="H2469" s="7" t="inlineStr">
        <is>
          <t>2024</t>
        </is>
      </c>
      <c r="I2469" s="7" t="inlineStr">
        <is>
          <t>imffossilfuelsubsidiesdata.xlsb</t>
        </is>
      </c>
    </row>
    <row r="2470">
      <c r="A2470" s="7" t="inlineStr">
        <is>
          <t>SVN</t>
        </is>
      </c>
      <c r="B2470" s="7" t="inlineStr">
        <is>
          <t>Slovenia</t>
        </is>
      </c>
      <c r="C2470" s="7" t="inlineStr">
        <is>
          <t>Europe &amp; Central Asia</t>
        </is>
      </c>
      <c r="D2470" s="7" t="inlineStr">
        <is>
          <t>High income</t>
        </is>
      </c>
      <c r="E2470" s="7" t="b">
        <v>0</v>
      </c>
      <c r="F2470" s="7" t="inlineStr">
        <is>
          <t>price_electricity_residential_usd_kwh</t>
        </is>
      </c>
      <c r="G2470" s="7" t="n">
        <v>0.221</v>
      </c>
      <c r="H2470" s="7" t="inlineStr">
        <is>
          <t>2024</t>
        </is>
      </c>
      <c r="I2470" s="7" t="inlineStr">
        <is>
          <t>imffossilfuelsubsidiesdata.xlsb</t>
        </is>
      </c>
    </row>
    <row r="2471">
      <c r="A2471" s="7" t="inlineStr">
        <is>
          <t>SVN</t>
        </is>
      </c>
      <c r="B2471" s="7" t="inlineStr">
        <is>
          <t>Slovenia</t>
        </is>
      </c>
      <c r="C2471" s="7" t="inlineStr">
        <is>
          <t>Europe &amp; Central Asia</t>
        </is>
      </c>
      <c r="D2471" s="7" t="inlineStr">
        <is>
          <t>High income</t>
        </is>
      </c>
      <c r="E2471" s="7" t="b">
        <v>0</v>
      </c>
      <c r="F2471" s="7" t="inlineStr">
        <is>
          <t>price_gas_industry_usd_gj</t>
        </is>
      </c>
      <c r="G2471" s="7" t="n">
        <v>21.055</v>
      </c>
      <c r="H2471" s="7" t="inlineStr">
        <is>
          <t>2024</t>
        </is>
      </c>
      <c r="I2471" s="7" t="inlineStr">
        <is>
          <t>imffossilfuelsubsidiesdata.xlsb</t>
        </is>
      </c>
    </row>
    <row r="2472">
      <c r="A2472" s="7" t="inlineStr">
        <is>
          <t>SVN</t>
        </is>
      </c>
      <c r="B2472" s="7" t="inlineStr">
        <is>
          <t>Slovenia</t>
        </is>
      </c>
      <c r="C2472" s="7" t="inlineStr">
        <is>
          <t>Europe &amp; Central Asia</t>
        </is>
      </c>
      <c r="D2472" s="7" t="inlineStr">
        <is>
          <t>High income</t>
        </is>
      </c>
      <c r="E2472" s="7" t="b">
        <v>0</v>
      </c>
      <c r="F2472" s="7" t="inlineStr">
        <is>
          <t>price_gas_power_usd_gj</t>
        </is>
      </c>
      <c r="G2472" s="7" t="n">
        <v>21.055</v>
      </c>
      <c r="H2472" s="7" t="inlineStr">
        <is>
          <t>2024</t>
        </is>
      </c>
      <c r="I2472" s="7" t="inlineStr">
        <is>
          <t>imffossilfuelsubsidiesdata.xlsb</t>
        </is>
      </c>
    </row>
    <row r="2473">
      <c r="A2473" s="7" t="inlineStr">
        <is>
          <t>SWE</t>
        </is>
      </c>
      <c r="B2473" s="7" t="inlineStr">
        <is>
          <t>Sweden</t>
        </is>
      </c>
      <c r="C2473" s="7" t="inlineStr">
        <is>
          <t>Europe &amp; Central Asia</t>
        </is>
      </c>
      <c r="D2473" s="7" t="inlineStr">
        <is>
          <t>High income</t>
        </is>
      </c>
      <c r="E2473" s="7" t="b">
        <v>0</v>
      </c>
      <c r="F2473" s="7" t="inlineStr">
        <is>
          <t>coal_rents_pct_gdp</t>
        </is>
      </c>
      <c r="G2473" s="7" t="n">
        <v>0</v>
      </c>
      <c r="H2473" s="7" t="inlineStr">
        <is>
          <t>2021</t>
        </is>
      </c>
      <c r="I2473" s="7" t="inlineStr">
        <is>
          <t>API_NY_GDP_COAL_RT_ZS_DS2_en_csv_v2_35370.zip</t>
        </is>
      </c>
    </row>
    <row r="2474">
      <c r="A2474" s="7" t="inlineStr">
        <is>
          <t>SWE</t>
        </is>
      </c>
      <c r="B2474" s="7" t="inlineStr">
        <is>
          <t>Sweden</t>
        </is>
      </c>
      <c r="C2474" s="7" t="inlineStr">
        <is>
          <t>Europe &amp; Central Asia</t>
        </is>
      </c>
      <c r="D2474" s="7" t="inlineStr">
        <is>
          <t>High income</t>
        </is>
      </c>
      <c r="E2474" s="7" t="b">
        <v>0</v>
      </c>
      <c r="F2474" s="7" t="inlineStr">
        <is>
          <t>em_coal_mt</t>
        </is>
      </c>
      <c r="G2474" s="7" t="n">
        <v>0</v>
      </c>
      <c r="H2474" s="7" t="n">
        <v>2024</v>
      </c>
      <c r="I2474" s="7" t="inlineStr">
        <is>
          <t>release_generation_yearly_global.csv (Ember)</t>
        </is>
      </c>
    </row>
    <row r="2475">
      <c r="A2475" s="7" t="inlineStr">
        <is>
          <t>SWE</t>
        </is>
      </c>
      <c r="B2475" s="7" t="inlineStr">
        <is>
          <t>Sweden</t>
        </is>
      </c>
      <c r="C2475" s="7" t="inlineStr">
        <is>
          <t>Europe &amp; Central Asia</t>
        </is>
      </c>
      <c r="D2475" s="7" t="inlineStr">
        <is>
          <t>High income</t>
        </is>
      </c>
      <c r="E2475" s="7" t="b">
        <v>0</v>
      </c>
      <c r="F2475" s="7" t="inlineStr">
        <is>
          <t>em_gas_mt</t>
        </is>
      </c>
      <c r="G2475" s="7" t="n">
        <v>0.035</v>
      </c>
      <c r="H2475" s="7" t="n">
        <v>2024</v>
      </c>
      <c r="I2475" s="7" t="inlineStr">
        <is>
          <t>release_generation_yearly_global.csv (Ember)</t>
        </is>
      </c>
    </row>
    <row r="2476">
      <c r="A2476" s="7" t="inlineStr">
        <is>
          <t>SWE</t>
        </is>
      </c>
      <c r="B2476" s="7" t="inlineStr">
        <is>
          <t>Sweden</t>
        </is>
      </c>
      <c r="C2476" s="7" t="inlineStr">
        <is>
          <t>Europe &amp; Central Asia</t>
        </is>
      </c>
      <c r="D2476" s="7" t="inlineStr">
        <is>
          <t>High income</t>
        </is>
      </c>
      <c r="E2476" s="7" t="b">
        <v>0</v>
      </c>
      <c r="F2476" s="7" t="inlineStr">
        <is>
          <t>em_oil_mt</t>
        </is>
      </c>
      <c r="G2476" s="7" t="n">
        <v>1.296</v>
      </c>
      <c r="H2476" s="7" t="n">
        <v>2024</v>
      </c>
      <c r="I2476" s="7" t="inlineStr">
        <is>
          <t>release_generation_yearly_global.csv (Ember)</t>
        </is>
      </c>
    </row>
    <row r="2477">
      <c r="A2477" s="7" t="inlineStr">
        <is>
          <t>SWE</t>
        </is>
      </c>
      <c r="B2477" s="7" t="inlineStr">
        <is>
          <t>Sweden</t>
        </is>
      </c>
      <c r="C2477" s="7" t="inlineStr">
        <is>
          <t>Europe &amp; Central Asia</t>
        </is>
      </c>
      <c r="D2477" s="7" t="inlineStr">
        <is>
          <t>High income</t>
        </is>
      </c>
      <c r="E2477" s="7" t="b">
        <v>0</v>
      </c>
      <c r="F2477" s="7" t="inlineStr">
        <is>
          <t>ff_subsidy_explicit_pct_gdp</t>
        </is>
      </c>
      <c r="G2477" s="7" t="n">
        <v>0</v>
      </c>
      <c r="H2477" s="7" t="inlineStr">
        <is>
          <t>2024</t>
        </is>
      </c>
      <c r="I2477" s="7" t="inlineStr">
        <is>
          <t>imffossilfuelsubsidiesdata.xlsb</t>
        </is>
      </c>
    </row>
    <row r="2478">
      <c r="A2478" s="7" t="inlineStr">
        <is>
          <t>SWE</t>
        </is>
      </c>
      <c r="B2478" s="7" t="inlineStr">
        <is>
          <t>Sweden</t>
        </is>
      </c>
      <c r="C2478" s="7" t="inlineStr">
        <is>
          <t>Europe &amp; Central Asia</t>
        </is>
      </c>
      <c r="D2478" s="7" t="inlineStr">
        <is>
          <t>High income</t>
        </is>
      </c>
      <c r="E2478" s="7" t="b">
        <v>0</v>
      </c>
      <c r="F2478" s="7" t="inlineStr">
        <is>
          <t>fuel_exports_pct_merch</t>
        </is>
      </c>
      <c r="G2478" s="7" t="n">
        <v>7.122</v>
      </c>
      <c r="H2478" s="7" t="inlineStr">
        <is>
          <t>2024</t>
        </is>
      </c>
      <c r="I2478" s="7" t="inlineStr">
        <is>
          <t>API_TX_VAL_FUEL_ZS_UN_DS2_en_csv_v2_33055.zip</t>
        </is>
      </c>
    </row>
    <row r="2479">
      <c r="A2479" s="7" t="inlineStr">
        <is>
          <t>SWE</t>
        </is>
      </c>
      <c r="B2479" s="7" t="inlineStr">
        <is>
          <t>Sweden</t>
        </is>
      </c>
      <c r="C2479" s="7" t="inlineStr">
        <is>
          <t>Europe &amp; Central Asia</t>
        </is>
      </c>
      <c r="D2479" s="7" t="inlineStr">
        <is>
          <t>High income</t>
        </is>
      </c>
      <c r="E2479" s="7" t="b">
        <v>0</v>
      </c>
      <c r="F2479" s="7" t="inlineStr">
        <is>
          <t>gen_coal_twh</t>
        </is>
      </c>
      <c r="G2479" s="7" t="n">
        <v>0</v>
      </c>
      <c r="H2479" s="7" t="n">
        <v>2024</v>
      </c>
      <c r="I2479" s="7" t="inlineStr">
        <is>
          <t>release_generation_yearly_global.csv (Ember)</t>
        </is>
      </c>
    </row>
    <row r="2480">
      <c r="A2480" s="7" t="inlineStr">
        <is>
          <t>SWE</t>
        </is>
      </c>
      <c r="B2480" s="7" t="inlineStr">
        <is>
          <t>Sweden</t>
        </is>
      </c>
      <c r="C2480" s="7" t="inlineStr">
        <is>
          <t>Europe &amp; Central Asia</t>
        </is>
      </c>
      <c r="D2480" s="7" t="inlineStr">
        <is>
          <t>High income</t>
        </is>
      </c>
      <c r="E2480" s="7" t="b">
        <v>0</v>
      </c>
      <c r="F2480" s="7" t="inlineStr">
        <is>
          <t>gen_gas_twh</t>
        </is>
      </c>
      <c r="G2480" s="7" t="n">
        <v>0.11</v>
      </c>
      <c r="H2480" s="7" t="n">
        <v>2024</v>
      </c>
      <c r="I2480" s="7" t="inlineStr">
        <is>
          <t>release_generation_yearly_global.csv (Ember)</t>
        </is>
      </c>
    </row>
    <row r="2481">
      <c r="A2481" s="7" t="inlineStr">
        <is>
          <t>SWE</t>
        </is>
      </c>
      <c r="B2481" s="7" t="inlineStr">
        <is>
          <t>Sweden</t>
        </is>
      </c>
      <c r="C2481" s="7" t="inlineStr">
        <is>
          <t>Europe &amp; Central Asia</t>
        </is>
      </c>
      <c r="D2481" s="7" t="inlineStr">
        <is>
          <t>High income</t>
        </is>
      </c>
      <c r="E2481" s="7" t="b">
        <v>0</v>
      </c>
      <c r="F2481" s="7" t="inlineStr">
        <is>
          <t>gen_oil_twh</t>
        </is>
      </c>
      <c r="G2481" s="7" t="n">
        <v>1.97</v>
      </c>
      <c r="H2481" s="7" t="n">
        <v>2024</v>
      </c>
      <c r="I2481" s="7" t="inlineStr">
        <is>
          <t>release_generation_yearly_global.csv (Ember)</t>
        </is>
      </c>
    </row>
    <row r="2482">
      <c r="A2482" s="7" t="inlineStr">
        <is>
          <t>SWE</t>
        </is>
      </c>
      <c r="B2482" s="7" t="inlineStr">
        <is>
          <t>Sweden</t>
        </is>
      </c>
      <c r="C2482" s="7" t="inlineStr">
        <is>
          <t>Europe &amp; Central Asia</t>
        </is>
      </c>
      <c r="D2482" s="7" t="inlineStr">
        <is>
          <t>High income</t>
        </is>
      </c>
      <c r="E2482" s="7" t="b">
        <v>0</v>
      </c>
      <c r="F2482" s="7" t="inlineStr">
        <is>
          <t>gen_total_twh</t>
        </is>
      </c>
      <c r="G2482" s="7" t="n">
        <v>172.15</v>
      </c>
      <c r="H2482" s="7" t="n">
        <v>2024</v>
      </c>
      <c r="I2482" s="7" t="inlineStr">
        <is>
          <t>release_generation_yearly_global.csv (Ember)</t>
        </is>
      </c>
    </row>
    <row r="2483">
      <c r="A2483" s="7" t="inlineStr">
        <is>
          <t>SWE</t>
        </is>
      </c>
      <c r="B2483" s="7" t="inlineStr">
        <is>
          <t>Sweden</t>
        </is>
      </c>
      <c r="C2483" s="7" t="inlineStr">
        <is>
          <t>Europe &amp; Central Asia</t>
        </is>
      </c>
      <c r="D2483" s="7" t="inlineStr">
        <is>
          <t>High income</t>
        </is>
      </c>
      <c r="E2483" s="7" t="b">
        <v>0</v>
      </c>
      <c r="F2483" s="7" t="inlineStr">
        <is>
          <t>price_coal_power_usd_gj</t>
        </is>
      </c>
      <c r="G2483" s="7" t="n">
        <v>19.823</v>
      </c>
      <c r="H2483" s="7" t="inlineStr">
        <is>
          <t>2024</t>
        </is>
      </c>
      <c r="I2483" s="7" t="inlineStr">
        <is>
          <t>imffossilfuelsubsidiesdata.xlsb</t>
        </is>
      </c>
    </row>
    <row r="2484">
      <c r="A2484" s="7" t="inlineStr">
        <is>
          <t>SWE</t>
        </is>
      </c>
      <c r="B2484" s="7" t="inlineStr">
        <is>
          <t>Sweden</t>
        </is>
      </c>
      <c r="C2484" s="7" t="inlineStr">
        <is>
          <t>Europe &amp; Central Asia</t>
        </is>
      </c>
      <c r="D2484" s="7" t="inlineStr">
        <is>
          <t>High income</t>
        </is>
      </c>
      <c r="E2484" s="7" t="b">
        <v>0</v>
      </c>
      <c r="F2484" s="7" t="inlineStr">
        <is>
          <t>price_electricity_residential_usd_kwh</t>
        </is>
      </c>
      <c r="G2484" s="7" t="n">
        <v>0.259</v>
      </c>
      <c r="H2484" s="7" t="inlineStr">
        <is>
          <t>2024</t>
        </is>
      </c>
      <c r="I2484" s="7" t="inlineStr">
        <is>
          <t>imffossilfuelsubsidiesdata.xlsb</t>
        </is>
      </c>
    </row>
    <row r="2485">
      <c r="A2485" s="7" t="inlineStr">
        <is>
          <t>SWE</t>
        </is>
      </c>
      <c r="B2485" s="7" t="inlineStr">
        <is>
          <t>Sweden</t>
        </is>
      </c>
      <c r="C2485" s="7" t="inlineStr">
        <is>
          <t>Europe &amp; Central Asia</t>
        </is>
      </c>
      <c r="D2485" s="7" t="inlineStr">
        <is>
          <t>High income</t>
        </is>
      </c>
      <c r="E2485" s="7" t="b">
        <v>0</v>
      </c>
      <c r="F2485" s="7" t="inlineStr">
        <is>
          <t>price_gas_industry_usd_gj</t>
        </is>
      </c>
      <c r="G2485" s="7" t="n">
        <v>34.989</v>
      </c>
      <c r="H2485" s="7" t="inlineStr">
        <is>
          <t>2024</t>
        </is>
      </c>
      <c r="I2485" s="7" t="inlineStr">
        <is>
          <t>imffossilfuelsubsidiesdata.xlsb</t>
        </is>
      </c>
    </row>
    <row r="2486">
      <c r="A2486" s="7" t="inlineStr">
        <is>
          <t>SWE</t>
        </is>
      </c>
      <c r="B2486" s="7" t="inlineStr">
        <is>
          <t>Sweden</t>
        </is>
      </c>
      <c r="C2486" s="7" t="inlineStr">
        <is>
          <t>Europe &amp; Central Asia</t>
        </is>
      </c>
      <c r="D2486" s="7" t="inlineStr">
        <is>
          <t>High income</t>
        </is>
      </c>
      <c r="E2486" s="7" t="b">
        <v>0</v>
      </c>
      <c r="F2486" s="7" t="inlineStr">
        <is>
          <t>price_gas_power_usd_gj</t>
        </is>
      </c>
      <c r="G2486" s="7" t="n">
        <v>34.989</v>
      </c>
      <c r="H2486" s="7" t="inlineStr">
        <is>
          <t>2024</t>
        </is>
      </c>
      <c r="I2486" s="7" t="inlineStr">
        <is>
          <t>imffossilfuelsubsidiesdata.xlsb</t>
        </is>
      </c>
    </row>
    <row r="2487">
      <c r="A2487" s="7" t="inlineStr">
        <is>
          <t>SWE</t>
        </is>
      </c>
      <c r="B2487" s="7" t="inlineStr">
        <is>
          <t>Sweden</t>
        </is>
      </c>
      <c r="C2487" s="7" t="inlineStr">
        <is>
          <t>Europe &amp; Central Asia</t>
        </is>
      </c>
      <c r="D2487" s="7" t="inlineStr">
        <is>
          <t>High income</t>
        </is>
      </c>
      <c r="E2487" s="7" t="b">
        <v>0</v>
      </c>
      <c r="F2487" s="7" t="inlineStr">
        <is>
          <t>rise_renewable_energy_score</t>
        </is>
      </c>
      <c r="G2487" s="7" t="n">
        <v>83.15900000000001</v>
      </c>
      <c r="H2487" s="7" t="inlineStr">
        <is>
          <t>2023</t>
        </is>
      </c>
      <c r="I2487" s="7" t="inlineStr">
        <is>
          <t>WB_RISE_WIDEF.csv</t>
        </is>
      </c>
    </row>
    <row r="2488">
      <c r="A2488" s="7" t="inlineStr">
        <is>
          <t>SWZ</t>
        </is>
      </c>
      <c r="B2488" s="7" t="inlineStr">
        <is>
          <t>Eswatini</t>
        </is>
      </c>
      <c r="C2488" s="7" t="inlineStr">
        <is>
          <t>Sub-Saharan Africa</t>
        </is>
      </c>
      <c r="D2488" s="7" t="inlineStr">
        <is>
          <t>Lower middle income</t>
        </is>
      </c>
      <c r="E2488" s="7" t="b">
        <v>0</v>
      </c>
      <c r="F2488" s="7" t="inlineStr">
        <is>
          <t>coal_rents_pct_gdp</t>
        </is>
      </c>
      <c r="G2488" s="7" t="n">
        <v>0.137</v>
      </c>
      <c r="H2488" s="7" t="inlineStr">
        <is>
          <t>2021</t>
        </is>
      </c>
      <c r="I2488" s="7" t="inlineStr">
        <is>
          <t>API_NY_GDP_COAL_RT_ZS_DS2_en_csv_v2_35370.zip</t>
        </is>
      </c>
    </row>
    <row r="2489">
      <c r="A2489" s="7" t="inlineStr">
        <is>
          <t>SWZ</t>
        </is>
      </c>
      <c r="B2489" s="7" t="inlineStr">
        <is>
          <t>Eswatini</t>
        </is>
      </c>
      <c r="C2489" s="7" t="inlineStr">
        <is>
          <t>Sub-Saharan Africa</t>
        </is>
      </c>
      <c r="D2489" s="7" t="inlineStr">
        <is>
          <t>Lower middle income</t>
        </is>
      </c>
      <c r="E2489" s="7" t="b">
        <v>0</v>
      </c>
      <c r="F2489" s="7" t="inlineStr">
        <is>
          <t>em_coal_mt</t>
        </is>
      </c>
      <c r="G2489" s="7" t="n">
        <v>0.018</v>
      </c>
      <c r="H2489" s="7" t="n">
        <v>2024</v>
      </c>
      <c r="I2489" s="7" t="inlineStr">
        <is>
          <t>release_generation_yearly_global.csv (Ember)</t>
        </is>
      </c>
    </row>
    <row r="2490">
      <c r="A2490" s="7" t="inlineStr">
        <is>
          <t>SWZ</t>
        </is>
      </c>
      <c r="B2490" s="7" t="inlineStr">
        <is>
          <t>Eswatini</t>
        </is>
      </c>
      <c r="C2490" s="7" t="inlineStr">
        <is>
          <t>Sub-Saharan Africa</t>
        </is>
      </c>
      <c r="D2490" s="7" t="inlineStr">
        <is>
          <t>Lower middle income</t>
        </is>
      </c>
      <c r="E2490" s="7" t="b">
        <v>0</v>
      </c>
      <c r="F2490" s="7" t="inlineStr">
        <is>
          <t>em_gas_mt</t>
        </is>
      </c>
      <c r="G2490" s="7" t="n">
        <v>0</v>
      </c>
      <c r="H2490" s="7" t="n">
        <v>2024</v>
      </c>
      <c r="I2490" s="7" t="inlineStr">
        <is>
          <t>release_generation_yearly_global.csv (Ember)</t>
        </is>
      </c>
    </row>
    <row r="2491">
      <c r="A2491" s="7" t="inlineStr">
        <is>
          <t>SWZ</t>
        </is>
      </c>
      <c r="B2491" s="7" t="inlineStr">
        <is>
          <t>Eswatini</t>
        </is>
      </c>
      <c r="C2491" s="7" t="inlineStr">
        <is>
          <t>Sub-Saharan Africa</t>
        </is>
      </c>
      <c r="D2491" s="7" t="inlineStr">
        <is>
          <t>Lower middle income</t>
        </is>
      </c>
      <c r="E2491" s="7" t="b">
        <v>0</v>
      </c>
      <c r="F2491" s="7" t="inlineStr">
        <is>
          <t>em_oil_mt</t>
        </is>
      </c>
      <c r="G2491" s="7" t="n">
        <v>0</v>
      </c>
      <c r="H2491" s="7" t="n">
        <v>2024</v>
      </c>
      <c r="I2491" s="7" t="inlineStr">
        <is>
          <t>release_generation_yearly_global.csv (Ember)</t>
        </is>
      </c>
    </row>
    <row r="2492">
      <c r="A2492" s="7" t="inlineStr">
        <is>
          <t>SWZ</t>
        </is>
      </c>
      <c r="B2492" s="7" t="inlineStr">
        <is>
          <t>Eswatini</t>
        </is>
      </c>
      <c r="C2492" s="7" t="inlineStr">
        <is>
          <t>Sub-Saharan Africa</t>
        </is>
      </c>
      <c r="D2492" s="7" t="inlineStr">
        <is>
          <t>Lower middle income</t>
        </is>
      </c>
      <c r="E2492" s="7" t="b">
        <v>0</v>
      </c>
      <c r="F2492" s="7" t="inlineStr">
        <is>
          <t>ff_subsidy_explicit_pct_gdp</t>
        </is>
      </c>
      <c r="G2492" s="7" t="n">
        <v>0.018</v>
      </c>
      <c r="H2492" s="7" t="inlineStr">
        <is>
          <t>2024</t>
        </is>
      </c>
      <c r="I2492" s="7" t="inlineStr">
        <is>
          <t>imffossilfuelsubsidiesdata.xlsb</t>
        </is>
      </c>
    </row>
    <row r="2493">
      <c r="A2493" s="7" t="inlineStr">
        <is>
          <t>SWZ</t>
        </is>
      </c>
      <c r="B2493" s="7" t="inlineStr">
        <is>
          <t>Eswatini</t>
        </is>
      </c>
      <c r="C2493" s="7" t="inlineStr">
        <is>
          <t>Sub-Saharan Africa</t>
        </is>
      </c>
      <c r="D2493" s="7" t="inlineStr">
        <is>
          <t>Lower middle income</t>
        </is>
      </c>
      <c r="E2493" s="7" t="b">
        <v>0</v>
      </c>
      <c r="F2493" s="7" t="inlineStr">
        <is>
          <t>fuel_exports_pct_merch</t>
        </is>
      </c>
      <c r="G2493" s="7" t="n">
        <v>3.598</v>
      </c>
      <c r="H2493" s="7" t="inlineStr">
        <is>
          <t>2023</t>
        </is>
      </c>
      <c r="I2493" s="7" t="inlineStr">
        <is>
          <t>API_TX_VAL_FUEL_ZS_UN_DS2_en_csv_v2_33055.zip</t>
        </is>
      </c>
    </row>
    <row r="2494">
      <c r="A2494" s="7" t="inlineStr">
        <is>
          <t>SWZ</t>
        </is>
      </c>
      <c r="B2494" s="7" t="inlineStr">
        <is>
          <t>Eswatini</t>
        </is>
      </c>
      <c r="C2494" s="7" t="inlineStr">
        <is>
          <t>Sub-Saharan Africa</t>
        </is>
      </c>
      <c r="D2494" s="7" t="inlineStr">
        <is>
          <t>Lower middle income</t>
        </is>
      </c>
      <c r="E2494" s="7" t="b">
        <v>0</v>
      </c>
      <c r="F2494" s="7" t="inlineStr">
        <is>
          <t>gen_coal_twh</t>
        </is>
      </c>
      <c r="G2494" s="7" t="n">
        <v>0.02</v>
      </c>
      <c r="H2494" s="7" t="n">
        <v>2024</v>
      </c>
      <c r="I2494" s="7" t="inlineStr">
        <is>
          <t>release_generation_yearly_global.csv (Ember)</t>
        </is>
      </c>
    </row>
    <row r="2495">
      <c r="A2495" s="7" t="inlineStr">
        <is>
          <t>SWZ</t>
        </is>
      </c>
      <c r="B2495" s="7" t="inlineStr">
        <is>
          <t>Eswatini</t>
        </is>
      </c>
      <c r="C2495" s="7" t="inlineStr">
        <is>
          <t>Sub-Saharan Africa</t>
        </is>
      </c>
      <c r="D2495" s="7" t="inlineStr">
        <is>
          <t>Lower middle income</t>
        </is>
      </c>
      <c r="E2495" s="7" t="b">
        <v>0</v>
      </c>
      <c r="F2495" s="7" t="inlineStr">
        <is>
          <t>gen_gas_twh</t>
        </is>
      </c>
      <c r="G2495" s="7" t="n">
        <v>0</v>
      </c>
      <c r="H2495" s="7" t="n">
        <v>2024</v>
      </c>
      <c r="I2495" s="7" t="inlineStr">
        <is>
          <t>release_generation_yearly_global.csv (Ember)</t>
        </is>
      </c>
    </row>
    <row r="2496">
      <c r="A2496" s="7" t="inlineStr">
        <is>
          <t>SWZ</t>
        </is>
      </c>
      <c r="B2496" s="7" t="inlineStr">
        <is>
          <t>Eswatini</t>
        </is>
      </c>
      <c r="C2496" s="7" t="inlineStr">
        <is>
          <t>Sub-Saharan Africa</t>
        </is>
      </c>
      <c r="D2496" s="7" t="inlineStr">
        <is>
          <t>Lower middle income</t>
        </is>
      </c>
      <c r="E2496" s="7" t="b">
        <v>0</v>
      </c>
      <c r="F2496" s="7" t="inlineStr">
        <is>
          <t>gen_oil_twh</t>
        </is>
      </c>
      <c r="G2496" s="7" t="n">
        <v>0</v>
      </c>
      <c r="H2496" s="7" t="n">
        <v>2024</v>
      </c>
      <c r="I2496" s="7" t="inlineStr">
        <is>
          <t>release_generation_yearly_global.csv (Ember)</t>
        </is>
      </c>
    </row>
    <row r="2497">
      <c r="A2497" s="7" t="inlineStr">
        <is>
          <t>SWZ</t>
        </is>
      </c>
      <c r="B2497" s="7" t="inlineStr">
        <is>
          <t>Eswatini</t>
        </is>
      </c>
      <c r="C2497" s="7" t="inlineStr">
        <is>
          <t>Sub-Saharan Africa</t>
        </is>
      </c>
      <c r="D2497" s="7" t="inlineStr">
        <is>
          <t>Lower middle income</t>
        </is>
      </c>
      <c r="E2497" s="7" t="b">
        <v>0</v>
      </c>
      <c r="F2497" s="7" t="inlineStr">
        <is>
          <t>gen_total_twh</t>
        </is>
      </c>
      <c r="G2497" s="7" t="n">
        <v>0.61</v>
      </c>
      <c r="H2497" s="7" t="n">
        <v>2024</v>
      </c>
      <c r="I2497" s="7" t="inlineStr">
        <is>
          <t>release_generation_yearly_global.csv (Ember)</t>
        </is>
      </c>
    </row>
    <row r="2498">
      <c r="A2498" s="7" t="inlineStr">
        <is>
          <t>SWZ</t>
        </is>
      </c>
      <c r="B2498" s="7" t="inlineStr">
        <is>
          <t>Eswatini</t>
        </is>
      </c>
      <c r="C2498" s="7" t="inlineStr">
        <is>
          <t>Sub-Saharan Africa</t>
        </is>
      </c>
      <c r="D2498" s="7" t="inlineStr">
        <is>
          <t>Lower middle income</t>
        </is>
      </c>
      <c r="E2498" s="7" t="b">
        <v>0</v>
      </c>
      <c r="F2498" s="7" t="inlineStr">
        <is>
          <t>power_market_structure</t>
        </is>
      </c>
      <c r="G2498" s="7" t="n">
        <v>2</v>
      </c>
      <c r="H2498" s="7" t="inlineStr">
        <is>
          <t>2013</t>
        </is>
      </c>
      <c r="I2498" s="7" t="inlineStr">
        <is>
          <t>dataverse_files.zip</t>
        </is>
      </c>
    </row>
    <row r="2499">
      <c r="A2499" s="7" t="inlineStr">
        <is>
          <t>SWZ</t>
        </is>
      </c>
      <c r="B2499" s="7" t="inlineStr">
        <is>
          <t>Eswatini</t>
        </is>
      </c>
      <c r="C2499" s="7" t="inlineStr">
        <is>
          <t>Sub-Saharan Africa</t>
        </is>
      </c>
      <c r="D2499" s="7" t="inlineStr">
        <is>
          <t>Lower middle income</t>
        </is>
      </c>
      <c r="E2499" s="7" t="b">
        <v>0</v>
      </c>
      <c r="F2499" s="7" t="inlineStr">
        <is>
          <t>price_coal_power_usd_gj</t>
        </is>
      </c>
      <c r="G2499" s="7" t="n">
        <v>5.575</v>
      </c>
      <c r="H2499" s="7" t="inlineStr">
        <is>
          <t>2024</t>
        </is>
      </c>
      <c r="I2499" s="7" t="inlineStr">
        <is>
          <t>imffossilfuelsubsidiesdata.xlsb</t>
        </is>
      </c>
    </row>
    <row r="2500">
      <c r="A2500" s="7" t="inlineStr">
        <is>
          <t>SWZ</t>
        </is>
      </c>
      <c r="B2500" s="7" t="inlineStr">
        <is>
          <t>Eswatini</t>
        </is>
      </c>
      <c r="C2500" s="7" t="inlineStr">
        <is>
          <t>Sub-Saharan Africa</t>
        </is>
      </c>
      <c r="D2500" s="7" t="inlineStr">
        <is>
          <t>Lower middle income</t>
        </is>
      </c>
      <c r="E2500" s="7" t="b">
        <v>0</v>
      </c>
      <c r="F2500" s="7" t="inlineStr">
        <is>
          <t>price_electricity_residential_usd_kwh</t>
        </is>
      </c>
      <c r="G2500" s="7" t="n">
        <v>0.124</v>
      </c>
      <c r="H2500" s="7" t="inlineStr">
        <is>
          <t>2024</t>
        </is>
      </c>
      <c r="I2500" s="7" t="inlineStr">
        <is>
          <t>imffossilfuelsubsidiesdata.xlsb</t>
        </is>
      </c>
    </row>
    <row r="2501">
      <c r="A2501" s="7" t="inlineStr">
        <is>
          <t>SWZ</t>
        </is>
      </c>
      <c r="B2501" s="7" t="inlineStr">
        <is>
          <t>Eswatini</t>
        </is>
      </c>
      <c r="C2501" s="7" t="inlineStr">
        <is>
          <t>Sub-Saharan Africa</t>
        </is>
      </c>
      <c r="D2501" s="7" t="inlineStr">
        <is>
          <t>Lower middle income</t>
        </is>
      </c>
      <c r="E2501" s="7" t="b">
        <v>0</v>
      </c>
      <c r="F2501" s="7" t="inlineStr">
        <is>
          <t>price_gas_industry_usd_gj</t>
        </is>
      </c>
      <c r="G2501" s="7" t="n">
        <v>12.412</v>
      </c>
      <c r="H2501" s="7" t="inlineStr">
        <is>
          <t>2024</t>
        </is>
      </c>
      <c r="I2501" s="7" t="inlineStr">
        <is>
          <t>imffossilfuelsubsidiesdata.xlsb</t>
        </is>
      </c>
    </row>
    <row r="2502">
      <c r="A2502" s="7" t="inlineStr">
        <is>
          <t>SWZ</t>
        </is>
      </c>
      <c r="B2502" s="7" t="inlineStr">
        <is>
          <t>Eswatini</t>
        </is>
      </c>
      <c r="C2502" s="7" t="inlineStr">
        <is>
          <t>Sub-Saharan Africa</t>
        </is>
      </c>
      <c r="D2502" s="7" t="inlineStr">
        <is>
          <t>Lower middle income</t>
        </is>
      </c>
      <c r="E2502" s="7" t="b">
        <v>0</v>
      </c>
      <c r="F2502" s="7" t="inlineStr">
        <is>
          <t>price_gas_power_usd_gj</t>
        </is>
      </c>
      <c r="G2502" s="7" t="n">
        <v>11.088</v>
      </c>
      <c r="H2502" s="7" t="inlineStr">
        <is>
          <t>2024</t>
        </is>
      </c>
      <c r="I2502" s="7" t="inlineStr">
        <is>
          <t>imffossilfuelsubsidiesdata.xlsb</t>
        </is>
      </c>
    </row>
    <row r="2503">
      <c r="A2503" s="7" t="inlineStr">
        <is>
          <t>SYC</t>
        </is>
      </c>
      <c r="B2503" s="7" t="inlineStr">
        <is>
          <t>Seychelles</t>
        </is>
      </c>
      <c r="C2503" s="7" t="inlineStr">
        <is>
          <t>Sub-Saharan Africa</t>
        </is>
      </c>
      <c r="D2503" s="7" t="inlineStr">
        <is>
          <t>High income</t>
        </is>
      </c>
      <c r="E2503" s="7" t="b">
        <v>1</v>
      </c>
      <c r="F2503" s="7" t="inlineStr">
        <is>
          <t>coal_rents_pct_gdp</t>
        </is>
      </c>
      <c r="G2503" s="7" t="n">
        <v>0</v>
      </c>
      <c r="H2503" s="7" t="inlineStr">
        <is>
          <t>2021</t>
        </is>
      </c>
      <c r="I2503" s="7" t="inlineStr">
        <is>
          <t>API_NY_GDP_COAL_RT_ZS_DS2_en_csv_v2_35370.zip</t>
        </is>
      </c>
    </row>
    <row r="2504">
      <c r="A2504" s="7" t="inlineStr">
        <is>
          <t>SYC</t>
        </is>
      </c>
      <c r="B2504" s="7" t="inlineStr">
        <is>
          <t>Seychelles</t>
        </is>
      </c>
      <c r="C2504" s="7" t="inlineStr">
        <is>
          <t>Sub-Saharan Africa</t>
        </is>
      </c>
      <c r="D2504" s="7" t="inlineStr">
        <is>
          <t>High income</t>
        </is>
      </c>
      <c r="E2504" s="7" t="b">
        <v>1</v>
      </c>
      <c r="F2504" s="7" t="inlineStr">
        <is>
          <t>em_coal_mt</t>
        </is>
      </c>
      <c r="G2504" s="7" t="n">
        <v>0</v>
      </c>
      <c r="H2504" s="7" t="n">
        <v>2024</v>
      </c>
      <c r="I2504" s="7" t="inlineStr">
        <is>
          <t>release_generation_yearly_global.csv (Ember)</t>
        </is>
      </c>
    </row>
    <row r="2505">
      <c r="A2505" s="7" t="inlineStr">
        <is>
          <t>SYC</t>
        </is>
      </c>
      <c r="B2505" s="7" t="inlineStr">
        <is>
          <t>Seychelles</t>
        </is>
      </c>
      <c r="C2505" s="7" t="inlineStr">
        <is>
          <t>Sub-Saharan Africa</t>
        </is>
      </c>
      <c r="D2505" s="7" t="inlineStr">
        <is>
          <t>High income</t>
        </is>
      </c>
      <c r="E2505" s="7" t="b">
        <v>1</v>
      </c>
      <c r="F2505" s="7" t="inlineStr">
        <is>
          <t>em_gas_mt</t>
        </is>
      </c>
      <c r="G2505" s="7" t="n">
        <v>0</v>
      </c>
      <c r="H2505" s="7" t="n">
        <v>2024</v>
      </c>
      <c r="I2505" s="7" t="inlineStr">
        <is>
          <t>release_generation_yearly_global.csv (Ember)</t>
        </is>
      </c>
    </row>
    <row r="2506">
      <c r="A2506" s="7" t="inlineStr">
        <is>
          <t>SYC</t>
        </is>
      </c>
      <c r="B2506" s="7" t="inlineStr">
        <is>
          <t>Seychelles</t>
        </is>
      </c>
      <c r="C2506" s="7" t="inlineStr">
        <is>
          <t>Sub-Saharan Africa</t>
        </is>
      </c>
      <c r="D2506" s="7" t="inlineStr">
        <is>
          <t>High income</t>
        </is>
      </c>
      <c r="E2506" s="7" t="b">
        <v>1</v>
      </c>
      <c r="F2506" s="7" t="inlineStr">
        <is>
          <t>em_oil_mt</t>
        </is>
      </c>
      <c r="G2506" s="7" t="n">
        <v>0.349</v>
      </c>
      <c r="H2506" s="7" t="n">
        <v>2024</v>
      </c>
      <c r="I2506" s="7" t="inlineStr">
        <is>
          <t>release_generation_yearly_global.csv (Ember)</t>
        </is>
      </c>
    </row>
    <row r="2507">
      <c r="A2507" s="7" t="inlineStr">
        <is>
          <t>SYC</t>
        </is>
      </c>
      <c r="B2507" s="7" t="inlineStr">
        <is>
          <t>Seychelles</t>
        </is>
      </c>
      <c r="C2507" s="7" t="inlineStr">
        <is>
          <t>Sub-Saharan Africa</t>
        </is>
      </c>
      <c r="D2507" s="7" t="inlineStr">
        <is>
          <t>High income</t>
        </is>
      </c>
      <c r="E2507" s="7" t="b">
        <v>1</v>
      </c>
      <c r="F2507" s="7" t="inlineStr">
        <is>
          <t>ff_subsidy_explicit_pct_gdp</t>
        </is>
      </c>
      <c r="G2507" s="7" t="n">
        <v>0</v>
      </c>
      <c r="H2507" s="7" t="inlineStr">
        <is>
          <t>2024</t>
        </is>
      </c>
      <c r="I2507" s="7" t="inlineStr">
        <is>
          <t>imffossilfuelsubsidiesdata.xlsb</t>
        </is>
      </c>
    </row>
    <row r="2508">
      <c r="A2508" s="7" t="inlineStr">
        <is>
          <t>SYC</t>
        </is>
      </c>
      <c r="B2508" s="7" t="inlineStr">
        <is>
          <t>Seychelles</t>
        </is>
      </c>
      <c r="C2508" s="7" t="inlineStr">
        <is>
          <t>Sub-Saharan Africa</t>
        </is>
      </c>
      <c r="D2508" s="7" t="inlineStr">
        <is>
          <t>High income</t>
        </is>
      </c>
      <c r="E2508" s="7" t="b">
        <v>1</v>
      </c>
      <c r="F2508" s="7" t="inlineStr">
        <is>
          <t>fuel_exports_pct_merch</t>
        </is>
      </c>
      <c r="G2508" s="7" t="n">
        <v>0</v>
      </c>
      <c r="H2508" s="7" t="inlineStr">
        <is>
          <t>2024</t>
        </is>
      </c>
      <c r="I2508" s="7" t="inlineStr">
        <is>
          <t>API_TX_VAL_FUEL_ZS_UN_DS2_en_csv_v2_33055.zip</t>
        </is>
      </c>
    </row>
    <row r="2509">
      <c r="A2509" s="7" t="inlineStr">
        <is>
          <t>SYC</t>
        </is>
      </c>
      <c r="B2509" s="7" t="inlineStr">
        <is>
          <t>Seychelles</t>
        </is>
      </c>
      <c r="C2509" s="7" t="inlineStr">
        <is>
          <t>Sub-Saharan Africa</t>
        </is>
      </c>
      <c r="D2509" s="7" t="inlineStr">
        <is>
          <t>High income</t>
        </is>
      </c>
      <c r="E2509" s="7" t="b">
        <v>1</v>
      </c>
      <c r="F2509" s="7" t="inlineStr">
        <is>
          <t>gen_coal_twh</t>
        </is>
      </c>
      <c r="G2509" s="7" t="n">
        <v>0</v>
      </c>
      <c r="H2509" s="7" t="n">
        <v>2024</v>
      </c>
      <c r="I2509" s="7" t="inlineStr">
        <is>
          <t>release_generation_yearly_global.csv (Ember)</t>
        </is>
      </c>
    </row>
    <row r="2510">
      <c r="A2510" s="7" t="inlineStr">
        <is>
          <t>SYC</t>
        </is>
      </c>
      <c r="B2510" s="7" t="inlineStr">
        <is>
          <t>Seychelles</t>
        </is>
      </c>
      <c r="C2510" s="7" t="inlineStr">
        <is>
          <t>Sub-Saharan Africa</t>
        </is>
      </c>
      <c r="D2510" s="7" t="inlineStr">
        <is>
          <t>High income</t>
        </is>
      </c>
      <c r="E2510" s="7" t="b">
        <v>1</v>
      </c>
      <c r="F2510" s="7" t="inlineStr">
        <is>
          <t>gen_gas_twh</t>
        </is>
      </c>
      <c r="G2510" s="7" t="n">
        <v>0</v>
      </c>
      <c r="H2510" s="7" t="n">
        <v>2024</v>
      </c>
      <c r="I2510" s="7" t="inlineStr">
        <is>
          <t>release_generation_yearly_global.csv (Ember)</t>
        </is>
      </c>
    </row>
    <row r="2511">
      <c r="A2511" s="7" t="inlineStr">
        <is>
          <t>SYC</t>
        </is>
      </c>
      <c r="B2511" s="7" t="inlineStr">
        <is>
          <t>Seychelles</t>
        </is>
      </c>
      <c r="C2511" s="7" t="inlineStr">
        <is>
          <t>Sub-Saharan Africa</t>
        </is>
      </c>
      <c r="D2511" s="7" t="inlineStr">
        <is>
          <t>High income</t>
        </is>
      </c>
      <c r="E2511" s="7" t="b">
        <v>1</v>
      </c>
      <c r="F2511" s="7" t="inlineStr">
        <is>
          <t>gen_oil_twh</t>
        </is>
      </c>
      <c r="G2511" s="7" t="n">
        <v>0.53</v>
      </c>
      <c r="H2511" s="7" t="n">
        <v>2024</v>
      </c>
      <c r="I2511" s="7" t="inlineStr">
        <is>
          <t>release_generation_yearly_global.csv (Ember)</t>
        </is>
      </c>
    </row>
    <row r="2512">
      <c r="A2512" s="7" t="inlineStr">
        <is>
          <t>SYC</t>
        </is>
      </c>
      <c r="B2512" s="7" t="inlineStr">
        <is>
          <t>Seychelles</t>
        </is>
      </c>
      <c r="C2512" s="7" t="inlineStr">
        <is>
          <t>Sub-Saharan Africa</t>
        </is>
      </c>
      <c r="D2512" s="7" t="inlineStr">
        <is>
          <t>High income</t>
        </is>
      </c>
      <c r="E2512" s="7" t="b">
        <v>1</v>
      </c>
      <c r="F2512" s="7" t="inlineStr">
        <is>
          <t>gen_total_twh</t>
        </is>
      </c>
      <c r="G2512" s="7" t="n">
        <v>0.63</v>
      </c>
      <c r="H2512" s="7" t="n">
        <v>2024</v>
      </c>
      <c r="I2512" s="7" t="inlineStr">
        <is>
          <t>release_generation_yearly_global.csv (Ember)</t>
        </is>
      </c>
    </row>
    <row r="2513">
      <c r="A2513" s="7" t="inlineStr">
        <is>
          <t>SYC</t>
        </is>
      </c>
      <c r="B2513" s="7" t="inlineStr">
        <is>
          <t>Seychelles</t>
        </is>
      </c>
      <c r="C2513" s="7" t="inlineStr">
        <is>
          <t>Sub-Saharan Africa</t>
        </is>
      </c>
      <c r="D2513" s="7" t="inlineStr">
        <is>
          <t>High income</t>
        </is>
      </c>
      <c r="E2513" s="7" t="b">
        <v>1</v>
      </c>
      <c r="F2513" s="7" t="inlineStr">
        <is>
          <t>power_market_structure</t>
        </is>
      </c>
      <c r="G2513" s="7" t="n">
        <v>1</v>
      </c>
      <c r="H2513" s="7" t="inlineStr">
        <is>
          <t>2013</t>
        </is>
      </c>
      <c r="I2513" s="7" t="inlineStr">
        <is>
          <t>dataverse_files.zip</t>
        </is>
      </c>
    </row>
    <row r="2514">
      <c r="A2514" s="7" t="inlineStr">
        <is>
          <t>SYC</t>
        </is>
      </c>
      <c r="B2514" s="7" t="inlineStr">
        <is>
          <t>Seychelles</t>
        </is>
      </c>
      <c r="C2514" s="7" t="inlineStr">
        <is>
          <t>Sub-Saharan Africa</t>
        </is>
      </c>
      <c r="D2514" s="7" t="inlineStr">
        <is>
          <t>High income</t>
        </is>
      </c>
      <c r="E2514" s="7" t="b">
        <v>1</v>
      </c>
      <c r="F2514" s="7" t="inlineStr">
        <is>
          <t>price_coal_power_usd_gj</t>
        </is>
      </c>
      <c r="G2514" s="7" t="n">
        <v>5.575</v>
      </c>
      <c r="H2514" s="7" t="inlineStr">
        <is>
          <t>2024</t>
        </is>
      </c>
      <c r="I2514" s="7" t="inlineStr">
        <is>
          <t>imffossilfuelsubsidiesdata.xlsb</t>
        </is>
      </c>
    </row>
    <row r="2515">
      <c r="A2515" s="7" t="inlineStr">
        <is>
          <t>SYC</t>
        </is>
      </c>
      <c r="B2515" s="7" t="inlineStr">
        <is>
          <t>Seychelles</t>
        </is>
      </c>
      <c r="C2515" s="7" t="inlineStr">
        <is>
          <t>Sub-Saharan Africa</t>
        </is>
      </c>
      <c r="D2515" s="7" t="inlineStr">
        <is>
          <t>High income</t>
        </is>
      </c>
      <c r="E2515" s="7" t="b">
        <v>1</v>
      </c>
      <c r="F2515" s="7" t="inlineStr">
        <is>
          <t>price_electricity_residential_usd_kwh</t>
        </is>
      </c>
      <c r="G2515" s="7" t="n">
        <v>0.294</v>
      </c>
      <c r="H2515" s="7" t="inlineStr">
        <is>
          <t>2024</t>
        </is>
      </c>
      <c r="I2515" s="7" t="inlineStr">
        <is>
          <t>imffossilfuelsubsidiesdata.xlsb</t>
        </is>
      </c>
    </row>
    <row r="2516">
      <c r="A2516" s="7" t="inlineStr">
        <is>
          <t>SYC</t>
        </is>
      </c>
      <c r="B2516" s="7" t="inlineStr">
        <is>
          <t>Seychelles</t>
        </is>
      </c>
      <c r="C2516" s="7" t="inlineStr">
        <is>
          <t>Sub-Saharan Africa</t>
        </is>
      </c>
      <c r="D2516" s="7" t="inlineStr">
        <is>
          <t>High income</t>
        </is>
      </c>
      <c r="E2516" s="7" t="b">
        <v>1</v>
      </c>
      <c r="F2516" s="7" t="inlineStr">
        <is>
          <t>price_gas_industry_usd_gj</t>
        </is>
      </c>
      <c r="G2516" s="7" t="n">
        <v>9.411</v>
      </c>
      <c r="H2516" s="7" t="inlineStr">
        <is>
          <t>2024</t>
        </is>
      </c>
      <c r="I2516" s="7" t="inlineStr">
        <is>
          <t>imffossilfuelsubsidiesdata.xlsb</t>
        </is>
      </c>
    </row>
    <row r="2517">
      <c r="A2517" s="7" t="inlineStr">
        <is>
          <t>SYC</t>
        </is>
      </c>
      <c r="B2517" s="7" t="inlineStr">
        <is>
          <t>Seychelles</t>
        </is>
      </c>
      <c r="C2517" s="7" t="inlineStr">
        <is>
          <t>Sub-Saharan Africa</t>
        </is>
      </c>
      <c r="D2517" s="7" t="inlineStr">
        <is>
          <t>High income</t>
        </is>
      </c>
      <c r="E2517" s="7" t="b">
        <v>1</v>
      </c>
      <c r="F2517" s="7" t="inlineStr">
        <is>
          <t>price_gas_power_usd_gj</t>
        </is>
      </c>
      <c r="G2517" s="7" t="n">
        <v>8.087</v>
      </c>
      <c r="H2517" s="7" t="inlineStr">
        <is>
          <t>2024</t>
        </is>
      </c>
      <c r="I2517" s="7" t="inlineStr">
        <is>
          <t>imffossilfuelsubsidiesdata.xlsb</t>
        </is>
      </c>
    </row>
    <row r="2518">
      <c r="A2518" s="7" t="inlineStr">
        <is>
          <t>SYR</t>
        </is>
      </c>
      <c r="B2518" s="7" t="inlineStr">
        <is>
          <t>Syrian Arab Republic</t>
        </is>
      </c>
      <c r="C2518" s="7" t="inlineStr">
        <is>
          <t>Middle East &amp; North Africa</t>
        </is>
      </c>
      <c r="D2518" s="7" t="inlineStr">
        <is>
          <t>Low income</t>
        </is>
      </c>
      <c r="E2518" s="7" t="b">
        <v>0</v>
      </c>
      <c r="F2518" s="7" t="inlineStr">
        <is>
          <t>coal_rents_pct_gdp</t>
        </is>
      </c>
      <c r="G2518" s="7" t="n">
        <v>0</v>
      </c>
      <c r="H2518" s="7" t="inlineStr">
        <is>
          <t>2020</t>
        </is>
      </c>
      <c r="I2518" s="7" t="inlineStr">
        <is>
          <t>API_NY_GDP_COAL_RT_ZS_DS2_en_csv_v2_35370.zip</t>
        </is>
      </c>
    </row>
    <row r="2519">
      <c r="A2519" s="7" t="inlineStr">
        <is>
          <t>SYR</t>
        </is>
      </c>
      <c r="B2519" s="7" t="inlineStr">
        <is>
          <t>Syrian Arab Republic</t>
        </is>
      </c>
      <c r="C2519" s="7" t="inlineStr">
        <is>
          <t>Middle East &amp; North Africa</t>
        </is>
      </c>
      <c r="D2519" s="7" t="inlineStr">
        <is>
          <t>Low income</t>
        </is>
      </c>
      <c r="E2519" s="7" t="b">
        <v>0</v>
      </c>
      <c r="F2519" s="7" t="inlineStr">
        <is>
          <t>em_coal_mt</t>
        </is>
      </c>
      <c r="G2519" s="7" t="n">
        <v>0</v>
      </c>
      <c r="H2519" s="7" t="n">
        <v>2024</v>
      </c>
      <c r="I2519" s="7" t="inlineStr">
        <is>
          <t>release_generation_yearly_global.csv (Ember)</t>
        </is>
      </c>
    </row>
    <row r="2520">
      <c r="A2520" s="7" t="inlineStr">
        <is>
          <t>SYR</t>
        </is>
      </c>
      <c r="B2520" s="7" t="inlineStr">
        <is>
          <t>Syrian Arab Republic</t>
        </is>
      </c>
      <c r="C2520" s="7" t="inlineStr">
        <is>
          <t>Middle East &amp; North Africa</t>
        </is>
      </c>
      <c r="D2520" s="7" t="inlineStr">
        <is>
          <t>Low income</t>
        </is>
      </c>
      <c r="E2520" s="7" t="b">
        <v>0</v>
      </c>
      <c r="F2520" s="7" t="inlineStr">
        <is>
          <t>em_gas_mt</t>
        </is>
      </c>
      <c r="G2520" s="7" t="n">
        <v>10.303</v>
      </c>
      <c r="H2520" s="7" t="n">
        <v>2024</v>
      </c>
      <c r="I2520" s="7" t="inlineStr">
        <is>
          <t>release_generation_yearly_global.csv (Ember)</t>
        </is>
      </c>
    </row>
    <row r="2521">
      <c r="A2521" s="7" t="inlineStr">
        <is>
          <t>SYR</t>
        </is>
      </c>
      <c r="B2521" s="7" t="inlineStr">
        <is>
          <t>Syrian Arab Republic</t>
        </is>
      </c>
      <c r="C2521" s="7" t="inlineStr">
        <is>
          <t>Middle East &amp; North Africa</t>
        </is>
      </c>
      <c r="D2521" s="7" t="inlineStr">
        <is>
          <t>Low income</t>
        </is>
      </c>
      <c r="E2521" s="7" t="b">
        <v>0</v>
      </c>
      <c r="F2521" s="7" t="inlineStr">
        <is>
          <t>em_oil_mt</t>
        </is>
      </c>
      <c r="G2521" s="7" t="n">
        <v>7.238</v>
      </c>
      <c r="H2521" s="7" t="n">
        <v>2024</v>
      </c>
      <c r="I2521" s="7" t="inlineStr">
        <is>
          <t>release_generation_yearly_global.csv (Ember)</t>
        </is>
      </c>
    </row>
    <row r="2522">
      <c r="A2522" s="7" t="inlineStr">
        <is>
          <t>SYR</t>
        </is>
      </c>
      <c r="B2522" s="7" t="inlineStr">
        <is>
          <t>Syrian Arab Republic</t>
        </is>
      </c>
      <c r="C2522" s="7" t="inlineStr">
        <is>
          <t>Middle East &amp; North Africa</t>
        </is>
      </c>
      <c r="D2522" s="7" t="inlineStr">
        <is>
          <t>Low income</t>
        </is>
      </c>
      <c r="E2522" s="7" t="b">
        <v>0</v>
      </c>
      <c r="F2522" s="7" t="inlineStr">
        <is>
          <t>fuel_exports_pct_merch</t>
        </is>
      </c>
      <c r="G2522" s="7" t="n">
        <v>49.886</v>
      </c>
      <c r="H2522" s="7" t="inlineStr">
        <is>
          <t>2010</t>
        </is>
      </c>
      <c r="I2522" s="7" t="inlineStr">
        <is>
          <t>API_TX_VAL_FUEL_ZS_UN_DS2_en_csv_v2_33055.zip</t>
        </is>
      </c>
    </row>
    <row r="2523">
      <c r="A2523" s="7" t="inlineStr">
        <is>
          <t>SYR</t>
        </is>
      </c>
      <c r="B2523" s="7" t="inlineStr">
        <is>
          <t>Syrian Arab Republic</t>
        </is>
      </c>
      <c r="C2523" s="7" t="inlineStr">
        <is>
          <t>Middle East &amp; North Africa</t>
        </is>
      </c>
      <c r="D2523" s="7" t="inlineStr">
        <is>
          <t>Low income</t>
        </is>
      </c>
      <c r="E2523" s="7" t="b">
        <v>0</v>
      </c>
      <c r="F2523" s="7" t="inlineStr">
        <is>
          <t>gen_coal_twh</t>
        </is>
      </c>
      <c r="G2523" s="7" t="n">
        <v>0</v>
      </c>
      <c r="H2523" s="7" t="n">
        <v>2024</v>
      </c>
      <c r="I2523" s="7" t="inlineStr">
        <is>
          <t>release_generation_yearly_global.csv (Ember)</t>
        </is>
      </c>
    </row>
    <row r="2524">
      <c r="A2524" s="7" t="inlineStr">
        <is>
          <t>SYR</t>
        </is>
      </c>
      <c r="B2524" s="7" t="inlineStr">
        <is>
          <t>Syrian Arab Republic</t>
        </is>
      </c>
      <c r="C2524" s="7" t="inlineStr">
        <is>
          <t>Middle East &amp; North Africa</t>
        </is>
      </c>
      <c r="D2524" s="7" t="inlineStr">
        <is>
          <t>Low income</t>
        </is>
      </c>
      <c r="E2524" s="7" t="b">
        <v>0</v>
      </c>
      <c r="F2524" s="7" t="inlineStr">
        <is>
          <t>gen_gas_twh</t>
        </is>
      </c>
      <c r="G2524" s="7" t="n">
        <v>13</v>
      </c>
      <c r="H2524" s="7" t="n">
        <v>2024</v>
      </c>
      <c r="I2524" s="7" t="inlineStr">
        <is>
          <t>release_generation_yearly_global.csv (Ember)</t>
        </is>
      </c>
    </row>
    <row r="2525">
      <c r="A2525" s="7" t="inlineStr">
        <is>
          <t>SYR</t>
        </is>
      </c>
      <c r="B2525" s="7" t="inlineStr">
        <is>
          <t>Syrian Arab Republic</t>
        </is>
      </c>
      <c r="C2525" s="7" t="inlineStr">
        <is>
          <t>Middle East &amp; North Africa</t>
        </is>
      </c>
      <c r="D2525" s="7" t="inlineStr">
        <is>
          <t>Low income</t>
        </is>
      </c>
      <c r="E2525" s="7" t="b">
        <v>0</v>
      </c>
      <c r="F2525" s="7" t="inlineStr">
        <is>
          <t>gen_oil_twh</t>
        </is>
      </c>
      <c r="G2525" s="7" t="n">
        <v>11</v>
      </c>
      <c r="H2525" s="7" t="n">
        <v>2024</v>
      </c>
      <c r="I2525" s="7" t="inlineStr">
        <is>
          <t>release_generation_yearly_global.csv (Ember)</t>
        </is>
      </c>
    </row>
    <row r="2526">
      <c r="A2526" s="7" t="inlineStr">
        <is>
          <t>SYR</t>
        </is>
      </c>
      <c r="B2526" s="7" t="inlineStr">
        <is>
          <t>Syrian Arab Republic</t>
        </is>
      </c>
      <c r="C2526" s="7" t="inlineStr">
        <is>
          <t>Middle East &amp; North Africa</t>
        </is>
      </c>
      <c r="D2526" s="7" t="inlineStr">
        <is>
          <t>Low income</t>
        </is>
      </c>
      <c r="E2526" s="7" t="b">
        <v>0</v>
      </c>
      <c r="F2526" s="7" t="inlineStr">
        <is>
          <t>gen_total_twh</t>
        </is>
      </c>
      <c r="G2526" s="7" t="n">
        <v>24.88</v>
      </c>
      <c r="H2526" s="7" t="n">
        <v>2024</v>
      </c>
      <c r="I2526" s="7" t="inlineStr">
        <is>
          <t>release_generation_yearly_global.csv (Ember)</t>
        </is>
      </c>
    </row>
    <row r="2527">
      <c r="A2527" s="7" t="inlineStr">
        <is>
          <t>SYR</t>
        </is>
      </c>
      <c r="B2527" s="7" t="inlineStr">
        <is>
          <t>Syrian Arab Republic</t>
        </is>
      </c>
      <c r="C2527" s="7" t="inlineStr">
        <is>
          <t>Middle East &amp; North Africa</t>
        </is>
      </c>
      <c r="D2527" s="7" t="inlineStr">
        <is>
          <t>Low income</t>
        </is>
      </c>
      <c r="E2527" s="7" t="b">
        <v>0</v>
      </c>
      <c r="F2527" s="7" t="inlineStr">
        <is>
          <t>power_market_structure</t>
        </is>
      </c>
      <c r="G2527" s="7" t="n">
        <v>2</v>
      </c>
      <c r="H2527" s="7" t="inlineStr">
        <is>
          <t>2013</t>
        </is>
      </c>
      <c r="I2527" s="7" t="inlineStr">
        <is>
          <t>dataverse_files.zip</t>
        </is>
      </c>
    </row>
    <row r="2528">
      <c r="A2528" s="7" t="inlineStr">
        <is>
          <t>SYR</t>
        </is>
      </c>
      <c r="B2528" s="7" t="inlineStr">
        <is>
          <t>Syrian Arab Republic</t>
        </is>
      </c>
      <c r="C2528" s="7" t="inlineStr">
        <is>
          <t>Middle East &amp; North Africa</t>
        </is>
      </c>
      <c r="D2528" s="7" t="inlineStr">
        <is>
          <t>Low income</t>
        </is>
      </c>
      <c r="E2528" s="7" t="b">
        <v>0</v>
      </c>
      <c r="F2528" s="7" t="inlineStr">
        <is>
          <t>price_coal_power_usd_gj</t>
        </is>
      </c>
      <c r="G2528" s="7" t="n">
        <v>5.575</v>
      </c>
      <c r="H2528" s="7" t="inlineStr">
        <is>
          <t>2024</t>
        </is>
      </c>
      <c r="I2528" s="7" t="inlineStr">
        <is>
          <t>imffossilfuelsubsidiesdata.xlsb</t>
        </is>
      </c>
    </row>
    <row r="2529">
      <c r="A2529" s="7" t="inlineStr">
        <is>
          <t>SYR</t>
        </is>
      </c>
      <c r="B2529" s="7" t="inlineStr">
        <is>
          <t>Syrian Arab Republic</t>
        </is>
      </c>
      <c r="C2529" s="7" t="inlineStr">
        <is>
          <t>Middle East &amp; North Africa</t>
        </is>
      </c>
      <c r="D2529" s="7" t="inlineStr">
        <is>
          <t>Low income</t>
        </is>
      </c>
      <c r="E2529" s="7" t="b">
        <v>0</v>
      </c>
      <c r="F2529" s="7" t="inlineStr">
        <is>
          <t>price_electricity_residential_usd_kwh</t>
        </is>
      </c>
      <c r="G2529" s="7" t="n">
        <v>0.017</v>
      </c>
      <c r="H2529" s="7" t="inlineStr">
        <is>
          <t>2024</t>
        </is>
      </c>
      <c r="I2529" s="7" t="inlineStr">
        <is>
          <t>imffossilfuelsubsidiesdata.xlsb</t>
        </is>
      </c>
    </row>
    <row r="2530">
      <c r="A2530" s="7" t="inlineStr">
        <is>
          <t>SYR</t>
        </is>
      </c>
      <c r="B2530" s="7" t="inlineStr">
        <is>
          <t>Syrian Arab Republic</t>
        </is>
      </c>
      <c r="C2530" s="7" t="inlineStr">
        <is>
          <t>Middle East &amp; North Africa</t>
        </is>
      </c>
      <c r="D2530" s="7" t="inlineStr">
        <is>
          <t>Low income</t>
        </is>
      </c>
      <c r="E2530" s="7" t="b">
        <v>0</v>
      </c>
      <c r="F2530" s="7" t="inlineStr">
        <is>
          <t>price_gas_industry_usd_gj</t>
        </is>
      </c>
      <c r="G2530" s="7" t="n">
        <v>6.853</v>
      </c>
      <c r="H2530" s="7" t="inlineStr">
        <is>
          <t>2024</t>
        </is>
      </c>
      <c r="I2530" s="7" t="inlineStr">
        <is>
          <t>imffossilfuelsubsidiesdata.xlsb</t>
        </is>
      </c>
    </row>
    <row r="2531">
      <c r="A2531" s="7" t="inlineStr">
        <is>
          <t>SYR</t>
        </is>
      </c>
      <c r="B2531" s="7" t="inlineStr">
        <is>
          <t>Syrian Arab Republic</t>
        </is>
      </c>
      <c r="C2531" s="7" t="inlineStr">
        <is>
          <t>Middle East &amp; North Africa</t>
        </is>
      </c>
      <c r="D2531" s="7" t="inlineStr">
        <is>
          <t>Low income</t>
        </is>
      </c>
      <c r="E2531" s="7" t="b">
        <v>0</v>
      </c>
      <c r="F2531" s="7" t="inlineStr">
        <is>
          <t>price_gas_power_usd_gj</t>
        </is>
      </c>
      <c r="G2531" s="7" t="n">
        <v>6.191</v>
      </c>
      <c r="H2531" s="7" t="inlineStr">
        <is>
          <t>2024</t>
        </is>
      </c>
      <c r="I2531" s="7" t="inlineStr">
        <is>
          <t>imffossilfuelsubsidiesdata.xlsb</t>
        </is>
      </c>
    </row>
    <row r="2532">
      <c r="A2532" s="7" t="inlineStr">
        <is>
          <t>TCA</t>
        </is>
      </c>
      <c r="B2532" s="7" t="inlineStr">
        <is>
          <t>Turks and Caicos Islands</t>
        </is>
      </c>
      <c r="C2532" s="7" t="inlineStr">
        <is>
          <t>Latin America &amp; Caribbean</t>
        </is>
      </c>
      <c r="D2532" s="7" t="inlineStr">
        <is>
          <t>High income</t>
        </is>
      </c>
      <c r="E2532" s="7" t="b">
        <v>0</v>
      </c>
      <c r="F2532" s="7" t="inlineStr">
        <is>
          <t>coal_rents_pct_gdp</t>
        </is>
      </c>
      <c r="G2532" s="7" t="n">
        <v>0</v>
      </c>
      <c r="H2532" s="7" t="inlineStr">
        <is>
          <t>2021</t>
        </is>
      </c>
      <c r="I2532" s="7" t="inlineStr">
        <is>
          <t>API_NY_GDP_COAL_RT_ZS_DS2_en_csv_v2_35370.zip</t>
        </is>
      </c>
    </row>
    <row r="2533">
      <c r="A2533" s="7" t="inlineStr">
        <is>
          <t>TCA</t>
        </is>
      </c>
      <c r="B2533" s="7" t="inlineStr">
        <is>
          <t>Turks and Caicos Islands</t>
        </is>
      </c>
      <c r="C2533" s="7" t="inlineStr">
        <is>
          <t>Latin America &amp; Caribbean</t>
        </is>
      </c>
      <c r="D2533" s="7" t="inlineStr">
        <is>
          <t>High income</t>
        </is>
      </c>
      <c r="E2533" s="7" t="b">
        <v>0</v>
      </c>
      <c r="F2533" s="7" t="inlineStr">
        <is>
          <t>em_coal_mt</t>
        </is>
      </c>
      <c r="G2533" s="7" t="n">
        <v>0</v>
      </c>
      <c r="H2533" s="7" t="n">
        <v>2024</v>
      </c>
      <c r="I2533" s="7" t="inlineStr">
        <is>
          <t>release_generation_yearly_global.csv (Ember)</t>
        </is>
      </c>
    </row>
    <row r="2534">
      <c r="A2534" s="7" t="inlineStr">
        <is>
          <t>TCA</t>
        </is>
      </c>
      <c r="B2534" s="7" t="inlineStr">
        <is>
          <t>Turks and Caicos Islands</t>
        </is>
      </c>
      <c r="C2534" s="7" t="inlineStr">
        <is>
          <t>Latin America &amp; Caribbean</t>
        </is>
      </c>
      <c r="D2534" s="7" t="inlineStr">
        <is>
          <t>High income</t>
        </is>
      </c>
      <c r="E2534" s="7" t="b">
        <v>0</v>
      </c>
      <c r="F2534" s="7" t="inlineStr">
        <is>
          <t>em_gas_mt</t>
        </is>
      </c>
      <c r="G2534" s="7" t="n">
        <v>0</v>
      </c>
      <c r="H2534" s="7" t="n">
        <v>2024</v>
      </c>
      <c r="I2534" s="7" t="inlineStr">
        <is>
          <t>release_generation_yearly_global.csv (Ember)</t>
        </is>
      </c>
    </row>
    <row r="2535">
      <c r="A2535" s="7" t="inlineStr">
        <is>
          <t>TCA</t>
        </is>
      </c>
      <c r="B2535" s="7" t="inlineStr">
        <is>
          <t>Turks and Caicos Islands</t>
        </is>
      </c>
      <c r="C2535" s="7" t="inlineStr">
        <is>
          <t>Latin America &amp; Caribbean</t>
        </is>
      </c>
      <c r="D2535" s="7" t="inlineStr">
        <is>
          <t>High income</t>
        </is>
      </c>
      <c r="E2535" s="7" t="b">
        <v>0</v>
      </c>
      <c r="F2535" s="7" t="inlineStr">
        <is>
          <t>em_oil_mt</t>
        </is>
      </c>
      <c r="G2535" s="7" t="n">
        <v>0.171</v>
      </c>
      <c r="H2535" s="7" t="n">
        <v>2024</v>
      </c>
      <c r="I2535" s="7" t="inlineStr">
        <is>
          <t>release_generation_yearly_global.csv (Ember)</t>
        </is>
      </c>
    </row>
    <row r="2536">
      <c r="A2536" s="7" t="inlineStr">
        <is>
          <t>TCA</t>
        </is>
      </c>
      <c r="B2536" s="7" t="inlineStr">
        <is>
          <t>Turks and Caicos Islands</t>
        </is>
      </c>
      <c r="C2536" s="7" t="inlineStr">
        <is>
          <t>Latin America &amp; Caribbean</t>
        </is>
      </c>
      <c r="D2536" s="7" t="inlineStr">
        <is>
          <t>High income</t>
        </is>
      </c>
      <c r="E2536" s="7" t="b">
        <v>0</v>
      </c>
      <c r="F2536" s="7" t="inlineStr">
        <is>
          <t>fuel_exports_pct_merch</t>
        </is>
      </c>
      <c r="G2536" s="7" t="n">
        <v>0.01</v>
      </c>
      <c r="H2536" s="7" t="inlineStr">
        <is>
          <t>2012</t>
        </is>
      </c>
      <c r="I2536" s="7" t="inlineStr">
        <is>
          <t>API_TX_VAL_FUEL_ZS_UN_DS2_en_csv_v2_33055.zip</t>
        </is>
      </c>
    </row>
    <row r="2537">
      <c r="A2537" s="7" t="inlineStr">
        <is>
          <t>TCA</t>
        </is>
      </c>
      <c r="B2537" s="7" t="inlineStr">
        <is>
          <t>Turks and Caicos Islands</t>
        </is>
      </c>
      <c r="C2537" s="7" t="inlineStr">
        <is>
          <t>Latin America &amp; Caribbean</t>
        </is>
      </c>
      <c r="D2537" s="7" t="inlineStr">
        <is>
          <t>High income</t>
        </is>
      </c>
      <c r="E2537" s="7" t="b">
        <v>0</v>
      </c>
      <c r="F2537" s="7" t="inlineStr">
        <is>
          <t>gen_coal_twh</t>
        </is>
      </c>
      <c r="G2537" s="7" t="n">
        <v>0</v>
      </c>
      <c r="H2537" s="7" t="n">
        <v>2024</v>
      </c>
      <c r="I2537" s="7" t="inlineStr">
        <is>
          <t>release_generation_yearly_global.csv (Ember)</t>
        </is>
      </c>
    </row>
    <row r="2538">
      <c r="A2538" s="7" t="inlineStr">
        <is>
          <t>TCA</t>
        </is>
      </c>
      <c r="B2538" s="7" t="inlineStr">
        <is>
          <t>Turks and Caicos Islands</t>
        </is>
      </c>
      <c r="C2538" s="7" t="inlineStr">
        <is>
          <t>Latin America &amp; Caribbean</t>
        </is>
      </c>
      <c r="D2538" s="7" t="inlineStr">
        <is>
          <t>High income</t>
        </is>
      </c>
      <c r="E2538" s="7" t="b">
        <v>0</v>
      </c>
      <c r="F2538" s="7" t="inlineStr">
        <is>
          <t>gen_gas_twh</t>
        </is>
      </c>
      <c r="G2538" s="7" t="n">
        <v>0</v>
      </c>
      <c r="H2538" s="7" t="n">
        <v>2024</v>
      </c>
      <c r="I2538" s="7" t="inlineStr">
        <is>
          <t>release_generation_yearly_global.csv (Ember)</t>
        </is>
      </c>
    </row>
    <row r="2539">
      <c r="A2539" s="7" t="inlineStr">
        <is>
          <t>TCA</t>
        </is>
      </c>
      <c r="B2539" s="7" t="inlineStr">
        <is>
          <t>Turks and Caicos Islands</t>
        </is>
      </c>
      <c r="C2539" s="7" t="inlineStr">
        <is>
          <t>Latin America &amp; Caribbean</t>
        </is>
      </c>
      <c r="D2539" s="7" t="inlineStr">
        <is>
          <t>High income</t>
        </is>
      </c>
      <c r="E2539" s="7" t="b">
        <v>0</v>
      </c>
      <c r="F2539" s="7" t="inlineStr">
        <is>
          <t>gen_oil_twh</t>
        </is>
      </c>
      <c r="G2539" s="7" t="n">
        <v>0.26</v>
      </c>
      <c r="H2539" s="7" t="n">
        <v>2024</v>
      </c>
      <c r="I2539" s="7" t="inlineStr">
        <is>
          <t>release_generation_yearly_global.csv (Ember)</t>
        </is>
      </c>
    </row>
    <row r="2540">
      <c r="A2540" s="7" t="inlineStr">
        <is>
          <t>TCA</t>
        </is>
      </c>
      <c r="B2540" s="7" t="inlineStr">
        <is>
          <t>Turks and Caicos Islands</t>
        </is>
      </c>
      <c r="C2540" s="7" t="inlineStr">
        <is>
          <t>Latin America &amp; Caribbean</t>
        </is>
      </c>
      <c r="D2540" s="7" t="inlineStr">
        <is>
          <t>High income</t>
        </is>
      </c>
      <c r="E2540" s="7" t="b">
        <v>0</v>
      </c>
      <c r="F2540" s="7" t="inlineStr">
        <is>
          <t>gen_total_twh</t>
        </is>
      </c>
      <c r="G2540" s="7" t="n">
        <v>0.27</v>
      </c>
      <c r="H2540" s="7" t="n">
        <v>2024</v>
      </c>
      <c r="I2540" s="7" t="inlineStr">
        <is>
          <t>release_generation_yearly_global.csv (Ember)</t>
        </is>
      </c>
    </row>
    <row r="2541">
      <c r="A2541" s="7" t="inlineStr">
        <is>
          <t>TCD</t>
        </is>
      </c>
      <c r="B2541" s="7" t="inlineStr">
        <is>
          <t>Chad</t>
        </is>
      </c>
      <c r="C2541" s="7" t="inlineStr">
        <is>
          <t>Sub-Saharan Africa</t>
        </is>
      </c>
      <c r="D2541" s="7" t="inlineStr">
        <is>
          <t>Low income</t>
        </is>
      </c>
      <c r="E2541" s="7" t="b">
        <v>1</v>
      </c>
      <c r="F2541" s="7" t="inlineStr">
        <is>
          <t>coal_rents_pct_gdp</t>
        </is>
      </c>
      <c r="G2541" s="7" t="n">
        <v>0</v>
      </c>
      <c r="H2541" s="7" t="inlineStr">
        <is>
          <t>2021</t>
        </is>
      </c>
      <c r="I2541" s="7" t="inlineStr">
        <is>
          <t>API_NY_GDP_COAL_RT_ZS_DS2_en_csv_v2_35370.zip</t>
        </is>
      </c>
    </row>
    <row r="2542">
      <c r="A2542" s="7" t="inlineStr">
        <is>
          <t>TCD</t>
        </is>
      </c>
      <c r="B2542" s="7" t="inlineStr">
        <is>
          <t>Chad</t>
        </is>
      </c>
      <c r="C2542" s="7" t="inlineStr">
        <is>
          <t>Sub-Saharan Africa</t>
        </is>
      </c>
      <c r="D2542" s="7" t="inlineStr">
        <is>
          <t>Low income</t>
        </is>
      </c>
      <c r="E2542" s="7" t="b">
        <v>1</v>
      </c>
      <c r="F2542" s="7" t="inlineStr">
        <is>
          <t>em_coal_mt</t>
        </is>
      </c>
      <c r="G2542" s="7" t="n">
        <v>0</v>
      </c>
      <c r="H2542" s="7" t="n">
        <v>2024</v>
      </c>
      <c r="I2542" s="7" t="inlineStr">
        <is>
          <t>release_generation_yearly_global.csv (Ember)</t>
        </is>
      </c>
    </row>
    <row r="2543">
      <c r="A2543" s="7" t="inlineStr">
        <is>
          <t>TCD</t>
        </is>
      </c>
      <c r="B2543" s="7" t="inlineStr">
        <is>
          <t>Chad</t>
        </is>
      </c>
      <c r="C2543" s="7" t="inlineStr">
        <is>
          <t>Sub-Saharan Africa</t>
        </is>
      </c>
      <c r="D2543" s="7" t="inlineStr">
        <is>
          <t>Low income</t>
        </is>
      </c>
      <c r="E2543" s="7" t="b">
        <v>1</v>
      </c>
      <c r="F2543" s="7" t="inlineStr">
        <is>
          <t>em_gas_mt</t>
        </is>
      </c>
      <c r="G2543" s="7" t="n">
        <v>0</v>
      </c>
      <c r="H2543" s="7" t="n">
        <v>2024</v>
      </c>
      <c r="I2543" s="7" t="inlineStr">
        <is>
          <t>release_generation_yearly_global.csv (Ember)</t>
        </is>
      </c>
    </row>
    <row r="2544">
      <c r="A2544" s="7" t="inlineStr">
        <is>
          <t>TCD</t>
        </is>
      </c>
      <c r="B2544" s="7" t="inlineStr">
        <is>
          <t>Chad</t>
        </is>
      </c>
      <c r="C2544" s="7" t="inlineStr">
        <is>
          <t>Sub-Saharan Africa</t>
        </is>
      </c>
      <c r="D2544" s="7" t="inlineStr">
        <is>
          <t>Low income</t>
        </is>
      </c>
      <c r="E2544" s="7" t="b">
        <v>1</v>
      </c>
      <c r="F2544" s="7" t="inlineStr">
        <is>
          <t>em_oil_mt</t>
        </is>
      </c>
      <c r="G2544" s="7" t="n">
        <v>0.23</v>
      </c>
      <c r="H2544" s="7" t="n">
        <v>2024</v>
      </c>
      <c r="I2544" s="7" t="inlineStr">
        <is>
          <t>release_generation_yearly_global.csv (Ember)</t>
        </is>
      </c>
    </row>
    <row r="2545">
      <c r="A2545" s="7" t="inlineStr">
        <is>
          <t>TCD</t>
        </is>
      </c>
      <c r="B2545" s="7" t="inlineStr">
        <is>
          <t>Chad</t>
        </is>
      </c>
      <c r="C2545" s="7" t="inlineStr">
        <is>
          <t>Sub-Saharan Africa</t>
        </is>
      </c>
      <c r="D2545" s="7" t="inlineStr">
        <is>
          <t>Low income</t>
        </is>
      </c>
      <c r="E2545" s="7" t="b">
        <v>1</v>
      </c>
      <c r="F2545" s="7" t="inlineStr">
        <is>
          <t>ff_subsidy_explicit_pct_gdp</t>
        </is>
      </c>
      <c r="G2545" s="7" t="n">
        <v>0.477</v>
      </c>
      <c r="H2545" s="7" t="inlineStr">
        <is>
          <t>2024</t>
        </is>
      </c>
      <c r="I2545" s="7" t="inlineStr">
        <is>
          <t>imffossilfuelsubsidiesdata.xlsb</t>
        </is>
      </c>
    </row>
    <row r="2546">
      <c r="A2546" s="7" t="inlineStr">
        <is>
          <t>TCD</t>
        </is>
      </c>
      <c r="B2546" s="7" t="inlineStr">
        <is>
          <t>Chad</t>
        </is>
      </c>
      <c r="C2546" s="7" t="inlineStr">
        <is>
          <t>Sub-Saharan Africa</t>
        </is>
      </c>
      <c r="D2546" s="7" t="inlineStr">
        <is>
          <t>Low income</t>
        </is>
      </c>
      <c r="E2546" s="7" t="b">
        <v>1</v>
      </c>
      <c r="F2546" s="7" t="inlineStr">
        <is>
          <t>fuel_exports_pct_merch</t>
        </is>
      </c>
      <c r="G2546" s="7" t="n">
        <v>7.943</v>
      </c>
      <c r="H2546" s="7" t="inlineStr">
        <is>
          <t>1975</t>
        </is>
      </c>
      <c r="I2546" s="7" t="inlineStr">
        <is>
          <t>API_TX_VAL_FUEL_ZS_UN_DS2_en_csv_v2_33055.zip</t>
        </is>
      </c>
    </row>
    <row r="2547">
      <c r="A2547" s="7" t="inlineStr">
        <is>
          <t>TCD</t>
        </is>
      </c>
      <c r="B2547" s="7" t="inlineStr">
        <is>
          <t>Chad</t>
        </is>
      </c>
      <c r="C2547" s="7" t="inlineStr">
        <is>
          <t>Sub-Saharan Africa</t>
        </is>
      </c>
      <c r="D2547" s="7" t="inlineStr">
        <is>
          <t>Low income</t>
        </is>
      </c>
      <c r="E2547" s="7" t="b">
        <v>1</v>
      </c>
      <c r="F2547" s="7" t="inlineStr">
        <is>
          <t>gen_coal_twh</t>
        </is>
      </c>
      <c r="G2547" s="7" t="n">
        <v>0</v>
      </c>
      <c r="H2547" s="7" t="n">
        <v>2024</v>
      </c>
      <c r="I2547" s="7" t="inlineStr">
        <is>
          <t>release_generation_yearly_global.csv (Ember)</t>
        </is>
      </c>
    </row>
    <row r="2548">
      <c r="A2548" s="7" t="inlineStr">
        <is>
          <t>TCD</t>
        </is>
      </c>
      <c r="B2548" s="7" t="inlineStr">
        <is>
          <t>Chad</t>
        </is>
      </c>
      <c r="C2548" s="7" t="inlineStr">
        <is>
          <t>Sub-Saharan Africa</t>
        </is>
      </c>
      <c r="D2548" s="7" t="inlineStr">
        <is>
          <t>Low income</t>
        </is>
      </c>
      <c r="E2548" s="7" t="b">
        <v>1</v>
      </c>
      <c r="F2548" s="7" t="inlineStr">
        <is>
          <t>gen_gas_twh</t>
        </is>
      </c>
      <c r="G2548" s="7" t="n">
        <v>0</v>
      </c>
      <c r="H2548" s="7" t="n">
        <v>2024</v>
      </c>
      <c r="I2548" s="7" t="inlineStr">
        <is>
          <t>release_generation_yearly_global.csv (Ember)</t>
        </is>
      </c>
    </row>
    <row r="2549">
      <c r="A2549" s="7" t="inlineStr">
        <is>
          <t>TCD</t>
        </is>
      </c>
      <c r="B2549" s="7" t="inlineStr">
        <is>
          <t>Chad</t>
        </is>
      </c>
      <c r="C2549" s="7" t="inlineStr">
        <is>
          <t>Sub-Saharan Africa</t>
        </is>
      </c>
      <c r="D2549" s="7" t="inlineStr">
        <is>
          <t>Low income</t>
        </is>
      </c>
      <c r="E2549" s="7" t="b">
        <v>1</v>
      </c>
      <c r="F2549" s="7" t="inlineStr">
        <is>
          <t>gen_oil_twh</t>
        </is>
      </c>
      <c r="G2549" s="7" t="n">
        <v>0.35</v>
      </c>
      <c r="H2549" s="7" t="n">
        <v>2024</v>
      </c>
      <c r="I2549" s="7" t="inlineStr">
        <is>
          <t>release_generation_yearly_global.csv (Ember)</t>
        </is>
      </c>
    </row>
    <row r="2550">
      <c r="A2550" s="7" t="inlineStr">
        <is>
          <t>TCD</t>
        </is>
      </c>
      <c r="B2550" s="7" t="inlineStr">
        <is>
          <t>Chad</t>
        </is>
      </c>
      <c r="C2550" s="7" t="inlineStr">
        <is>
          <t>Sub-Saharan Africa</t>
        </is>
      </c>
      <c r="D2550" s="7" t="inlineStr">
        <is>
          <t>Low income</t>
        </is>
      </c>
      <c r="E2550" s="7" t="b">
        <v>1</v>
      </c>
      <c r="F2550" s="7" t="inlineStr">
        <is>
          <t>gen_total_twh</t>
        </is>
      </c>
      <c r="G2550" s="7" t="n">
        <v>0.37</v>
      </c>
      <c r="H2550" s="7" t="n">
        <v>2024</v>
      </c>
      <c r="I2550" s="7" t="inlineStr">
        <is>
          <t>release_generation_yearly_global.csv (Ember)</t>
        </is>
      </c>
    </row>
    <row r="2551">
      <c r="A2551" s="7" t="inlineStr">
        <is>
          <t>TCD</t>
        </is>
      </c>
      <c r="B2551" s="7" t="inlineStr">
        <is>
          <t>Chad</t>
        </is>
      </c>
      <c r="C2551" s="7" t="inlineStr">
        <is>
          <t>Sub-Saharan Africa</t>
        </is>
      </c>
      <c r="D2551" s="7" t="inlineStr">
        <is>
          <t>Low income</t>
        </is>
      </c>
      <c r="E2551" s="7" t="b">
        <v>1</v>
      </c>
      <c r="F2551" s="7" t="inlineStr">
        <is>
          <t>power_market_structure</t>
        </is>
      </c>
      <c r="G2551" s="7" t="n">
        <v>1</v>
      </c>
      <c r="H2551" s="7" t="inlineStr">
        <is>
          <t>2013</t>
        </is>
      </c>
      <c r="I2551" s="7" t="inlineStr">
        <is>
          <t>dataverse_files.zip</t>
        </is>
      </c>
    </row>
    <row r="2552">
      <c r="A2552" s="7" t="inlineStr">
        <is>
          <t>TCD</t>
        </is>
      </c>
      <c r="B2552" s="7" t="inlineStr">
        <is>
          <t>Chad</t>
        </is>
      </c>
      <c r="C2552" s="7" t="inlineStr">
        <is>
          <t>Sub-Saharan Africa</t>
        </is>
      </c>
      <c r="D2552" s="7" t="inlineStr">
        <is>
          <t>Low income</t>
        </is>
      </c>
      <c r="E2552" s="7" t="b">
        <v>1</v>
      </c>
      <c r="F2552" s="7" t="inlineStr">
        <is>
          <t>price_coal_power_usd_gj</t>
        </is>
      </c>
      <c r="G2552" s="7" t="n">
        <v>5.575</v>
      </c>
      <c r="H2552" s="7" t="inlineStr">
        <is>
          <t>2024</t>
        </is>
      </c>
      <c r="I2552" s="7" t="inlineStr">
        <is>
          <t>imffossilfuelsubsidiesdata.xlsb</t>
        </is>
      </c>
    </row>
    <row r="2553">
      <c r="A2553" s="7" t="inlineStr">
        <is>
          <t>TCD</t>
        </is>
      </c>
      <c r="B2553" s="7" t="inlineStr">
        <is>
          <t>Chad</t>
        </is>
      </c>
      <c r="C2553" s="7" t="inlineStr">
        <is>
          <t>Sub-Saharan Africa</t>
        </is>
      </c>
      <c r="D2553" s="7" t="inlineStr">
        <is>
          <t>Low income</t>
        </is>
      </c>
      <c r="E2553" s="7" t="b">
        <v>1</v>
      </c>
      <c r="F2553" s="7" t="inlineStr">
        <is>
          <t>price_electricity_residential_usd_kwh</t>
        </is>
      </c>
      <c r="G2553" s="7" t="n">
        <v>0.14</v>
      </c>
      <c r="H2553" s="7" t="inlineStr">
        <is>
          <t>2024</t>
        </is>
      </c>
      <c r="I2553" s="7" t="inlineStr">
        <is>
          <t>imffossilfuelsubsidiesdata.xlsb</t>
        </is>
      </c>
    </row>
    <row r="2554">
      <c r="A2554" s="7" t="inlineStr">
        <is>
          <t>TCD</t>
        </is>
      </c>
      <c r="B2554" s="7" t="inlineStr">
        <is>
          <t>Chad</t>
        </is>
      </c>
      <c r="C2554" s="7" t="inlineStr">
        <is>
          <t>Sub-Saharan Africa</t>
        </is>
      </c>
      <c r="D2554" s="7" t="inlineStr">
        <is>
          <t>Low income</t>
        </is>
      </c>
      <c r="E2554" s="7" t="b">
        <v>1</v>
      </c>
      <c r="F2554" s="7" t="inlineStr">
        <is>
          <t>price_gas_industry_usd_gj</t>
        </is>
      </c>
      <c r="G2554" s="7" t="n">
        <v>12.815</v>
      </c>
      <c r="H2554" s="7" t="inlineStr">
        <is>
          <t>2024</t>
        </is>
      </c>
      <c r="I2554" s="7" t="inlineStr">
        <is>
          <t>imffossilfuelsubsidiesdata.xlsb</t>
        </is>
      </c>
    </row>
    <row r="2555">
      <c r="A2555" s="7" t="inlineStr">
        <is>
          <t>TCD</t>
        </is>
      </c>
      <c r="B2555" s="7" t="inlineStr">
        <is>
          <t>Chad</t>
        </is>
      </c>
      <c r="C2555" s="7" t="inlineStr">
        <is>
          <t>Sub-Saharan Africa</t>
        </is>
      </c>
      <c r="D2555" s="7" t="inlineStr">
        <is>
          <t>Low income</t>
        </is>
      </c>
      <c r="E2555" s="7" t="b">
        <v>1</v>
      </c>
      <c r="F2555" s="7" t="inlineStr">
        <is>
          <t>price_gas_power_usd_gj</t>
        </is>
      </c>
      <c r="G2555" s="7" t="n">
        <v>11.492</v>
      </c>
      <c r="H2555" s="7" t="inlineStr">
        <is>
          <t>2024</t>
        </is>
      </c>
      <c r="I2555" s="7" t="inlineStr">
        <is>
          <t>imffossilfuelsubsidiesdata.xlsb</t>
        </is>
      </c>
    </row>
    <row r="2556">
      <c r="A2556" s="7" t="inlineStr">
        <is>
          <t>TCD</t>
        </is>
      </c>
      <c r="B2556" s="7" t="inlineStr">
        <is>
          <t>Chad</t>
        </is>
      </c>
      <c r="C2556" s="7" t="inlineStr">
        <is>
          <t>Sub-Saharan Africa</t>
        </is>
      </c>
      <c r="D2556" s="7" t="inlineStr">
        <is>
          <t>Low income</t>
        </is>
      </c>
      <c r="E2556" s="7" t="b">
        <v>1</v>
      </c>
      <c r="F2556" s="7" t="inlineStr">
        <is>
          <t>rise_renewable_energy_score</t>
        </is>
      </c>
      <c r="G2556" s="7" t="n">
        <v>32.093</v>
      </c>
      <c r="H2556" s="7" t="inlineStr">
        <is>
          <t>2023</t>
        </is>
      </c>
      <c r="I2556" s="7" t="inlineStr">
        <is>
          <t>WB_RISE_WIDEF.csv</t>
        </is>
      </c>
    </row>
    <row r="2557">
      <c r="A2557" s="7" t="inlineStr">
        <is>
          <t>TGO</t>
        </is>
      </c>
      <c r="B2557" s="7" t="inlineStr">
        <is>
          <t>Togo</t>
        </is>
      </c>
      <c r="C2557" s="7" t="inlineStr">
        <is>
          <t>Sub-Saharan Africa</t>
        </is>
      </c>
      <c r="D2557" s="7" t="inlineStr">
        <is>
          <t>Lower middle income</t>
        </is>
      </c>
      <c r="E2557" s="7" t="b">
        <v>1</v>
      </c>
      <c r="F2557" s="7" t="inlineStr">
        <is>
          <t>coal_rents_pct_gdp</t>
        </is>
      </c>
      <c r="G2557" s="7" t="n">
        <v>0</v>
      </c>
      <c r="H2557" s="7" t="inlineStr">
        <is>
          <t>2021</t>
        </is>
      </c>
      <c r="I2557" s="7" t="inlineStr">
        <is>
          <t>API_NY_GDP_COAL_RT_ZS_DS2_en_csv_v2_35370.zip</t>
        </is>
      </c>
    </row>
    <row r="2558">
      <c r="A2558" s="7" t="inlineStr">
        <is>
          <t>TGO</t>
        </is>
      </c>
      <c r="B2558" s="7" t="inlineStr">
        <is>
          <t>Togo</t>
        </is>
      </c>
      <c r="C2558" s="7" t="inlineStr">
        <is>
          <t>Sub-Saharan Africa</t>
        </is>
      </c>
      <c r="D2558" s="7" t="inlineStr">
        <is>
          <t>Lower middle income</t>
        </is>
      </c>
      <c r="E2558" s="7" t="b">
        <v>1</v>
      </c>
      <c r="F2558" s="7" t="inlineStr">
        <is>
          <t>em_coal_mt</t>
        </is>
      </c>
      <c r="G2558" s="7" t="n">
        <v>0</v>
      </c>
      <c r="H2558" s="7" t="n">
        <v>2024</v>
      </c>
      <c r="I2558" s="7" t="inlineStr">
        <is>
          <t>release_generation_yearly_global.csv (Ember)</t>
        </is>
      </c>
    </row>
    <row r="2559">
      <c r="A2559" s="7" t="inlineStr">
        <is>
          <t>TGO</t>
        </is>
      </c>
      <c r="B2559" s="7" t="inlineStr">
        <is>
          <t>Togo</t>
        </is>
      </c>
      <c r="C2559" s="7" t="inlineStr">
        <is>
          <t>Sub-Saharan Africa</t>
        </is>
      </c>
      <c r="D2559" s="7" t="inlineStr">
        <is>
          <t>Lower middle income</t>
        </is>
      </c>
      <c r="E2559" s="7" t="b">
        <v>1</v>
      </c>
      <c r="F2559" s="7" t="inlineStr">
        <is>
          <t>em_gas_mt</t>
        </is>
      </c>
      <c r="G2559" s="7" t="n">
        <v>0.291</v>
      </c>
      <c r="H2559" s="7" t="n">
        <v>2024</v>
      </c>
      <c r="I2559" s="7" t="inlineStr">
        <is>
          <t>release_generation_yearly_global.csv (Ember)</t>
        </is>
      </c>
    </row>
    <row r="2560">
      <c r="A2560" s="7" t="inlineStr">
        <is>
          <t>TGO</t>
        </is>
      </c>
      <c r="B2560" s="7" t="inlineStr">
        <is>
          <t>Togo</t>
        </is>
      </c>
      <c r="C2560" s="7" t="inlineStr">
        <is>
          <t>Sub-Saharan Africa</t>
        </is>
      </c>
      <c r="D2560" s="7" t="inlineStr">
        <is>
          <t>Lower middle income</t>
        </is>
      </c>
      <c r="E2560" s="7" t="b">
        <v>1</v>
      </c>
      <c r="F2560" s="7" t="inlineStr">
        <is>
          <t>em_oil_mt</t>
        </is>
      </c>
      <c r="G2560" s="7" t="n">
        <v>0</v>
      </c>
      <c r="H2560" s="7" t="n">
        <v>2024</v>
      </c>
      <c r="I2560" s="7" t="inlineStr">
        <is>
          <t>release_generation_yearly_global.csv (Ember)</t>
        </is>
      </c>
    </row>
    <row r="2561">
      <c r="A2561" s="7" t="inlineStr">
        <is>
          <t>TGO</t>
        </is>
      </c>
      <c r="B2561" s="7" t="inlineStr">
        <is>
          <t>Togo</t>
        </is>
      </c>
      <c r="C2561" s="7" t="inlineStr">
        <is>
          <t>Sub-Saharan Africa</t>
        </is>
      </c>
      <c r="D2561" s="7" t="inlineStr">
        <is>
          <t>Lower middle income</t>
        </is>
      </c>
      <c r="E2561" s="7" t="b">
        <v>1</v>
      </c>
      <c r="F2561" s="7" t="inlineStr">
        <is>
          <t>ff_subsidy_explicit_pct_gdp</t>
        </is>
      </c>
      <c r="G2561" s="7" t="n">
        <v>0</v>
      </c>
      <c r="H2561" s="7" t="inlineStr">
        <is>
          <t>2024</t>
        </is>
      </c>
      <c r="I2561" s="7" t="inlineStr">
        <is>
          <t>imffossilfuelsubsidiesdata.xlsb</t>
        </is>
      </c>
    </row>
    <row r="2562">
      <c r="A2562" s="7" t="inlineStr">
        <is>
          <t>TGO</t>
        </is>
      </c>
      <c r="B2562" s="7" t="inlineStr">
        <is>
          <t>Togo</t>
        </is>
      </c>
      <c r="C2562" s="7" t="inlineStr">
        <is>
          <t>Sub-Saharan Africa</t>
        </is>
      </c>
      <c r="D2562" s="7" t="inlineStr">
        <is>
          <t>Lower middle income</t>
        </is>
      </c>
      <c r="E2562" s="7" t="b">
        <v>1</v>
      </c>
      <c r="F2562" s="7" t="inlineStr">
        <is>
          <t>fuel_exports_pct_merch</t>
        </is>
      </c>
      <c r="G2562" s="7" t="n">
        <v>1.826</v>
      </c>
      <c r="H2562" s="7" t="inlineStr">
        <is>
          <t>2024</t>
        </is>
      </c>
      <c r="I2562" s="7" t="inlineStr">
        <is>
          <t>API_TX_VAL_FUEL_ZS_UN_DS2_en_csv_v2_33055.zip</t>
        </is>
      </c>
    </row>
    <row r="2563">
      <c r="A2563" s="7" t="inlineStr">
        <is>
          <t>TGO</t>
        </is>
      </c>
      <c r="B2563" s="7" t="inlineStr">
        <is>
          <t>Togo</t>
        </is>
      </c>
      <c r="C2563" s="7" t="inlineStr">
        <is>
          <t>Sub-Saharan Africa</t>
        </is>
      </c>
      <c r="D2563" s="7" t="inlineStr">
        <is>
          <t>Lower middle income</t>
        </is>
      </c>
      <c r="E2563" s="7" t="b">
        <v>1</v>
      </c>
      <c r="F2563" s="7" t="inlineStr">
        <is>
          <t>gen_coal_twh</t>
        </is>
      </c>
      <c r="G2563" s="7" t="n">
        <v>0</v>
      </c>
      <c r="H2563" s="7" t="n">
        <v>2024</v>
      </c>
      <c r="I2563" s="7" t="inlineStr">
        <is>
          <t>release_generation_yearly_global.csv (Ember)</t>
        </is>
      </c>
    </row>
    <row r="2564">
      <c r="A2564" s="7" t="inlineStr">
        <is>
          <t>TGO</t>
        </is>
      </c>
      <c r="B2564" s="7" t="inlineStr">
        <is>
          <t>Togo</t>
        </is>
      </c>
      <c r="C2564" s="7" t="inlineStr">
        <is>
          <t>Sub-Saharan Africa</t>
        </is>
      </c>
      <c r="D2564" s="7" t="inlineStr">
        <is>
          <t>Lower middle income</t>
        </is>
      </c>
      <c r="E2564" s="7" t="b">
        <v>1</v>
      </c>
      <c r="F2564" s="7" t="inlineStr">
        <is>
          <t>gen_gas_twh</t>
        </is>
      </c>
      <c r="G2564" s="7" t="n">
        <v>0.5</v>
      </c>
      <c r="H2564" s="7" t="n">
        <v>2024</v>
      </c>
      <c r="I2564" s="7" t="inlineStr">
        <is>
          <t>release_generation_yearly_global.csv (Ember)</t>
        </is>
      </c>
    </row>
    <row r="2565">
      <c r="A2565" s="7" t="inlineStr">
        <is>
          <t>TGO</t>
        </is>
      </c>
      <c r="B2565" s="7" t="inlineStr">
        <is>
          <t>Togo</t>
        </is>
      </c>
      <c r="C2565" s="7" t="inlineStr">
        <is>
          <t>Sub-Saharan Africa</t>
        </is>
      </c>
      <c r="D2565" s="7" t="inlineStr">
        <is>
          <t>Lower middle income</t>
        </is>
      </c>
      <c r="E2565" s="7" t="b">
        <v>1</v>
      </c>
      <c r="F2565" s="7" t="inlineStr">
        <is>
          <t>gen_oil_twh</t>
        </is>
      </c>
      <c r="G2565" s="7" t="n">
        <v>0</v>
      </c>
      <c r="H2565" s="7" t="n">
        <v>2024</v>
      </c>
      <c r="I2565" s="7" t="inlineStr">
        <is>
          <t>release_generation_yearly_global.csv (Ember)</t>
        </is>
      </c>
    </row>
    <row r="2566">
      <c r="A2566" s="7" t="inlineStr">
        <is>
          <t>TGO</t>
        </is>
      </c>
      <c r="B2566" s="7" t="inlineStr">
        <is>
          <t>Togo</t>
        </is>
      </c>
      <c r="C2566" s="7" t="inlineStr">
        <is>
          <t>Sub-Saharan Africa</t>
        </is>
      </c>
      <c r="D2566" s="7" t="inlineStr">
        <is>
          <t>Lower middle income</t>
        </is>
      </c>
      <c r="E2566" s="7" t="b">
        <v>1</v>
      </c>
      <c r="F2566" s="7" t="inlineStr">
        <is>
          <t>gen_total_twh</t>
        </is>
      </c>
      <c r="G2566" s="7" t="n">
        <v>0.71</v>
      </c>
      <c r="H2566" s="7" t="n">
        <v>2024</v>
      </c>
      <c r="I2566" s="7" t="inlineStr">
        <is>
          <t>release_generation_yearly_global.csv (Ember)</t>
        </is>
      </c>
    </row>
    <row r="2567">
      <c r="A2567" s="7" t="inlineStr">
        <is>
          <t>TGO</t>
        </is>
      </c>
      <c r="B2567" s="7" t="inlineStr">
        <is>
          <t>Togo</t>
        </is>
      </c>
      <c r="C2567" s="7" t="inlineStr">
        <is>
          <t>Sub-Saharan Africa</t>
        </is>
      </c>
      <c r="D2567" s="7" t="inlineStr">
        <is>
          <t>Lower middle income</t>
        </is>
      </c>
      <c r="E2567" s="7" t="b">
        <v>1</v>
      </c>
      <c r="F2567" s="7" t="inlineStr">
        <is>
          <t>power_market_structure</t>
        </is>
      </c>
      <c r="G2567" s="7" t="n">
        <v>2</v>
      </c>
      <c r="H2567" s="7" t="inlineStr">
        <is>
          <t>2013</t>
        </is>
      </c>
      <c r="I2567" s="7" t="inlineStr">
        <is>
          <t>dataverse_files.zip</t>
        </is>
      </c>
    </row>
    <row r="2568">
      <c r="A2568" s="7" t="inlineStr">
        <is>
          <t>TGO</t>
        </is>
      </c>
      <c r="B2568" s="7" t="inlineStr">
        <is>
          <t>Togo</t>
        </is>
      </c>
      <c r="C2568" s="7" t="inlineStr">
        <is>
          <t>Sub-Saharan Africa</t>
        </is>
      </c>
      <c r="D2568" s="7" t="inlineStr">
        <is>
          <t>Lower middle income</t>
        </is>
      </c>
      <c r="E2568" s="7" t="b">
        <v>1</v>
      </c>
      <c r="F2568" s="7" t="inlineStr">
        <is>
          <t>price_coal_power_usd_gj</t>
        </is>
      </c>
      <c r="G2568" s="7" t="n">
        <v>5.575</v>
      </c>
      <c r="H2568" s="7" t="inlineStr">
        <is>
          <t>2024</t>
        </is>
      </c>
      <c r="I2568" s="7" t="inlineStr">
        <is>
          <t>imffossilfuelsubsidiesdata.xlsb</t>
        </is>
      </c>
    </row>
    <row r="2569">
      <c r="A2569" s="7" t="inlineStr">
        <is>
          <t>TGO</t>
        </is>
      </c>
      <c r="B2569" s="7" t="inlineStr">
        <is>
          <t>Togo</t>
        </is>
      </c>
      <c r="C2569" s="7" t="inlineStr">
        <is>
          <t>Sub-Saharan Africa</t>
        </is>
      </c>
      <c r="D2569" s="7" t="inlineStr">
        <is>
          <t>Lower middle income</t>
        </is>
      </c>
      <c r="E2569" s="7" t="b">
        <v>1</v>
      </c>
      <c r="F2569" s="7" t="inlineStr">
        <is>
          <t>price_electricity_residential_usd_kwh</t>
        </is>
      </c>
      <c r="G2569" s="7" t="n">
        <v>0.211</v>
      </c>
      <c r="H2569" s="7" t="inlineStr">
        <is>
          <t>2024</t>
        </is>
      </c>
      <c r="I2569" s="7" t="inlineStr">
        <is>
          <t>imffossilfuelsubsidiesdata.xlsb</t>
        </is>
      </c>
    </row>
    <row r="2570">
      <c r="A2570" s="7" t="inlineStr">
        <is>
          <t>TGO</t>
        </is>
      </c>
      <c r="B2570" s="7" t="inlineStr">
        <is>
          <t>Togo</t>
        </is>
      </c>
      <c r="C2570" s="7" t="inlineStr">
        <is>
          <t>Sub-Saharan Africa</t>
        </is>
      </c>
      <c r="D2570" s="7" t="inlineStr">
        <is>
          <t>Lower middle income</t>
        </is>
      </c>
      <c r="E2570" s="7" t="b">
        <v>1</v>
      </c>
      <c r="F2570" s="7" t="inlineStr">
        <is>
          <t>price_gas_industry_usd_gj</t>
        </is>
      </c>
      <c r="G2570" s="7" t="n">
        <v>12.815</v>
      </c>
      <c r="H2570" s="7" t="inlineStr">
        <is>
          <t>2024</t>
        </is>
      </c>
      <c r="I2570" s="7" t="inlineStr">
        <is>
          <t>imffossilfuelsubsidiesdata.xlsb</t>
        </is>
      </c>
    </row>
    <row r="2571">
      <c r="A2571" s="7" t="inlineStr">
        <is>
          <t>TGO</t>
        </is>
      </c>
      <c r="B2571" s="7" t="inlineStr">
        <is>
          <t>Togo</t>
        </is>
      </c>
      <c r="C2571" s="7" t="inlineStr">
        <is>
          <t>Sub-Saharan Africa</t>
        </is>
      </c>
      <c r="D2571" s="7" t="inlineStr">
        <is>
          <t>Lower middle income</t>
        </is>
      </c>
      <c r="E2571" s="7" t="b">
        <v>1</v>
      </c>
      <c r="F2571" s="7" t="inlineStr">
        <is>
          <t>price_gas_power_usd_gj</t>
        </is>
      </c>
      <c r="G2571" s="7" t="n">
        <v>11.492</v>
      </c>
      <c r="H2571" s="7" t="inlineStr">
        <is>
          <t>2024</t>
        </is>
      </c>
      <c r="I2571" s="7" t="inlineStr">
        <is>
          <t>imffossilfuelsubsidiesdata.xlsb</t>
        </is>
      </c>
    </row>
    <row r="2572">
      <c r="A2572" s="7" t="inlineStr">
        <is>
          <t>TGO</t>
        </is>
      </c>
      <c r="B2572" s="7" t="inlineStr">
        <is>
          <t>Togo</t>
        </is>
      </c>
      <c r="C2572" s="7" t="inlineStr">
        <is>
          <t>Sub-Saharan Africa</t>
        </is>
      </c>
      <c r="D2572" s="7" t="inlineStr">
        <is>
          <t>Lower middle income</t>
        </is>
      </c>
      <c r="E2572" s="7" t="b">
        <v>1</v>
      </c>
      <c r="F2572" s="7" t="inlineStr">
        <is>
          <t>rise_renewable_energy_score</t>
        </is>
      </c>
      <c r="G2572" s="7" t="n">
        <v>30.587</v>
      </c>
      <c r="H2572" s="7" t="inlineStr">
        <is>
          <t>2023</t>
        </is>
      </c>
      <c r="I2572" s="7" t="inlineStr">
        <is>
          <t>WB_RISE_WIDEF.csv</t>
        </is>
      </c>
    </row>
    <row r="2573">
      <c r="A2573" s="7" t="inlineStr">
        <is>
          <t>THA</t>
        </is>
      </c>
      <c r="B2573" s="7" t="inlineStr">
        <is>
          <t>Thailand</t>
        </is>
      </c>
      <c r="C2573" s="7" t="inlineStr">
        <is>
          <t>East Asia &amp; Pacific</t>
        </is>
      </c>
      <c r="D2573" s="7" t="inlineStr">
        <is>
          <t>Upper middle income</t>
        </is>
      </c>
      <c r="E2573" s="7" t="b">
        <v>1</v>
      </c>
      <c r="F2573" s="7" t="inlineStr">
        <is>
          <t>coal_rents_pct_gdp</t>
        </is>
      </c>
      <c r="G2573" s="7" t="n">
        <v>0.034</v>
      </c>
      <c r="H2573" s="7" t="inlineStr">
        <is>
          <t>2021</t>
        </is>
      </c>
      <c r="I2573" s="7" t="inlineStr">
        <is>
          <t>API_NY_GDP_COAL_RT_ZS_DS2_en_csv_v2_35370.zip</t>
        </is>
      </c>
    </row>
    <row r="2574">
      <c r="A2574" s="7" t="inlineStr">
        <is>
          <t>THA</t>
        </is>
      </c>
      <c r="B2574" s="7" t="inlineStr">
        <is>
          <t>Thailand</t>
        </is>
      </c>
      <c r="C2574" s="7" t="inlineStr">
        <is>
          <t>East Asia &amp; Pacific</t>
        </is>
      </c>
      <c r="D2574" s="7" t="inlineStr">
        <is>
          <t>Upper middle income</t>
        </is>
      </c>
      <c r="E2574" s="7" t="b">
        <v>1</v>
      </c>
      <c r="F2574" s="7" t="inlineStr">
        <is>
          <t>em_coal_mt</t>
        </is>
      </c>
      <c r="G2574" s="7" t="n">
        <v>29.057</v>
      </c>
      <c r="H2574" s="7" t="n">
        <v>2024</v>
      </c>
      <c r="I2574" s="7" t="inlineStr">
        <is>
          <t>release_generation_yearly_global.csv (Ember)</t>
        </is>
      </c>
    </row>
    <row r="2575">
      <c r="A2575" s="7" t="inlineStr">
        <is>
          <t>THA</t>
        </is>
      </c>
      <c r="B2575" s="7" t="inlineStr">
        <is>
          <t>Thailand</t>
        </is>
      </c>
      <c r="C2575" s="7" t="inlineStr">
        <is>
          <t>East Asia &amp; Pacific</t>
        </is>
      </c>
      <c r="D2575" s="7" t="inlineStr">
        <is>
          <t>Upper middle income</t>
        </is>
      </c>
      <c r="E2575" s="7" t="b">
        <v>1</v>
      </c>
      <c r="F2575" s="7" t="inlineStr">
        <is>
          <t>em_gas_mt</t>
        </is>
      </c>
      <c r="G2575" s="7" t="n">
        <v>78.01000000000001</v>
      </c>
      <c r="H2575" s="7" t="n">
        <v>2024</v>
      </c>
      <c r="I2575" s="7" t="inlineStr">
        <is>
          <t>release_generation_yearly_global.csv (Ember)</t>
        </is>
      </c>
    </row>
    <row r="2576">
      <c r="A2576" s="7" t="inlineStr">
        <is>
          <t>THA</t>
        </is>
      </c>
      <c r="B2576" s="7" t="inlineStr">
        <is>
          <t>Thailand</t>
        </is>
      </c>
      <c r="C2576" s="7" t="inlineStr">
        <is>
          <t>East Asia &amp; Pacific</t>
        </is>
      </c>
      <c r="D2576" s="7" t="inlineStr">
        <is>
          <t>Upper middle income</t>
        </is>
      </c>
      <c r="E2576" s="7" t="b">
        <v>1</v>
      </c>
      <c r="F2576" s="7" t="inlineStr">
        <is>
          <t>em_oil_mt</t>
        </is>
      </c>
      <c r="G2576" s="7" t="n">
        <v>0.184</v>
      </c>
      <c r="H2576" s="7" t="n">
        <v>2024</v>
      </c>
      <c r="I2576" s="7" t="inlineStr">
        <is>
          <t>release_generation_yearly_global.csv (Ember)</t>
        </is>
      </c>
    </row>
    <row r="2577">
      <c r="A2577" s="7" t="inlineStr">
        <is>
          <t>THA</t>
        </is>
      </c>
      <c r="B2577" s="7" t="inlineStr">
        <is>
          <t>Thailand</t>
        </is>
      </c>
      <c r="C2577" s="7" t="inlineStr">
        <is>
          <t>East Asia &amp; Pacific</t>
        </is>
      </c>
      <c r="D2577" s="7" t="inlineStr">
        <is>
          <t>Upper middle income</t>
        </is>
      </c>
      <c r="E2577" s="7" t="b">
        <v>1</v>
      </c>
      <c r="F2577" s="7" t="inlineStr">
        <is>
          <t>ff_subsidy_explicit_pct_gdp</t>
        </is>
      </c>
      <c r="G2577" s="7" t="n">
        <v>0.311</v>
      </c>
      <c r="H2577" s="7" t="inlineStr">
        <is>
          <t>2024</t>
        </is>
      </c>
      <c r="I2577" s="7" t="inlineStr">
        <is>
          <t>imffossilfuelsubsidiesdata.xlsb</t>
        </is>
      </c>
    </row>
    <row r="2578">
      <c r="A2578" s="7" t="inlineStr">
        <is>
          <t>THA</t>
        </is>
      </c>
      <c r="B2578" s="7" t="inlineStr">
        <is>
          <t>Thailand</t>
        </is>
      </c>
      <c r="C2578" s="7" t="inlineStr">
        <is>
          <t>East Asia &amp; Pacific</t>
        </is>
      </c>
      <c r="D2578" s="7" t="inlineStr">
        <is>
          <t>Upper middle income</t>
        </is>
      </c>
      <c r="E2578" s="7" t="b">
        <v>1</v>
      </c>
      <c r="F2578" s="7" t="inlineStr">
        <is>
          <t>fuel_exports_pct_merch</t>
        </is>
      </c>
      <c r="G2578" s="7" t="n">
        <v>3.422</v>
      </c>
      <c r="H2578" s="7" t="inlineStr">
        <is>
          <t>2024</t>
        </is>
      </c>
      <c r="I2578" s="7" t="inlineStr">
        <is>
          <t>API_TX_VAL_FUEL_ZS_UN_DS2_en_csv_v2_33055.zip</t>
        </is>
      </c>
    </row>
    <row r="2579">
      <c r="A2579" s="7" t="inlineStr">
        <is>
          <t>THA</t>
        </is>
      </c>
      <c r="B2579" s="7" t="inlineStr">
        <is>
          <t>Thailand</t>
        </is>
      </c>
      <c r="C2579" s="7" t="inlineStr">
        <is>
          <t>East Asia &amp; Pacific</t>
        </is>
      </c>
      <c r="D2579" s="7" t="inlineStr">
        <is>
          <t>Upper middle income</t>
        </is>
      </c>
      <c r="E2579" s="7" t="b">
        <v>1</v>
      </c>
      <c r="F2579" s="7" t="inlineStr">
        <is>
          <t>gen_coal_twh</t>
        </is>
      </c>
      <c r="G2579" s="7" t="n">
        <v>33.26</v>
      </c>
      <c r="H2579" s="7" t="n">
        <v>2024</v>
      </c>
      <c r="I2579" s="7" t="inlineStr">
        <is>
          <t>release_generation_yearly_global.csv (Ember)</t>
        </is>
      </c>
    </row>
    <row r="2580">
      <c r="A2580" s="7" t="inlineStr">
        <is>
          <t>THA</t>
        </is>
      </c>
      <c r="B2580" s="7" t="inlineStr">
        <is>
          <t>Thailand</t>
        </is>
      </c>
      <c r="C2580" s="7" t="inlineStr">
        <is>
          <t>East Asia &amp; Pacific</t>
        </is>
      </c>
      <c r="D2580" s="7" t="inlineStr">
        <is>
          <t>Upper middle income</t>
        </is>
      </c>
      <c r="E2580" s="7" t="b">
        <v>1</v>
      </c>
      <c r="F2580" s="7" t="inlineStr">
        <is>
          <t>gen_gas_twh</t>
        </is>
      </c>
      <c r="G2580" s="7" t="n">
        <v>136.37</v>
      </c>
      <c r="H2580" s="7" t="n">
        <v>2024</v>
      </c>
      <c r="I2580" s="7" t="inlineStr">
        <is>
          <t>release_generation_yearly_global.csv (Ember)</t>
        </is>
      </c>
    </row>
    <row r="2581">
      <c r="A2581" s="7" t="inlineStr">
        <is>
          <t>THA</t>
        </is>
      </c>
      <c r="B2581" s="7" t="inlineStr">
        <is>
          <t>Thailand</t>
        </is>
      </c>
      <c r="C2581" s="7" t="inlineStr">
        <is>
          <t>East Asia &amp; Pacific</t>
        </is>
      </c>
      <c r="D2581" s="7" t="inlineStr">
        <is>
          <t>Upper middle income</t>
        </is>
      </c>
      <c r="E2581" s="7" t="b">
        <v>1</v>
      </c>
      <c r="F2581" s="7" t="inlineStr">
        <is>
          <t>gen_oil_twh</t>
        </is>
      </c>
      <c r="G2581" s="7" t="n">
        <v>0.28</v>
      </c>
      <c r="H2581" s="7" t="n">
        <v>2024</v>
      </c>
      <c r="I2581" s="7" t="inlineStr">
        <is>
          <t>release_generation_yearly_global.csv (Ember)</t>
        </is>
      </c>
    </row>
    <row r="2582">
      <c r="A2582" s="7" t="inlineStr">
        <is>
          <t>THA</t>
        </is>
      </c>
      <c r="B2582" s="7" t="inlineStr">
        <is>
          <t>Thailand</t>
        </is>
      </c>
      <c r="C2582" s="7" t="inlineStr">
        <is>
          <t>East Asia &amp; Pacific</t>
        </is>
      </c>
      <c r="D2582" s="7" t="inlineStr">
        <is>
          <t>Upper middle income</t>
        </is>
      </c>
      <c r="E2582" s="7" t="b">
        <v>1</v>
      </c>
      <c r="F2582" s="7" t="inlineStr">
        <is>
          <t>gen_total_twh</t>
        </is>
      </c>
      <c r="G2582" s="7" t="n">
        <v>199.52</v>
      </c>
      <c r="H2582" s="7" t="n">
        <v>2024</v>
      </c>
      <c r="I2582" s="7" t="inlineStr">
        <is>
          <t>release_generation_yearly_global.csv (Ember)</t>
        </is>
      </c>
    </row>
    <row r="2583">
      <c r="A2583" s="7" t="inlineStr">
        <is>
          <t>THA</t>
        </is>
      </c>
      <c r="B2583" s="7" t="inlineStr">
        <is>
          <t>Thailand</t>
        </is>
      </c>
      <c r="C2583" s="7" t="inlineStr">
        <is>
          <t>East Asia &amp; Pacific</t>
        </is>
      </c>
      <c r="D2583" s="7" t="inlineStr">
        <is>
          <t>Upper middle income</t>
        </is>
      </c>
      <c r="E2583" s="7" t="b">
        <v>1</v>
      </c>
      <c r="F2583" s="7" t="inlineStr">
        <is>
          <t>power_market_structure</t>
        </is>
      </c>
      <c r="G2583" s="7" t="n">
        <v>2</v>
      </c>
      <c r="H2583" s="7" t="inlineStr">
        <is>
          <t>2013</t>
        </is>
      </c>
      <c r="I2583" s="7" t="inlineStr">
        <is>
          <t>dataverse_files.zip</t>
        </is>
      </c>
    </row>
    <row r="2584">
      <c r="A2584" s="7" t="inlineStr">
        <is>
          <t>THA</t>
        </is>
      </c>
      <c r="B2584" s="7" t="inlineStr">
        <is>
          <t>Thailand</t>
        </is>
      </c>
      <c r="C2584" s="7" t="inlineStr">
        <is>
          <t>East Asia &amp; Pacific</t>
        </is>
      </c>
      <c r="D2584" s="7" t="inlineStr">
        <is>
          <t>Upper middle income</t>
        </is>
      </c>
      <c r="E2584" s="7" t="b">
        <v>1</v>
      </c>
      <c r="F2584" s="7" t="inlineStr">
        <is>
          <t>price_coal_power_usd_gj</t>
        </is>
      </c>
      <c r="G2584" s="7" t="n">
        <v>7.119</v>
      </c>
      <c r="H2584" s="7" t="inlineStr">
        <is>
          <t>2024</t>
        </is>
      </c>
      <c r="I2584" s="7" t="inlineStr">
        <is>
          <t>imffossilfuelsubsidiesdata.xlsb</t>
        </is>
      </c>
    </row>
    <row r="2585">
      <c r="A2585" s="7" t="inlineStr">
        <is>
          <t>THA</t>
        </is>
      </c>
      <c r="B2585" s="7" t="inlineStr">
        <is>
          <t>Thailand</t>
        </is>
      </c>
      <c r="C2585" s="7" t="inlineStr">
        <is>
          <t>East Asia &amp; Pacific</t>
        </is>
      </c>
      <c r="D2585" s="7" t="inlineStr">
        <is>
          <t>Upper middle income</t>
        </is>
      </c>
      <c r="E2585" s="7" t="b">
        <v>1</v>
      </c>
      <c r="F2585" s="7" t="inlineStr">
        <is>
          <t>price_electricity_residential_usd_kwh</t>
        </is>
      </c>
      <c r="G2585" s="7" t="n">
        <v>0.122</v>
      </c>
      <c r="H2585" s="7" t="inlineStr">
        <is>
          <t>2024</t>
        </is>
      </c>
      <c r="I2585" s="7" t="inlineStr">
        <is>
          <t>imffossilfuelsubsidiesdata.xlsb</t>
        </is>
      </c>
    </row>
    <row r="2586">
      <c r="A2586" s="7" t="inlineStr">
        <is>
          <t>THA</t>
        </is>
      </c>
      <c r="B2586" s="7" t="inlineStr">
        <is>
          <t>Thailand</t>
        </is>
      </c>
      <c r="C2586" s="7" t="inlineStr">
        <is>
          <t>East Asia &amp; Pacific</t>
        </is>
      </c>
      <c r="D2586" s="7" t="inlineStr">
        <is>
          <t>Upper middle income</t>
        </is>
      </c>
      <c r="E2586" s="7" t="b">
        <v>1</v>
      </c>
      <c r="F2586" s="7" t="inlineStr">
        <is>
          <t>price_gas_industry_usd_gj</t>
        </is>
      </c>
      <c r="G2586" s="7" t="n">
        <v>10.875</v>
      </c>
      <c r="H2586" s="7" t="inlineStr">
        <is>
          <t>2024</t>
        </is>
      </c>
      <c r="I2586" s="7" t="inlineStr">
        <is>
          <t>imffossilfuelsubsidiesdata.xlsb</t>
        </is>
      </c>
    </row>
    <row r="2587">
      <c r="A2587" s="7" t="inlineStr">
        <is>
          <t>THA</t>
        </is>
      </c>
      <c r="B2587" s="7" t="inlineStr">
        <is>
          <t>Thailand</t>
        </is>
      </c>
      <c r="C2587" s="7" t="inlineStr">
        <is>
          <t>East Asia &amp; Pacific</t>
        </is>
      </c>
      <c r="D2587" s="7" t="inlineStr">
        <is>
          <t>Upper middle income</t>
        </is>
      </c>
      <c r="E2587" s="7" t="b">
        <v>1</v>
      </c>
      <c r="F2587" s="7" t="inlineStr">
        <is>
          <t>price_gas_power_usd_gj</t>
        </is>
      </c>
      <c r="G2587" s="7" t="n">
        <v>9.911</v>
      </c>
      <c r="H2587" s="7" t="inlineStr">
        <is>
          <t>2024</t>
        </is>
      </c>
      <c r="I2587" s="7" t="inlineStr">
        <is>
          <t>imffossilfuelsubsidiesdata.xlsb</t>
        </is>
      </c>
    </row>
    <row r="2588">
      <c r="A2588" s="7" t="inlineStr">
        <is>
          <t>THA</t>
        </is>
      </c>
      <c r="B2588" s="7" t="inlineStr">
        <is>
          <t>Thailand</t>
        </is>
      </c>
      <c r="C2588" s="7" t="inlineStr">
        <is>
          <t>East Asia &amp; Pacific</t>
        </is>
      </c>
      <c r="D2588" s="7" t="inlineStr">
        <is>
          <t>Upper middle income</t>
        </is>
      </c>
      <c r="E2588" s="7" t="b">
        <v>1</v>
      </c>
      <c r="F2588" s="7" t="inlineStr">
        <is>
          <t>rise_renewable_energy_score</t>
        </is>
      </c>
      <c r="G2588" s="7" t="n">
        <v>49.593</v>
      </c>
      <c r="H2588" s="7" t="inlineStr">
        <is>
          <t>2023</t>
        </is>
      </c>
      <c r="I2588" s="7" t="inlineStr">
        <is>
          <t>WB_RISE_WIDEF.csv</t>
        </is>
      </c>
    </row>
    <row r="2589">
      <c r="A2589" s="7" t="inlineStr">
        <is>
          <t>TJK</t>
        </is>
      </c>
      <c r="B2589" s="7" t="inlineStr">
        <is>
          <t>Tajikistan</t>
        </is>
      </c>
      <c r="C2589" s="7" t="inlineStr">
        <is>
          <t>Europe &amp; Central Asia</t>
        </is>
      </c>
      <c r="D2589" s="7" t="inlineStr">
        <is>
          <t>Lower middle income</t>
        </is>
      </c>
      <c r="E2589" s="7" t="b">
        <v>1</v>
      </c>
      <c r="F2589" s="7" t="inlineStr">
        <is>
          <t>coal_rents_pct_gdp</t>
        </is>
      </c>
      <c r="G2589" s="7" t="n">
        <v>0.486</v>
      </c>
      <c r="H2589" s="7" t="inlineStr">
        <is>
          <t>2021</t>
        </is>
      </c>
      <c r="I2589" s="7" t="inlineStr">
        <is>
          <t>API_NY_GDP_COAL_RT_ZS_DS2_en_csv_v2_35370.zip</t>
        </is>
      </c>
    </row>
    <row r="2590">
      <c r="A2590" s="7" t="inlineStr">
        <is>
          <t>TJK</t>
        </is>
      </c>
      <c r="B2590" s="7" t="inlineStr">
        <is>
          <t>Tajikistan</t>
        </is>
      </c>
      <c r="C2590" s="7" t="inlineStr">
        <is>
          <t>Europe &amp; Central Asia</t>
        </is>
      </c>
      <c r="D2590" s="7" t="inlineStr">
        <is>
          <t>Lower middle income</t>
        </is>
      </c>
      <c r="E2590" s="7" t="b">
        <v>1</v>
      </c>
      <c r="F2590" s="7" t="inlineStr">
        <is>
          <t>em_coal_mt</t>
        </is>
      </c>
      <c r="G2590" s="7" t="n">
        <v>0.957</v>
      </c>
      <c r="H2590" s="7" t="n">
        <v>2024</v>
      </c>
      <c r="I2590" s="7" t="inlineStr">
        <is>
          <t>release_generation_yearly_global.csv (Ember)</t>
        </is>
      </c>
    </row>
    <row r="2591">
      <c r="A2591" s="7" t="inlineStr">
        <is>
          <t>TJK</t>
        </is>
      </c>
      <c r="B2591" s="7" t="inlineStr">
        <is>
          <t>Tajikistan</t>
        </is>
      </c>
      <c r="C2591" s="7" t="inlineStr">
        <is>
          <t>Europe &amp; Central Asia</t>
        </is>
      </c>
      <c r="D2591" s="7" t="inlineStr">
        <is>
          <t>Lower middle income</t>
        </is>
      </c>
      <c r="E2591" s="7" t="b">
        <v>1</v>
      </c>
      <c r="F2591" s="7" t="inlineStr">
        <is>
          <t>em_gas_mt</t>
        </is>
      </c>
      <c r="G2591" s="7" t="n">
        <v>0.116</v>
      </c>
      <c r="H2591" s="7" t="n">
        <v>2024</v>
      </c>
      <c r="I2591" s="7" t="inlineStr">
        <is>
          <t>release_generation_yearly_global.csv (Ember)</t>
        </is>
      </c>
    </row>
    <row r="2592">
      <c r="A2592" s="7" t="inlineStr">
        <is>
          <t>TJK</t>
        </is>
      </c>
      <c r="B2592" s="7" t="inlineStr">
        <is>
          <t>Tajikistan</t>
        </is>
      </c>
      <c r="C2592" s="7" t="inlineStr">
        <is>
          <t>Europe &amp; Central Asia</t>
        </is>
      </c>
      <c r="D2592" s="7" t="inlineStr">
        <is>
          <t>Lower middle income</t>
        </is>
      </c>
      <c r="E2592" s="7" t="b">
        <v>1</v>
      </c>
      <c r="F2592" s="7" t="inlineStr">
        <is>
          <t>em_oil_mt</t>
        </is>
      </c>
      <c r="G2592" s="7" t="n">
        <v>0</v>
      </c>
      <c r="H2592" s="7" t="n">
        <v>2024</v>
      </c>
      <c r="I2592" s="7" t="inlineStr">
        <is>
          <t>release_generation_yearly_global.csv (Ember)</t>
        </is>
      </c>
    </row>
    <row r="2593">
      <c r="A2593" s="7" t="inlineStr">
        <is>
          <t>TJK</t>
        </is>
      </c>
      <c r="B2593" s="7" t="inlineStr">
        <is>
          <t>Tajikistan</t>
        </is>
      </c>
      <c r="C2593" s="7" t="inlineStr">
        <is>
          <t>Europe &amp; Central Asia</t>
        </is>
      </c>
      <c r="D2593" s="7" t="inlineStr">
        <is>
          <t>Lower middle income</t>
        </is>
      </c>
      <c r="E2593" s="7" t="b">
        <v>1</v>
      </c>
      <c r="F2593" s="7" t="inlineStr">
        <is>
          <t>ff_subsidy_explicit_pct_gdp</t>
        </is>
      </c>
      <c r="G2593" s="7" t="n">
        <v>1.123</v>
      </c>
      <c r="H2593" s="7" t="inlineStr">
        <is>
          <t>2024</t>
        </is>
      </c>
      <c r="I2593" s="7" t="inlineStr">
        <is>
          <t>imffossilfuelsubsidiesdata.xlsb</t>
        </is>
      </c>
    </row>
    <row r="2594">
      <c r="A2594" s="7" t="inlineStr">
        <is>
          <t>TJK</t>
        </is>
      </c>
      <c r="B2594" s="7" t="inlineStr">
        <is>
          <t>Tajikistan</t>
        </is>
      </c>
      <c r="C2594" s="7" t="inlineStr">
        <is>
          <t>Europe &amp; Central Asia</t>
        </is>
      </c>
      <c r="D2594" s="7" t="inlineStr">
        <is>
          <t>Lower middle income</t>
        </is>
      </c>
      <c r="E2594" s="7" t="b">
        <v>1</v>
      </c>
      <c r="F2594" s="7" t="inlineStr">
        <is>
          <t>fuel_exports_pct_merch</t>
        </is>
      </c>
      <c r="G2594" s="7" t="n">
        <v>8.016999999999999</v>
      </c>
      <c r="H2594" s="7" t="inlineStr">
        <is>
          <t>2023</t>
        </is>
      </c>
      <c r="I2594" s="7" t="inlineStr">
        <is>
          <t>API_TX_VAL_FUEL_ZS_UN_DS2_en_csv_v2_33055.zip</t>
        </is>
      </c>
    </row>
    <row r="2595">
      <c r="A2595" s="7" t="inlineStr">
        <is>
          <t>TJK</t>
        </is>
      </c>
      <c r="B2595" s="7" t="inlineStr">
        <is>
          <t>Tajikistan</t>
        </is>
      </c>
      <c r="C2595" s="7" t="inlineStr">
        <is>
          <t>Europe &amp; Central Asia</t>
        </is>
      </c>
      <c r="D2595" s="7" t="inlineStr">
        <is>
          <t>Lower middle income</t>
        </is>
      </c>
      <c r="E2595" s="7" t="b">
        <v>1</v>
      </c>
      <c r="F2595" s="7" t="inlineStr">
        <is>
          <t>gen_coal_twh</t>
        </is>
      </c>
      <c r="G2595" s="7" t="n">
        <v>1</v>
      </c>
      <c r="H2595" s="7" t="n">
        <v>2024</v>
      </c>
      <c r="I2595" s="7" t="inlineStr">
        <is>
          <t>release_generation_yearly_global.csv (Ember)</t>
        </is>
      </c>
    </row>
    <row r="2596">
      <c r="A2596" s="7" t="inlineStr">
        <is>
          <t>TJK</t>
        </is>
      </c>
      <c r="B2596" s="7" t="inlineStr">
        <is>
          <t>Tajikistan</t>
        </is>
      </c>
      <c r="C2596" s="7" t="inlineStr">
        <is>
          <t>Europe &amp; Central Asia</t>
        </is>
      </c>
      <c r="D2596" s="7" t="inlineStr">
        <is>
          <t>Lower middle income</t>
        </is>
      </c>
      <c r="E2596" s="7" t="b">
        <v>1</v>
      </c>
      <c r="F2596" s="7" t="inlineStr">
        <is>
          <t>gen_gas_twh</t>
        </is>
      </c>
      <c r="G2596" s="7" t="n">
        <v>0.2</v>
      </c>
      <c r="H2596" s="7" t="n">
        <v>2024</v>
      </c>
      <c r="I2596" s="7" t="inlineStr">
        <is>
          <t>release_generation_yearly_global.csv (Ember)</t>
        </is>
      </c>
    </row>
    <row r="2597">
      <c r="A2597" s="7" t="inlineStr">
        <is>
          <t>TJK</t>
        </is>
      </c>
      <c r="B2597" s="7" t="inlineStr">
        <is>
          <t>Tajikistan</t>
        </is>
      </c>
      <c r="C2597" s="7" t="inlineStr">
        <is>
          <t>Europe &amp; Central Asia</t>
        </is>
      </c>
      <c r="D2597" s="7" t="inlineStr">
        <is>
          <t>Lower middle income</t>
        </is>
      </c>
      <c r="E2597" s="7" t="b">
        <v>1</v>
      </c>
      <c r="F2597" s="7" t="inlineStr">
        <is>
          <t>gen_oil_twh</t>
        </is>
      </c>
      <c r="G2597" s="7" t="n">
        <v>0</v>
      </c>
      <c r="H2597" s="7" t="n">
        <v>2024</v>
      </c>
      <c r="I2597" s="7" t="inlineStr">
        <is>
          <t>release_generation_yearly_global.csv (Ember)</t>
        </is>
      </c>
    </row>
    <row r="2598">
      <c r="A2598" s="7" t="inlineStr">
        <is>
          <t>TJK</t>
        </is>
      </c>
      <c r="B2598" s="7" t="inlineStr">
        <is>
          <t>Tajikistan</t>
        </is>
      </c>
      <c r="C2598" s="7" t="inlineStr">
        <is>
          <t>Europe &amp; Central Asia</t>
        </is>
      </c>
      <c r="D2598" s="7" t="inlineStr">
        <is>
          <t>Lower middle income</t>
        </is>
      </c>
      <c r="E2598" s="7" t="b">
        <v>1</v>
      </c>
      <c r="F2598" s="7" t="inlineStr">
        <is>
          <t>gen_total_twh</t>
        </is>
      </c>
      <c r="G2598" s="7" t="n">
        <v>22.2</v>
      </c>
      <c r="H2598" s="7" t="n">
        <v>2024</v>
      </c>
      <c r="I2598" s="7" t="inlineStr">
        <is>
          <t>release_generation_yearly_global.csv (Ember)</t>
        </is>
      </c>
    </row>
    <row r="2599">
      <c r="A2599" s="7" t="inlineStr">
        <is>
          <t>TJK</t>
        </is>
      </c>
      <c r="B2599" s="7" t="inlineStr">
        <is>
          <t>Tajikistan</t>
        </is>
      </c>
      <c r="C2599" s="7" t="inlineStr">
        <is>
          <t>Europe &amp; Central Asia</t>
        </is>
      </c>
      <c r="D2599" s="7" t="inlineStr">
        <is>
          <t>Lower middle income</t>
        </is>
      </c>
      <c r="E2599" s="7" t="b">
        <v>1</v>
      </c>
      <c r="F2599" s="7" t="inlineStr">
        <is>
          <t>power_market_structure</t>
        </is>
      </c>
      <c r="G2599" s="7" t="n">
        <v>2</v>
      </c>
      <c r="H2599" s="7" t="inlineStr">
        <is>
          <t>2013</t>
        </is>
      </c>
      <c r="I2599" s="7" t="inlineStr">
        <is>
          <t>dataverse_files.zip</t>
        </is>
      </c>
    </row>
    <row r="2600">
      <c r="A2600" s="7" t="inlineStr">
        <is>
          <t>TJK</t>
        </is>
      </c>
      <c r="B2600" s="7" t="inlineStr">
        <is>
          <t>Tajikistan</t>
        </is>
      </c>
      <c r="C2600" s="7" t="inlineStr">
        <is>
          <t>Europe &amp; Central Asia</t>
        </is>
      </c>
      <c r="D2600" s="7" t="inlineStr">
        <is>
          <t>Lower middle income</t>
        </is>
      </c>
      <c r="E2600" s="7" t="b">
        <v>1</v>
      </c>
      <c r="F2600" s="7" t="inlineStr">
        <is>
          <t>price_coal_power_usd_gj</t>
        </is>
      </c>
      <c r="G2600" s="7" t="n">
        <v>2.161</v>
      </c>
      <c r="H2600" s="7" t="inlineStr">
        <is>
          <t>2024</t>
        </is>
      </c>
      <c r="I2600" s="7" t="inlineStr">
        <is>
          <t>imffossilfuelsubsidiesdata.xlsb</t>
        </is>
      </c>
    </row>
    <row r="2601">
      <c r="A2601" s="7" t="inlineStr">
        <is>
          <t>TJK</t>
        </is>
      </c>
      <c r="B2601" s="7" t="inlineStr">
        <is>
          <t>Tajikistan</t>
        </is>
      </c>
      <c r="C2601" s="7" t="inlineStr">
        <is>
          <t>Europe &amp; Central Asia</t>
        </is>
      </c>
      <c r="D2601" s="7" t="inlineStr">
        <is>
          <t>Lower middle income</t>
        </is>
      </c>
      <c r="E2601" s="7" t="b">
        <v>1</v>
      </c>
      <c r="F2601" s="7" t="inlineStr">
        <is>
          <t>price_electricity_residential_usd_kwh</t>
        </is>
      </c>
      <c r="G2601" s="7" t="n">
        <v>0.025</v>
      </c>
      <c r="H2601" s="7" t="inlineStr">
        <is>
          <t>2024</t>
        </is>
      </c>
      <c r="I2601" s="7" t="inlineStr">
        <is>
          <t>imffossilfuelsubsidiesdata.xlsb</t>
        </is>
      </c>
    </row>
    <row r="2602">
      <c r="A2602" s="7" t="inlineStr">
        <is>
          <t>TJK</t>
        </is>
      </c>
      <c r="B2602" s="7" t="inlineStr">
        <is>
          <t>Tajikistan</t>
        </is>
      </c>
      <c r="C2602" s="7" t="inlineStr">
        <is>
          <t>Europe &amp; Central Asia</t>
        </is>
      </c>
      <c r="D2602" s="7" t="inlineStr">
        <is>
          <t>Lower middle income</t>
        </is>
      </c>
      <c r="E2602" s="7" t="b">
        <v>1</v>
      </c>
      <c r="F2602" s="7" t="inlineStr">
        <is>
          <t>price_gas_industry_usd_gj</t>
        </is>
      </c>
      <c r="G2602" s="7" t="n">
        <v>8.101000000000001</v>
      </c>
      <c r="H2602" s="7" t="inlineStr">
        <is>
          <t>2024</t>
        </is>
      </c>
      <c r="I2602" s="7" t="inlineStr">
        <is>
          <t>imffossilfuelsubsidiesdata.xlsb</t>
        </is>
      </c>
    </row>
    <row r="2603">
      <c r="A2603" s="7" t="inlineStr">
        <is>
          <t>TJK</t>
        </is>
      </c>
      <c r="B2603" s="7" t="inlineStr">
        <is>
          <t>Tajikistan</t>
        </is>
      </c>
      <c r="C2603" s="7" t="inlineStr">
        <is>
          <t>Europe &amp; Central Asia</t>
        </is>
      </c>
      <c r="D2603" s="7" t="inlineStr">
        <is>
          <t>Lower middle income</t>
        </is>
      </c>
      <c r="E2603" s="7" t="b">
        <v>1</v>
      </c>
      <c r="F2603" s="7" t="inlineStr">
        <is>
          <t>price_gas_power_usd_gj</t>
        </is>
      </c>
      <c r="G2603" s="7" t="n">
        <v>6.78</v>
      </c>
      <c r="H2603" s="7" t="inlineStr">
        <is>
          <t>2024</t>
        </is>
      </c>
      <c r="I2603" s="7" t="inlineStr">
        <is>
          <t>imffossilfuelsubsidiesdata.xlsb</t>
        </is>
      </c>
    </row>
    <row r="2604">
      <c r="A2604" s="7" t="inlineStr">
        <is>
          <t>TJK</t>
        </is>
      </c>
      <c r="B2604" s="7" t="inlineStr">
        <is>
          <t>Tajikistan</t>
        </is>
      </c>
      <c r="C2604" s="7" t="inlineStr">
        <is>
          <t>Europe &amp; Central Asia</t>
        </is>
      </c>
      <c r="D2604" s="7" t="inlineStr">
        <is>
          <t>Lower middle income</t>
        </is>
      </c>
      <c r="E2604" s="7" t="b">
        <v>1</v>
      </c>
      <c r="F2604" s="7" t="inlineStr">
        <is>
          <t>rise_renewable_energy_score</t>
        </is>
      </c>
      <c r="G2604" s="7" t="n">
        <v>16.466</v>
      </c>
      <c r="H2604" s="7" t="inlineStr">
        <is>
          <t>2023</t>
        </is>
      </c>
      <c r="I2604" s="7" t="inlineStr">
        <is>
          <t>WB_RISE_WIDEF.csv</t>
        </is>
      </c>
    </row>
    <row r="2605">
      <c r="A2605" s="7" t="inlineStr">
        <is>
          <t>TKM</t>
        </is>
      </c>
      <c r="B2605" s="7" t="inlineStr">
        <is>
          <t>Turkmenistan</t>
        </is>
      </c>
      <c r="C2605" s="7" t="inlineStr">
        <is>
          <t>Europe &amp; Central Asia</t>
        </is>
      </c>
      <c r="D2605" s="7" t="inlineStr">
        <is>
          <t>Upper middle income</t>
        </is>
      </c>
      <c r="E2605" s="7" t="b">
        <v>0</v>
      </c>
      <c r="F2605" s="7" t="inlineStr">
        <is>
          <t>coal_rents_pct_gdp</t>
        </is>
      </c>
      <c r="G2605" s="7" t="n">
        <v>0</v>
      </c>
      <c r="H2605" s="7" t="inlineStr">
        <is>
          <t>2019</t>
        </is>
      </c>
      <c r="I2605" s="7" t="inlineStr">
        <is>
          <t>API_NY_GDP_COAL_RT_ZS_DS2_en_csv_v2_35370.zip</t>
        </is>
      </c>
    </row>
    <row r="2606">
      <c r="A2606" s="7" t="inlineStr">
        <is>
          <t>TKM</t>
        </is>
      </c>
      <c r="B2606" s="7" t="inlineStr">
        <is>
          <t>Turkmenistan</t>
        </is>
      </c>
      <c r="C2606" s="7" t="inlineStr">
        <is>
          <t>Europe &amp; Central Asia</t>
        </is>
      </c>
      <c r="D2606" s="7" t="inlineStr">
        <is>
          <t>Upper middle income</t>
        </is>
      </c>
      <c r="E2606" s="7" t="b">
        <v>0</v>
      </c>
      <c r="F2606" s="7" t="inlineStr">
        <is>
          <t>em_coal_mt</t>
        </is>
      </c>
      <c r="G2606" s="7" t="n">
        <v>0</v>
      </c>
      <c r="H2606" s="7" t="n">
        <v>2024</v>
      </c>
      <c r="I2606" s="7" t="inlineStr">
        <is>
          <t>release_generation_yearly_global.csv (Ember)</t>
        </is>
      </c>
    </row>
    <row r="2607">
      <c r="A2607" s="7" t="inlineStr">
        <is>
          <t>TKM</t>
        </is>
      </c>
      <c r="B2607" s="7" t="inlineStr">
        <is>
          <t>Turkmenistan</t>
        </is>
      </c>
      <c r="C2607" s="7" t="inlineStr">
        <is>
          <t>Europe &amp; Central Asia</t>
        </is>
      </c>
      <c r="D2607" s="7" t="inlineStr">
        <is>
          <t>Upper middle income</t>
        </is>
      </c>
      <c r="E2607" s="7" t="b">
        <v>0</v>
      </c>
      <c r="F2607" s="7" t="inlineStr">
        <is>
          <t>em_gas_mt</t>
        </is>
      </c>
      <c r="G2607" s="7" t="n">
        <v>43.116</v>
      </c>
      <c r="H2607" s="7" t="n">
        <v>2024</v>
      </c>
      <c r="I2607" s="7" t="inlineStr">
        <is>
          <t>release_generation_yearly_global.csv (Ember)</t>
        </is>
      </c>
    </row>
    <row r="2608">
      <c r="A2608" s="7" t="inlineStr">
        <is>
          <t>TKM</t>
        </is>
      </c>
      <c r="B2608" s="7" t="inlineStr">
        <is>
          <t>Turkmenistan</t>
        </is>
      </c>
      <c r="C2608" s="7" t="inlineStr">
        <is>
          <t>Europe &amp; Central Asia</t>
        </is>
      </c>
      <c r="D2608" s="7" t="inlineStr">
        <is>
          <t>Upper middle income</t>
        </is>
      </c>
      <c r="E2608" s="7" t="b">
        <v>0</v>
      </c>
      <c r="F2608" s="7" t="inlineStr">
        <is>
          <t>em_oil_mt</t>
        </is>
      </c>
      <c r="G2608" s="7" t="n">
        <v>0</v>
      </c>
      <c r="H2608" s="7" t="n">
        <v>2024</v>
      </c>
      <c r="I2608" s="7" t="inlineStr">
        <is>
          <t>release_generation_yearly_global.csv (Ember)</t>
        </is>
      </c>
    </row>
    <row r="2609">
      <c r="A2609" s="7" t="inlineStr">
        <is>
          <t>TKM</t>
        </is>
      </c>
      <c r="B2609" s="7" t="inlineStr">
        <is>
          <t>Turkmenistan</t>
        </is>
      </c>
      <c r="C2609" s="7" t="inlineStr">
        <is>
          <t>Europe &amp; Central Asia</t>
        </is>
      </c>
      <c r="D2609" s="7" t="inlineStr">
        <is>
          <t>Upper middle income</t>
        </is>
      </c>
      <c r="E2609" s="7" t="b">
        <v>0</v>
      </c>
      <c r="F2609" s="7" t="inlineStr">
        <is>
          <t>ff_subsidy_explicit_pct_gdp</t>
        </is>
      </c>
      <c r="G2609" s="7" t="n">
        <v>15.226</v>
      </c>
      <c r="H2609" s="7" t="inlineStr">
        <is>
          <t>2024</t>
        </is>
      </c>
      <c r="I2609" s="7" t="inlineStr">
        <is>
          <t>imffossilfuelsubsidiesdata.xlsb</t>
        </is>
      </c>
    </row>
    <row r="2610">
      <c r="A2610" s="7" t="inlineStr">
        <is>
          <t>TKM</t>
        </is>
      </c>
      <c r="B2610" s="7" t="inlineStr">
        <is>
          <t>Turkmenistan</t>
        </is>
      </c>
      <c r="C2610" s="7" t="inlineStr">
        <is>
          <t>Europe &amp; Central Asia</t>
        </is>
      </c>
      <c r="D2610" s="7" t="inlineStr">
        <is>
          <t>Upper middle income</t>
        </is>
      </c>
      <c r="E2610" s="7" t="b">
        <v>0</v>
      </c>
      <c r="F2610" s="7" t="inlineStr">
        <is>
          <t>fuel_exports_pct_merch</t>
        </is>
      </c>
      <c r="G2610" s="7" t="n">
        <v>81.01000000000001</v>
      </c>
      <c r="H2610" s="7" t="inlineStr">
        <is>
          <t>2000</t>
        </is>
      </c>
      <c r="I2610" s="7" t="inlineStr">
        <is>
          <t>API_TX_VAL_FUEL_ZS_UN_DS2_en_csv_v2_33055.zip</t>
        </is>
      </c>
    </row>
    <row r="2611">
      <c r="A2611" s="7" t="inlineStr">
        <is>
          <t>TKM</t>
        </is>
      </c>
      <c r="B2611" s="7" t="inlineStr">
        <is>
          <t>Turkmenistan</t>
        </is>
      </c>
      <c r="C2611" s="7" t="inlineStr">
        <is>
          <t>Europe &amp; Central Asia</t>
        </is>
      </c>
      <c r="D2611" s="7" t="inlineStr">
        <is>
          <t>Upper middle income</t>
        </is>
      </c>
      <c r="E2611" s="7" t="b">
        <v>0</v>
      </c>
      <c r="F2611" s="7" t="inlineStr">
        <is>
          <t>gen_coal_twh</t>
        </is>
      </c>
      <c r="G2611" s="7" t="n">
        <v>0</v>
      </c>
      <c r="H2611" s="7" t="n">
        <v>2024</v>
      </c>
      <c r="I2611" s="7" t="inlineStr">
        <is>
          <t>release_generation_yearly_global.csv (Ember)</t>
        </is>
      </c>
    </row>
    <row r="2612">
      <c r="A2612" s="7" t="inlineStr">
        <is>
          <t>TKM</t>
        </is>
      </c>
      <c r="B2612" s="7" t="inlineStr">
        <is>
          <t>Turkmenistan</t>
        </is>
      </c>
      <c r="C2612" s="7" t="inlineStr">
        <is>
          <t>Europe &amp; Central Asia</t>
        </is>
      </c>
      <c r="D2612" s="7" t="inlineStr">
        <is>
          <t>Upper middle income</t>
        </is>
      </c>
      <c r="E2612" s="7" t="b">
        <v>0</v>
      </c>
      <c r="F2612" s="7" t="inlineStr">
        <is>
          <t>gen_gas_twh</t>
        </is>
      </c>
      <c r="G2612" s="7" t="n">
        <v>33</v>
      </c>
      <c r="H2612" s="7" t="n">
        <v>2024</v>
      </c>
      <c r="I2612" s="7" t="inlineStr">
        <is>
          <t>release_generation_yearly_global.csv (Ember)</t>
        </is>
      </c>
    </row>
    <row r="2613">
      <c r="A2613" s="7" t="inlineStr">
        <is>
          <t>TKM</t>
        </is>
      </c>
      <c r="B2613" s="7" t="inlineStr">
        <is>
          <t>Turkmenistan</t>
        </is>
      </c>
      <c r="C2613" s="7" t="inlineStr">
        <is>
          <t>Europe &amp; Central Asia</t>
        </is>
      </c>
      <c r="D2613" s="7" t="inlineStr">
        <is>
          <t>Upper middle income</t>
        </is>
      </c>
      <c r="E2613" s="7" t="b">
        <v>0</v>
      </c>
      <c r="F2613" s="7" t="inlineStr">
        <is>
          <t>gen_oil_twh</t>
        </is>
      </c>
      <c r="G2613" s="7" t="n">
        <v>0</v>
      </c>
      <c r="H2613" s="7" t="n">
        <v>2024</v>
      </c>
      <c r="I2613" s="7" t="inlineStr">
        <is>
          <t>release_generation_yearly_global.csv (Ember)</t>
        </is>
      </c>
    </row>
    <row r="2614">
      <c r="A2614" s="7" t="inlineStr">
        <is>
          <t>TKM</t>
        </is>
      </c>
      <c r="B2614" s="7" t="inlineStr">
        <is>
          <t>Turkmenistan</t>
        </is>
      </c>
      <c r="C2614" s="7" t="inlineStr">
        <is>
          <t>Europe &amp; Central Asia</t>
        </is>
      </c>
      <c r="D2614" s="7" t="inlineStr">
        <is>
          <t>Upper middle income</t>
        </is>
      </c>
      <c r="E2614" s="7" t="b">
        <v>0</v>
      </c>
      <c r="F2614" s="7" t="inlineStr">
        <is>
          <t>gen_total_twh</t>
        </is>
      </c>
      <c r="G2614" s="7" t="n">
        <v>33.01</v>
      </c>
      <c r="H2614" s="7" t="n">
        <v>2024</v>
      </c>
      <c r="I2614" s="7" t="inlineStr">
        <is>
          <t>release_generation_yearly_global.csv (Ember)</t>
        </is>
      </c>
    </row>
    <row r="2615">
      <c r="A2615" s="7" t="inlineStr">
        <is>
          <t>TKM</t>
        </is>
      </c>
      <c r="B2615" s="7" t="inlineStr">
        <is>
          <t>Turkmenistan</t>
        </is>
      </c>
      <c r="C2615" s="7" t="inlineStr">
        <is>
          <t>Europe &amp; Central Asia</t>
        </is>
      </c>
      <c r="D2615" s="7" t="inlineStr">
        <is>
          <t>Upper middle income</t>
        </is>
      </c>
      <c r="E2615" s="7" t="b">
        <v>0</v>
      </c>
      <c r="F2615" s="7" t="inlineStr">
        <is>
          <t>power_market_structure</t>
        </is>
      </c>
      <c r="G2615" s="7" t="n">
        <v>1</v>
      </c>
      <c r="H2615" s="7" t="inlineStr">
        <is>
          <t>2013</t>
        </is>
      </c>
      <c r="I2615" s="7" t="inlineStr">
        <is>
          <t>dataverse_files.zip</t>
        </is>
      </c>
    </row>
    <row r="2616">
      <c r="A2616" s="7" t="inlineStr">
        <is>
          <t>TKM</t>
        </is>
      </c>
      <c r="B2616" s="7" t="inlineStr">
        <is>
          <t>Turkmenistan</t>
        </is>
      </c>
      <c r="C2616" s="7" t="inlineStr">
        <is>
          <t>Europe &amp; Central Asia</t>
        </is>
      </c>
      <c r="D2616" s="7" t="inlineStr">
        <is>
          <t>Upper middle income</t>
        </is>
      </c>
      <c r="E2616" s="7" t="b">
        <v>0</v>
      </c>
      <c r="F2616" s="7" t="inlineStr">
        <is>
          <t>price_coal_power_usd_gj</t>
        </is>
      </c>
      <c r="G2616" s="7" t="n">
        <v>4.371</v>
      </c>
      <c r="H2616" s="7" t="inlineStr">
        <is>
          <t>2024</t>
        </is>
      </c>
      <c r="I2616" s="7" t="inlineStr">
        <is>
          <t>imffossilfuelsubsidiesdata.xlsb</t>
        </is>
      </c>
    </row>
    <row r="2617">
      <c r="A2617" s="7" t="inlineStr">
        <is>
          <t>TKM</t>
        </is>
      </c>
      <c r="B2617" s="7" t="inlineStr">
        <is>
          <t>Turkmenistan</t>
        </is>
      </c>
      <c r="C2617" s="7" t="inlineStr">
        <is>
          <t>Europe &amp; Central Asia</t>
        </is>
      </c>
      <c r="D2617" s="7" t="inlineStr">
        <is>
          <t>Upper middle income</t>
        </is>
      </c>
      <c r="E2617" s="7" t="b">
        <v>0</v>
      </c>
      <c r="F2617" s="7" t="inlineStr">
        <is>
          <t>price_electricity_residential_usd_kwh</t>
        </is>
      </c>
      <c r="G2617" s="7" t="n">
        <v>0.03</v>
      </c>
      <c r="H2617" s="7" t="inlineStr">
        <is>
          <t>2024</t>
        </is>
      </c>
      <c r="I2617" s="7" t="inlineStr">
        <is>
          <t>imffossilfuelsubsidiesdata.xlsb</t>
        </is>
      </c>
    </row>
    <row r="2618">
      <c r="A2618" s="7" t="inlineStr">
        <is>
          <t>TKM</t>
        </is>
      </c>
      <c r="B2618" s="7" t="inlineStr">
        <is>
          <t>Turkmenistan</t>
        </is>
      </c>
      <c r="C2618" s="7" t="inlineStr">
        <is>
          <t>Europe &amp; Central Asia</t>
        </is>
      </c>
      <c r="D2618" s="7" t="inlineStr">
        <is>
          <t>Upper middle income</t>
        </is>
      </c>
      <c r="E2618" s="7" t="b">
        <v>0</v>
      </c>
      <c r="F2618" s="7" t="inlineStr">
        <is>
          <t>price_gas_industry_usd_gj</t>
        </is>
      </c>
      <c r="G2618" s="7" t="n">
        <v>2.533</v>
      </c>
      <c r="H2618" s="7" t="inlineStr">
        <is>
          <t>2024</t>
        </is>
      </c>
      <c r="I2618" s="7" t="inlineStr">
        <is>
          <t>imffossilfuelsubsidiesdata.xlsb</t>
        </is>
      </c>
    </row>
    <row r="2619">
      <c r="A2619" s="7" t="inlineStr">
        <is>
          <t>TKM</t>
        </is>
      </c>
      <c r="B2619" s="7" t="inlineStr">
        <is>
          <t>Turkmenistan</t>
        </is>
      </c>
      <c r="C2619" s="7" t="inlineStr">
        <is>
          <t>Europe &amp; Central Asia</t>
        </is>
      </c>
      <c r="D2619" s="7" t="inlineStr">
        <is>
          <t>Upper middle income</t>
        </is>
      </c>
      <c r="E2619" s="7" t="b">
        <v>0</v>
      </c>
      <c r="F2619" s="7" t="inlineStr">
        <is>
          <t>price_gas_power_usd_gj</t>
        </is>
      </c>
      <c r="G2619" s="7" t="n">
        <v>2.312</v>
      </c>
      <c r="H2619" s="7" t="inlineStr">
        <is>
          <t>2024</t>
        </is>
      </c>
      <c r="I2619" s="7" t="inlineStr">
        <is>
          <t>imffossilfuelsubsidiesdata.xlsb</t>
        </is>
      </c>
    </row>
    <row r="2620">
      <c r="A2620" s="7" t="inlineStr">
        <is>
          <t>TKM</t>
        </is>
      </c>
      <c r="B2620" s="7" t="inlineStr">
        <is>
          <t>Turkmenistan</t>
        </is>
      </c>
      <c r="C2620" s="7" t="inlineStr">
        <is>
          <t>Europe &amp; Central Asia</t>
        </is>
      </c>
      <c r="D2620" s="7" t="inlineStr">
        <is>
          <t>Upper middle income</t>
        </is>
      </c>
      <c r="E2620" s="7" t="b">
        <v>0</v>
      </c>
      <c r="F2620" s="7" t="inlineStr">
        <is>
          <t>rise_renewable_energy_score</t>
        </is>
      </c>
      <c r="G2620" s="7" t="n">
        <v>3.148</v>
      </c>
      <c r="H2620" s="7" t="inlineStr">
        <is>
          <t>2023</t>
        </is>
      </c>
      <c r="I2620" s="7" t="inlineStr">
        <is>
          <t>WB_RISE_WIDEF.csv</t>
        </is>
      </c>
    </row>
    <row r="2621">
      <c r="A2621" s="7" t="inlineStr">
        <is>
          <t>TLS</t>
        </is>
      </c>
      <c r="B2621" s="7" t="inlineStr">
        <is>
          <t>Timor-Leste</t>
        </is>
      </c>
      <c r="C2621" s="7" t="inlineStr">
        <is>
          <t>East Asia &amp; Pacific</t>
        </is>
      </c>
      <c r="D2621" s="7" t="inlineStr">
        <is>
          <t>Lower middle income</t>
        </is>
      </c>
      <c r="E2621" s="7" t="b">
        <v>0</v>
      </c>
      <c r="F2621" s="7" t="inlineStr">
        <is>
          <t>coal_rents_pct_gdp</t>
        </is>
      </c>
      <c r="G2621" s="7" t="n">
        <v>0</v>
      </c>
      <c r="H2621" s="7" t="inlineStr">
        <is>
          <t>2021</t>
        </is>
      </c>
      <c r="I2621" s="7" t="inlineStr">
        <is>
          <t>API_NY_GDP_COAL_RT_ZS_DS2_en_csv_v2_35370.zip</t>
        </is>
      </c>
    </row>
    <row r="2622">
      <c r="A2622" s="7" t="inlineStr">
        <is>
          <t>TLS</t>
        </is>
      </c>
      <c r="B2622" s="7" t="inlineStr">
        <is>
          <t>Timor-Leste</t>
        </is>
      </c>
      <c r="C2622" s="7" t="inlineStr">
        <is>
          <t>East Asia &amp; Pacific</t>
        </is>
      </c>
      <c r="D2622" s="7" t="inlineStr">
        <is>
          <t>Lower middle income</t>
        </is>
      </c>
      <c r="E2622" s="7" t="b">
        <v>0</v>
      </c>
      <c r="F2622" s="7" t="inlineStr">
        <is>
          <t>ff_subsidy_explicit_pct_gdp</t>
        </is>
      </c>
      <c r="G2622" s="7" t="n">
        <v>0</v>
      </c>
      <c r="H2622" s="7" t="inlineStr">
        <is>
          <t>2024</t>
        </is>
      </c>
      <c r="I2622" s="7" t="inlineStr">
        <is>
          <t>imffossilfuelsubsidiesdata.xlsb</t>
        </is>
      </c>
    </row>
    <row r="2623">
      <c r="A2623" s="7" t="inlineStr">
        <is>
          <t>TLS</t>
        </is>
      </c>
      <c r="B2623" s="7" t="inlineStr">
        <is>
          <t>Timor-Leste</t>
        </is>
      </c>
      <c r="C2623" s="7" t="inlineStr">
        <is>
          <t>East Asia &amp; Pacific</t>
        </is>
      </c>
      <c r="D2623" s="7" t="inlineStr">
        <is>
          <t>Lower middle income</t>
        </is>
      </c>
      <c r="E2623" s="7" t="b">
        <v>0</v>
      </c>
      <c r="F2623" s="7" t="inlineStr">
        <is>
          <t>fuel_exports_pct_merch</t>
        </is>
      </c>
      <c r="G2623" s="7" t="n">
        <v>67.371</v>
      </c>
      <c r="H2623" s="7" t="inlineStr">
        <is>
          <t>2023</t>
        </is>
      </c>
      <c r="I2623" s="7" t="inlineStr">
        <is>
          <t>API_TX_VAL_FUEL_ZS_UN_DS2_en_csv_v2_33055.zip</t>
        </is>
      </c>
    </row>
    <row r="2624">
      <c r="A2624" s="7" t="inlineStr">
        <is>
          <t>TLS</t>
        </is>
      </c>
      <c r="B2624" s="7" t="inlineStr">
        <is>
          <t>Timor-Leste</t>
        </is>
      </c>
      <c r="C2624" s="7" t="inlineStr">
        <is>
          <t>East Asia &amp; Pacific</t>
        </is>
      </c>
      <c r="D2624" s="7" t="inlineStr">
        <is>
          <t>Lower middle income</t>
        </is>
      </c>
      <c r="E2624" s="7" t="b">
        <v>0</v>
      </c>
      <c r="F2624" s="7" t="inlineStr">
        <is>
          <t>power_market_structure</t>
        </is>
      </c>
      <c r="G2624" s="7" t="n">
        <v>1</v>
      </c>
      <c r="H2624" s="7" t="inlineStr">
        <is>
          <t>2013</t>
        </is>
      </c>
      <c r="I2624" s="7" t="inlineStr">
        <is>
          <t>dataverse_files.zip</t>
        </is>
      </c>
    </row>
    <row r="2625">
      <c r="A2625" s="7" t="inlineStr">
        <is>
          <t>TLS</t>
        </is>
      </c>
      <c r="B2625" s="7" t="inlineStr">
        <is>
          <t>Timor-Leste</t>
        </is>
      </c>
      <c r="C2625" s="7" t="inlineStr">
        <is>
          <t>East Asia &amp; Pacific</t>
        </is>
      </c>
      <c r="D2625" s="7" t="inlineStr">
        <is>
          <t>Lower middle income</t>
        </is>
      </c>
      <c r="E2625" s="7" t="b">
        <v>0</v>
      </c>
      <c r="F2625" s="7" t="inlineStr">
        <is>
          <t>price_coal_power_usd_gj</t>
        </is>
      </c>
      <c r="G2625" s="7" t="n">
        <v>4.833</v>
      </c>
      <c r="H2625" s="7" t="inlineStr">
        <is>
          <t>2024</t>
        </is>
      </c>
      <c r="I2625" s="7" t="inlineStr">
        <is>
          <t>imffossilfuelsubsidiesdata.xlsb</t>
        </is>
      </c>
    </row>
    <row r="2626">
      <c r="A2626" s="7" t="inlineStr">
        <is>
          <t>TLS</t>
        </is>
      </c>
      <c r="B2626" s="7" t="inlineStr">
        <is>
          <t>Timor-Leste</t>
        </is>
      </c>
      <c r="C2626" s="7" t="inlineStr">
        <is>
          <t>East Asia &amp; Pacific</t>
        </is>
      </c>
      <c r="D2626" s="7" t="inlineStr">
        <is>
          <t>Lower middle income</t>
        </is>
      </c>
      <c r="E2626" s="7" t="b">
        <v>0</v>
      </c>
      <c r="F2626" s="7" t="inlineStr">
        <is>
          <t>price_electricity_residential_usd_kwh</t>
        </is>
      </c>
      <c r="G2626" s="7" t="n">
        <v>0.291</v>
      </c>
      <c r="H2626" s="7" t="inlineStr">
        <is>
          <t>2024</t>
        </is>
      </c>
      <c r="I2626" s="7" t="inlineStr">
        <is>
          <t>imffossilfuelsubsidiesdata.xlsb</t>
        </is>
      </c>
    </row>
    <row r="2627">
      <c r="A2627" s="7" t="inlineStr">
        <is>
          <t>TLS</t>
        </is>
      </c>
      <c r="B2627" s="7" t="inlineStr">
        <is>
          <t>Timor-Leste</t>
        </is>
      </c>
      <c r="C2627" s="7" t="inlineStr">
        <is>
          <t>East Asia &amp; Pacific</t>
        </is>
      </c>
      <c r="D2627" s="7" t="inlineStr">
        <is>
          <t>Lower middle income</t>
        </is>
      </c>
      <c r="E2627" s="7" t="b">
        <v>0</v>
      </c>
      <c r="F2627" s="7" t="inlineStr">
        <is>
          <t>price_gas_industry_usd_gj</t>
        </is>
      </c>
      <c r="G2627" s="7" t="n">
        <v>9.074999999999999</v>
      </c>
      <c r="H2627" s="7" t="inlineStr">
        <is>
          <t>2024</t>
        </is>
      </c>
      <c r="I2627" s="7" t="inlineStr">
        <is>
          <t>imffossilfuelsubsidiesdata.xlsb</t>
        </is>
      </c>
    </row>
    <row r="2628">
      <c r="A2628" s="7" t="inlineStr">
        <is>
          <t>TLS</t>
        </is>
      </c>
      <c r="B2628" s="7" t="inlineStr">
        <is>
          <t>Timor-Leste</t>
        </is>
      </c>
      <c r="C2628" s="7" t="inlineStr">
        <is>
          <t>East Asia &amp; Pacific</t>
        </is>
      </c>
      <c r="D2628" s="7" t="inlineStr">
        <is>
          <t>Lower middle income</t>
        </is>
      </c>
      <c r="E2628" s="7" t="b">
        <v>0</v>
      </c>
      <c r="F2628" s="7" t="inlineStr">
        <is>
          <t>price_gas_power_usd_gj</t>
        </is>
      </c>
      <c r="G2628" s="7" t="n">
        <v>7.751</v>
      </c>
      <c r="H2628" s="7" t="inlineStr">
        <is>
          <t>2024</t>
        </is>
      </c>
      <c r="I2628" s="7" t="inlineStr">
        <is>
          <t>imffossilfuelsubsidiesdata.xlsb</t>
        </is>
      </c>
    </row>
    <row r="2629">
      <c r="A2629" s="7" t="inlineStr">
        <is>
          <t>TON</t>
        </is>
      </c>
      <c r="B2629" s="7" t="inlineStr">
        <is>
          <t>Tonga</t>
        </is>
      </c>
      <c r="C2629" s="7" t="inlineStr">
        <is>
          <t>East Asia &amp; Pacific</t>
        </is>
      </c>
      <c r="D2629" s="7" t="inlineStr">
        <is>
          <t>Upper middle income</t>
        </is>
      </c>
      <c r="E2629" s="7" t="b">
        <v>0</v>
      </c>
      <c r="F2629" s="7" t="inlineStr">
        <is>
          <t>coal_rents_pct_gdp</t>
        </is>
      </c>
      <c r="G2629" s="7" t="n">
        <v>0</v>
      </c>
      <c r="H2629" s="7" t="inlineStr">
        <is>
          <t>2021</t>
        </is>
      </c>
      <c r="I2629" s="7" t="inlineStr">
        <is>
          <t>API_NY_GDP_COAL_RT_ZS_DS2_en_csv_v2_35370.zip</t>
        </is>
      </c>
    </row>
    <row r="2630">
      <c r="A2630" s="7" t="inlineStr">
        <is>
          <t>TON</t>
        </is>
      </c>
      <c r="B2630" s="7" t="inlineStr">
        <is>
          <t>Tonga</t>
        </is>
      </c>
      <c r="C2630" s="7" t="inlineStr">
        <is>
          <t>East Asia &amp; Pacific</t>
        </is>
      </c>
      <c r="D2630" s="7" t="inlineStr">
        <is>
          <t>Upper middle income</t>
        </is>
      </c>
      <c r="E2630" s="7" t="b">
        <v>0</v>
      </c>
      <c r="F2630" s="7" t="inlineStr">
        <is>
          <t>em_coal_mt</t>
        </is>
      </c>
      <c r="G2630" s="7" t="n">
        <v>0</v>
      </c>
      <c r="H2630" s="7" t="n">
        <v>2024</v>
      </c>
      <c r="I2630" s="7" t="inlineStr">
        <is>
          <t>release_generation_yearly_global.csv (Ember)</t>
        </is>
      </c>
    </row>
    <row r="2631">
      <c r="A2631" s="7" t="inlineStr">
        <is>
          <t>TON</t>
        </is>
      </c>
      <c r="B2631" s="7" t="inlineStr">
        <is>
          <t>Tonga</t>
        </is>
      </c>
      <c r="C2631" s="7" t="inlineStr">
        <is>
          <t>East Asia &amp; Pacific</t>
        </is>
      </c>
      <c r="D2631" s="7" t="inlineStr">
        <is>
          <t>Upper middle income</t>
        </is>
      </c>
      <c r="E2631" s="7" t="b">
        <v>0</v>
      </c>
      <c r="F2631" s="7" t="inlineStr">
        <is>
          <t>em_gas_mt</t>
        </is>
      </c>
      <c r="G2631" s="7" t="n">
        <v>0</v>
      </c>
      <c r="H2631" s="7" t="n">
        <v>2024</v>
      </c>
      <c r="I2631" s="7" t="inlineStr">
        <is>
          <t>release_generation_yearly_global.csv (Ember)</t>
        </is>
      </c>
    </row>
    <row r="2632">
      <c r="A2632" s="7" t="inlineStr">
        <is>
          <t>TON</t>
        </is>
      </c>
      <c r="B2632" s="7" t="inlineStr">
        <is>
          <t>Tonga</t>
        </is>
      </c>
      <c r="C2632" s="7" t="inlineStr">
        <is>
          <t>East Asia &amp; Pacific</t>
        </is>
      </c>
      <c r="D2632" s="7" t="inlineStr">
        <is>
          <t>Upper middle income</t>
        </is>
      </c>
      <c r="E2632" s="7" t="b">
        <v>0</v>
      </c>
      <c r="F2632" s="7" t="inlineStr">
        <is>
          <t>em_oil_mt</t>
        </is>
      </c>
      <c r="G2632" s="7" t="n">
        <v>0.039</v>
      </c>
      <c r="H2632" s="7" t="n">
        <v>2024</v>
      </c>
      <c r="I2632" s="7" t="inlineStr">
        <is>
          <t>release_generation_yearly_global.csv (Ember)</t>
        </is>
      </c>
    </row>
    <row r="2633">
      <c r="A2633" s="7" t="inlineStr">
        <is>
          <t>TON</t>
        </is>
      </c>
      <c r="B2633" s="7" t="inlineStr">
        <is>
          <t>Tonga</t>
        </is>
      </c>
      <c r="C2633" s="7" t="inlineStr">
        <is>
          <t>East Asia &amp; Pacific</t>
        </is>
      </c>
      <c r="D2633" s="7" t="inlineStr">
        <is>
          <t>Upper middle income</t>
        </is>
      </c>
      <c r="E2633" s="7" t="b">
        <v>0</v>
      </c>
      <c r="F2633" s="7" t="inlineStr">
        <is>
          <t>ff_subsidy_explicit_pct_gdp</t>
        </is>
      </c>
      <c r="G2633" s="7" t="n">
        <v>0</v>
      </c>
      <c r="H2633" s="7" t="inlineStr">
        <is>
          <t>2024</t>
        </is>
      </c>
      <c r="I2633" s="7" t="inlineStr">
        <is>
          <t>imffossilfuelsubsidiesdata.xlsb</t>
        </is>
      </c>
    </row>
    <row r="2634">
      <c r="A2634" s="7" t="inlineStr">
        <is>
          <t>TON</t>
        </is>
      </c>
      <c r="B2634" s="7" t="inlineStr">
        <is>
          <t>Tonga</t>
        </is>
      </c>
      <c r="C2634" s="7" t="inlineStr">
        <is>
          <t>East Asia &amp; Pacific</t>
        </is>
      </c>
      <c r="D2634" s="7" t="inlineStr">
        <is>
          <t>Upper middle income</t>
        </is>
      </c>
      <c r="E2634" s="7" t="b">
        <v>0</v>
      </c>
      <c r="F2634" s="7" t="inlineStr">
        <is>
          <t>fuel_exports_pct_merch</t>
        </is>
      </c>
      <c r="G2634" s="7" t="n">
        <v>0.008</v>
      </c>
      <c r="H2634" s="7" t="inlineStr">
        <is>
          <t>2023</t>
        </is>
      </c>
      <c r="I2634" s="7" t="inlineStr">
        <is>
          <t>API_TX_VAL_FUEL_ZS_UN_DS2_en_csv_v2_33055.zip</t>
        </is>
      </c>
    </row>
    <row r="2635">
      <c r="A2635" s="7" t="inlineStr">
        <is>
          <t>TON</t>
        </is>
      </c>
      <c r="B2635" s="7" t="inlineStr">
        <is>
          <t>Tonga</t>
        </is>
      </c>
      <c r="C2635" s="7" t="inlineStr">
        <is>
          <t>East Asia &amp; Pacific</t>
        </is>
      </c>
      <c r="D2635" s="7" t="inlineStr">
        <is>
          <t>Upper middle income</t>
        </is>
      </c>
      <c r="E2635" s="7" t="b">
        <v>0</v>
      </c>
      <c r="F2635" s="7" t="inlineStr">
        <is>
          <t>gen_coal_twh</t>
        </is>
      </c>
      <c r="G2635" s="7" t="n">
        <v>0</v>
      </c>
      <c r="H2635" s="7" t="n">
        <v>2024</v>
      </c>
      <c r="I2635" s="7" t="inlineStr">
        <is>
          <t>release_generation_yearly_global.csv (Ember)</t>
        </is>
      </c>
    </row>
    <row r="2636">
      <c r="A2636" s="7" t="inlineStr">
        <is>
          <t>TON</t>
        </is>
      </c>
      <c r="B2636" s="7" t="inlineStr">
        <is>
          <t>Tonga</t>
        </is>
      </c>
      <c r="C2636" s="7" t="inlineStr">
        <is>
          <t>East Asia &amp; Pacific</t>
        </is>
      </c>
      <c r="D2636" s="7" t="inlineStr">
        <is>
          <t>Upper middle income</t>
        </is>
      </c>
      <c r="E2636" s="7" t="b">
        <v>0</v>
      </c>
      <c r="F2636" s="7" t="inlineStr">
        <is>
          <t>gen_gas_twh</t>
        </is>
      </c>
      <c r="G2636" s="7" t="n">
        <v>0</v>
      </c>
      <c r="H2636" s="7" t="n">
        <v>2024</v>
      </c>
      <c r="I2636" s="7" t="inlineStr">
        <is>
          <t>release_generation_yearly_global.csv (Ember)</t>
        </is>
      </c>
    </row>
    <row r="2637">
      <c r="A2637" s="7" t="inlineStr">
        <is>
          <t>TON</t>
        </is>
      </c>
      <c r="B2637" s="7" t="inlineStr">
        <is>
          <t>Tonga</t>
        </is>
      </c>
      <c r="C2637" s="7" t="inlineStr">
        <is>
          <t>East Asia &amp; Pacific</t>
        </is>
      </c>
      <c r="D2637" s="7" t="inlineStr">
        <is>
          <t>Upper middle income</t>
        </is>
      </c>
      <c r="E2637" s="7" t="b">
        <v>0</v>
      </c>
      <c r="F2637" s="7" t="inlineStr">
        <is>
          <t>gen_oil_twh</t>
        </is>
      </c>
      <c r="G2637" s="7" t="n">
        <v>0.06</v>
      </c>
      <c r="H2637" s="7" t="n">
        <v>2024</v>
      </c>
      <c r="I2637" s="7" t="inlineStr">
        <is>
          <t>release_generation_yearly_global.csv (Ember)</t>
        </is>
      </c>
    </row>
    <row r="2638">
      <c r="A2638" s="7" t="inlineStr">
        <is>
          <t>TON</t>
        </is>
      </c>
      <c r="B2638" s="7" t="inlineStr">
        <is>
          <t>Tonga</t>
        </is>
      </c>
      <c r="C2638" s="7" t="inlineStr">
        <is>
          <t>East Asia &amp; Pacific</t>
        </is>
      </c>
      <c r="D2638" s="7" t="inlineStr">
        <is>
          <t>Upper middle income</t>
        </is>
      </c>
      <c r="E2638" s="7" t="b">
        <v>0</v>
      </c>
      <c r="F2638" s="7" t="inlineStr">
        <is>
          <t>gen_total_twh</t>
        </is>
      </c>
      <c r="G2638" s="7" t="n">
        <v>0.07000000000000001</v>
      </c>
      <c r="H2638" s="7" t="n">
        <v>2024</v>
      </c>
      <c r="I2638" s="7" t="inlineStr">
        <is>
          <t>release_generation_yearly_global.csv (Ember)</t>
        </is>
      </c>
    </row>
    <row r="2639">
      <c r="A2639" s="7" t="inlineStr">
        <is>
          <t>TON</t>
        </is>
      </c>
      <c r="B2639" s="7" t="inlineStr">
        <is>
          <t>Tonga</t>
        </is>
      </c>
      <c r="C2639" s="7" t="inlineStr">
        <is>
          <t>East Asia &amp; Pacific</t>
        </is>
      </c>
      <c r="D2639" s="7" t="inlineStr">
        <is>
          <t>Upper middle income</t>
        </is>
      </c>
      <c r="E2639" s="7" t="b">
        <v>0</v>
      </c>
      <c r="F2639" s="7" t="inlineStr">
        <is>
          <t>power_market_structure</t>
        </is>
      </c>
      <c r="G2639" s="7" t="n">
        <v>2</v>
      </c>
      <c r="H2639" s="7" t="inlineStr">
        <is>
          <t>2013</t>
        </is>
      </c>
      <c r="I2639" s="7" t="inlineStr">
        <is>
          <t>dataverse_files.zip</t>
        </is>
      </c>
    </row>
    <row r="2640">
      <c r="A2640" s="7" t="inlineStr">
        <is>
          <t>TON</t>
        </is>
      </c>
      <c r="B2640" s="7" t="inlineStr">
        <is>
          <t>Tonga</t>
        </is>
      </c>
      <c r="C2640" s="7" t="inlineStr">
        <is>
          <t>East Asia &amp; Pacific</t>
        </is>
      </c>
      <c r="D2640" s="7" t="inlineStr">
        <is>
          <t>Upper middle income</t>
        </is>
      </c>
      <c r="E2640" s="7" t="b">
        <v>0</v>
      </c>
      <c r="F2640" s="7" t="inlineStr">
        <is>
          <t>price_coal_power_usd_gj</t>
        </is>
      </c>
      <c r="G2640" s="7" t="n">
        <v>4.833</v>
      </c>
      <c r="H2640" s="7" t="inlineStr">
        <is>
          <t>2024</t>
        </is>
      </c>
      <c r="I2640" s="7" t="inlineStr">
        <is>
          <t>imffossilfuelsubsidiesdata.xlsb</t>
        </is>
      </c>
    </row>
    <row r="2641">
      <c r="A2641" s="7" t="inlineStr">
        <is>
          <t>TON</t>
        </is>
      </c>
      <c r="B2641" s="7" t="inlineStr">
        <is>
          <t>Tonga</t>
        </is>
      </c>
      <c r="C2641" s="7" t="inlineStr">
        <is>
          <t>East Asia &amp; Pacific</t>
        </is>
      </c>
      <c r="D2641" s="7" t="inlineStr">
        <is>
          <t>Upper middle income</t>
        </is>
      </c>
      <c r="E2641" s="7" t="b">
        <v>0</v>
      </c>
      <c r="F2641" s="7" t="inlineStr">
        <is>
          <t>price_electricity_residential_usd_kwh</t>
        </is>
      </c>
      <c r="G2641" s="7" t="n">
        <v>0.316</v>
      </c>
      <c r="H2641" s="7" t="inlineStr">
        <is>
          <t>2024</t>
        </is>
      </c>
      <c r="I2641" s="7" t="inlineStr">
        <is>
          <t>imffossilfuelsubsidiesdata.xlsb</t>
        </is>
      </c>
    </row>
    <row r="2642">
      <c r="A2642" s="7" t="inlineStr">
        <is>
          <t>TON</t>
        </is>
      </c>
      <c r="B2642" s="7" t="inlineStr">
        <is>
          <t>Tonga</t>
        </is>
      </c>
      <c r="C2642" s="7" t="inlineStr">
        <is>
          <t>East Asia &amp; Pacific</t>
        </is>
      </c>
      <c r="D2642" s="7" t="inlineStr">
        <is>
          <t>Upper middle income</t>
        </is>
      </c>
      <c r="E2642" s="7" t="b">
        <v>0</v>
      </c>
      <c r="F2642" s="7" t="inlineStr">
        <is>
          <t>price_gas_industry_usd_gj</t>
        </is>
      </c>
      <c r="G2642" s="7" t="n">
        <v>7.788</v>
      </c>
      <c r="H2642" s="7" t="inlineStr">
        <is>
          <t>2024</t>
        </is>
      </c>
      <c r="I2642" s="7" t="inlineStr">
        <is>
          <t>imffossilfuelsubsidiesdata.xlsb</t>
        </is>
      </c>
    </row>
    <row r="2643">
      <c r="A2643" s="7" t="inlineStr">
        <is>
          <t>TON</t>
        </is>
      </c>
      <c r="B2643" s="7" t="inlineStr">
        <is>
          <t>Tonga</t>
        </is>
      </c>
      <c r="C2643" s="7" t="inlineStr">
        <is>
          <t>East Asia &amp; Pacific</t>
        </is>
      </c>
      <c r="D2643" s="7" t="inlineStr">
        <is>
          <t>Upper middle income</t>
        </is>
      </c>
      <c r="E2643" s="7" t="b">
        <v>0</v>
      </c>
      <c r="F2643" s="7" t="inlineStr">
        <is>
          <t>price_gas_power_usd_gj</t>
        </is>
      </c>
      <c r="G2643" s="7" t="n">
        <v>6.465</v>
      </c>
      <c r="H2643" s="7" t="inlineStr">
        <is>
          <t>2024</t>
        </is>
      </c>
      <c r="I2643" s="7" t="inlineStr">
        <is>
          <t>imffossilfuelsubsidiesdata.xlsb</t>
        </is>
      </c>
    </row>
    <row r="2644">
      <c r="A2644" s="7" t="inlineStr">
        <is>
          <t>TTO</t>
        </is>
      </c>
      <c r="B2644" s="7" t="inlineStr">
        <is>
          <t>Trinidad and Tobago</t>
        </is>
      </c>
      <c r="C2644" s="7" t="inlineStr">
        <is>
          <t>Latin America &amp; Caribbean</t>
        </is>
      </c>
      <c r="D2644" s="7" t="inlineStr">
        <is>
          <t>High income</t>
        </is>
      </c>
      <c r="E2644" s="7" t="b">
        <v>0</v>
      </c>
      <c r="F2644" s="7" t="inlineStr">
        <is>
          <t>coal_rents_pct_gdp</t>
        </is>
      </c>
      <c r="G2644" s="7" t="n">
        <v>0</v>
      </c>
      <c r="H2644" s="7" t="inlineStr">
        <is>
          <t>2021</t>
        </is>
      </c>
      <c r="I2644" s="7" t="inlineStr">
        <is>
          <t>API_NY_GDP_COAL_RT_ZS_DS2_en_csv_v2_35370.zip</t>
        </is>
      </c>
    </row>
    <row r="2645">
      <c r="A2645" s="7" t="inlineStr">
        <is>
          <t>TTO</t>
        </is>
      </c>
      <c r="B2645" s="7" t="inlineStr">
        <is>
          <t>Trinidad and Tobago</t>
        </is>
      </c>
      <c r="C2645" s="7" t="inlineStr">
        <is>
          <t>Latin America &amp; Caribbean</t>
        </is>
      </c>
      <c r="D2645" s="7" t="inlineStr">
        <is>
          <t>High income</t>
        </is>
      </c>
      <c r="E2645" s="7" t="b">
        <v>0</v>
      </c>
      <c r="F2645" s="7" t="inlineStr">
        <is>
          <t>em_coal_mt</t>
        </is>
      </c>
      <c r="G2645" s="7" t="n">
        <v>0</v>
      </c>
      <c r="H2645" s="7" t="n">
        <v>2024</v>
      </c>
      <c r="I2645" s="7" t="inlineStr">
        <is>
          <t>release_generation_yearly_global.csv (Ember)</t>
        </is>
      </c>
    </row>
    <row r="2646">
      <c r="A2646" s="7" t="inlineStr">
        <is>
          <t>TTO</t>
        </is>
      </c>
      <c r="B2646" s="7" t="inlineStr">
        <is>
          <t>Trinidad and Tobago</t>
        </is>
      </c>
      <c r="C2646" s="7" t="inlineStr">
        <is>
          <t>Latin America &amp; Caribbean</t>
        </is>
      </c>
      <c r="D2646" s="7" t="inlineStr">
        <is>
          <t>High income</t>
        </is>
      </c>
      <c r="E2646" s="7" t="b">
        <v>0</v>
      </c>
      <c r="F2646" s="7" t="inlineStr">
        <is>
          <t>em_gas_mt</t>
        </is>
      </c>
      <c r="G2646" s="7" t="n">
        <v>6.479</v>
      </c>
      <c r="H2646" s="7" t="n">
        <v>2024</v>
      </c>
      <c r="I2646" s="7" t="inlineStr">
        <is>
          <t>release_generation_yearly_global.csv (Ember)</t>
        </is>
      </c>
    </row>
    <row r="2647">
      <c r="A2647" s="7" t="inlineStr">
        <is>
          <t>TTO</t>
        </is>
      </c>
      <c r="B2647" s="7" t="inlineStr">
        <is>
          <t>Trinidad and Tobago</t>
        </is>
      </c>
      <c r="C2647" s="7" t="inlineStr">
        <is>
          <t>Latin America &amp; Caribbean</t>
        </is>
      </c>
      <c r="D2647" s="7" t="inlineStr">
        <is>
          <t>High income</t>
        </is>
      </c>
      <c r="E2647" s="7" t="b">
        <v>0</v>
      </c>
      <c r="F2647" s="7" t="inlineStr">
        <is>
          <t>em_oil_mt</t>
        </is>
      </c>
      <c r="G2647" s="7" t="n">
        <v>0.026</v>
      </c>
      <c r="H2647" s="7" t="n">
        <v>2024</v>
      </c>
      <c r="I2647" s="7" t="inlineStr">
        <is>
          <t>release_generation_yearly_global.csv (Ember)</t>
        </is>
      </c>
    </row>
    <row r="2648">
      <c r="A2648" s="7" t="inlineStr">
        <is>
          <t>TTO</t>
        </is>
      </c>
      <c r="B2648" s="7" t="inlineStr">
        <is>
          <t>Trinidad and Tobago</t>
        </is>
      </c>
      <c r="C2648" s="7" t="inlineStr">
        <is>
          <t>Latin America &amp; Caribbean</t>
        </is>
      </c>
      <c r="D2648" s="7" t="inlineStr">
        <is>
          <t>High income</t>
        </is>
      </c>
      <c r="E2648" s="7" t="b">
        <v>0</v>
      </c>
      <c r="F2648" s="7" t="inlineStr">
        <is>
          <t>ff_subsidy_explicit_pct_gdp</t>
        </is>
      </c>
      <c r="G2648" s="7" t="n">
        <v>2.082</v>
      </c>
      <c r="H2648" s="7" t="inlineStr">
        <is>
          <t>2024</t>
        </is>
      </c>
      <c r="I2648" s="7" t="inlineStr">
        <is>
          <t>imffossilfuelsubsidiesdata.xlsb</t>
        </is>
      </c>
    </row>
    <row r="2649">
      <c r="A2649" s="7" t="inlineStr">
        <is>
          <t>TTO</t>
        </is>
      </c>
      <c r="B2649" s="7" t="inlineStr">
        <is>
          <t>Trinidad and Tobago</t>
        </is>
      </c>
      <c r="C2649" s="7" t="inlineStr">
        <is>
          <t>Latin America &amp; Caribbean</t>
        </is>
      </c>
      <c r="D2649" s="7" t="inlineStr">
        <is>
          <t>High income</t>
        </is>
      </c>
      <c r="E2649" s="7" t="b">
        <v>0</v>
      </c>
      <c r="F2649" s="7" t="inlineStr">
        <is>
          <t>fuel_exports_pct_merch</t>
        </is>
      </c>
      <c r="G2649" s="7" t="n">
        <v>31.31</v>
      </c>
      <c r="H2649" s="7" t="inlineStr">
        <is>
          <t>2024</t>
        </is>
      </c>
      <c r="I2649" s="7" t="inlineStr">
        <is>
          <t>API_TX_VAL_FUEL_ZS_UN_DS2_en_csv_v2_33055.zip</t>
        </is>
      </c>
    </row>
    <row r="2650">
      <c r="A2650" s="7" t="inlineStr">
        <is>
          <t>TTO</t>
        </is>
      </c>
      <c r="B2650" s="7" t="inlineStr">
        <is>
          <t>Trinidad and Tobago</t>
        </is>
      </c>
      <c r="C2650" s="7" t="inlineStr">
        <is>
          <t>Latin America &amp; Caribbean</t>
        </is>
      </c>
      <c r="D2650" s="7" t="inlineStr">
        <is>
          <t>High income</t>
        </is>
      </c>
      <c r="E2650" s="7" t="b">
        <v>0</v>
      </c>
      <c r="F2650" s="7" t="inlineStr">
        <is>
          <t>gen_coal_twh</t>
        </is>
      </c>
      <c r="G2650" s="7" t="n">
        <v>0</v>
      </c>
      <c r="H2650" s="7" t="n">
        <v>2024</v>
      </c>
      <c r="I2650" s="7" t="inlineStr">
        <is>
          <t>release_generation_yearly_global.csv (Ember)</t>
        </is>
      </c>
    </row>
    <row r="2651">
      <c r="A2651" s="7" t="inlineStr">
        <is>
          <t>TTO</t>
        </is>
      </c>
      <c r="B2651" s="7" t="inlineStr">
        <is>
          <t>Trinidad and Tobago</t>
        </is>
      </c>
      <c r="C2651" s="7" t="inlineStr">
        <is>
          <t>Latin America &amp; Caribbean</t>
        </is>
      </c>
      <c r="D2651" s="7" t="inlineStr">
        <is>
          <t>High income</t>
        </is>
      </c>
      <c r="E2651" s="7" t="b">
        <v>0</v>
      </c>
      <c r="F2651" s="7" t="inlineStr">
        <is>
          <t>gen_gas_twh</t>
        </is>
      </c>
      <c r="G2651" s="7" t="n">
        <v>9.5</v>
      </c>
      <c r="H2651" s="7" t="n">
        <v>2024</v>
      </c>
      <c r="I2651" s="7" t="inlineStr">
        <is>
          <t>release_generation_yearly_global.csv (Ember)</t>
        </is>
      </c>
    </row>
    <row r="2652">
      <c r="A2652" s="7" t="inlineStr">
        <is>
          <t>TTO</t>
        </is>
      </c>
      <c r="B2652" s="7" t="inlineStr">
        <is>
          <t>Trinidad and Tobago</t>
        </is>
      </c>
      <c r="C2652" s="7" t="inlineStr">
        <is>
          <t>Latin America &amp; Caribbean</t>
        </is>
      </c>
      <c r="D2652" s="7" t="inlineStr">
        <is>
          <t>High income</t>
        </is>
      </c>
      <c r="E2652" s="7" t="b">
        <v>0</v>
      </c>
      <c r="F2652" s="7" t="inlineStr">
        <is>
          <t>gen_oil_twh</t>
        </is>
      </c>
      <c r="G2652" s="7" t="n">
        <v>0.04</v>
      </c>
      <c r="H2652" s="7" t="n">
        <v>2024</v>
      </c>
      <c r="I2652" s="7" t="inlineStr">
        <is>
          <t>release_generation_yearly_global.csv (Ember)</t>
        </is>
      </c>
    </row>
    <row r="2653">
      <c r="A2653" s="7" t="inlineStr">
        <is>
          <t>TTO</t>
        </is>
      </c>
      <c r="B2653" s="7" t="inlineStr">
        <is>
          <t>Trinidad and Tobago</t>
        </is>
      </c>
      <c r="C2653" s="7" t="inlineStr">
        <is>
          <t>Latin America &amp; Caribbean</t>
        </is>
      </c>
      <c r="D2653" s="7" t="inlineStr">
        <is>
          <t>High income</t>
        </is>
      </c>
      <c r="E2653" s="7" t="b">
        <v>0</v>
      </c>
      <c r="F2653" s="7" t="inlineStr">
        <is>
          <t>gen_total_twh</t>
        </is>
      </c>
      <c r="G2653" s="7" t="n">
        <v>9.550000000000001</v>
      </c>
      <c r="H2653" s="7" t="n">
        <v>2024</v>
      </c>
      <c r="I2653" s="7" t="inlineStr">
        <is>
          <t>release_generation_yearly_global.csv (Ember)</t>
        </is>
      </c>
    </row>
    <row r="2654">
      <c r="A2654" s="7" t="inlineStr">
        <is>
          <t>TTO</t>
        </is>
      </c>
      <c r="B2654" s="7" t="inlineStr">
        <is>
          <t>Trinidad and Tobago</t>
        </is>
      </c>
      <c r="C2654" s="7" t="inlineStr">
        <is>
          <t>Latin America &amp; Caribbean</t>
        </is>
      </c>
      <c r="D2654" s="7" t="inlineStr">
        <is>
          <t>High income</t>
        </is>
      </c>
      <c r="E2654" s="7" t="b">
        <v>0</v>
      </c>
      <c r="F2654" s="7" t="inlineStr">
        <is>
          <t>power_market_structure</t>
        </is>
      </c>
      <c r="G2654" s="7" t="n">
        <v>2</v>
      </c>
      <c r="H2654" s="7" t="inlineStr">
        <is>
          <t>2013</t>
        </is>
      </c>
      <c r="I2654" s="7" t="inlineStr">
        <is>
          <t>dataverse_files.zip</t>
        </is>
      </c>
    </row>
    <row r="2655">
      <c r="A2655" s="7" t="inlineStr">
        <is>
          <t>TTO</t>
        </is>
      </c>
      <c r="B2655" s="7" t="inlineStr">
        <is>
          <t>Trinidad and Tobago</t>
        </is>
      </c>
      <c r="C2655" s="7" t="inlineStr">
        <is>
          <t>Latin America &amp; Caribbean</t>
        </is>
      </c>
      <c r="D2655" s="7" t="inlineStr">
        <is>
          <t>High income</t>
        </is>
      </c>
      <c r="E2655" s="7" t="b">
        <v>0</v>
      </c>
      <c r="F2655" s="7" t="inlineStr">
        <is>
          <t>price_coal_power_usd_gj</t>
        </is>
      </c>
      <c r="G2655" s="7" t="n">
        <v>5.575</v>
      </c>
      <c r="H2655" s="7" t="inlineStr">
        <is>
          <t>2024</t>
        </is>
      </c>
      <c r="I2655" s="7" t="inlineStr">
        <is>
          <t>imffossilfuelsubsidiesdata.xlsb</t>
        </is>
      </c>
    </row>
    <row r="2656">
      <c r="A2656" s="7" t="inlineStr">
        <is>
          <t>TTO</t>
        </is>
      </c>
      <c r="B2656" s="7" t="inlineStr">
        <is>
          <t>Trinidad and Tobago</t>
        </is>
      </c>
      <c r="C2656" s="7" t="inlineStr">
        <is>
          <t>Latin America &amp; Caribbean</t>
        </is>
      </c>
      <c r="D2656" s="7" t="inlineStr">
        <is>
          <t>High income</t>
        </is>
      </c>
      <c r="E2656" s="7" t="b">
        <v>0</v>
      </c>
      <c r="F2656" s="7" t="inlineStr">
        <is>
          <t>price_electricity_residential_usd_kwh</t>
        </is>
      </c>
      <c r="G2656" s="7" t="n">
        <v>0.055</v>
      </c>
      <c r="H2656" s="7" t="inlineStr">
        <is>
          <t>2024</t>
        </is>
      </c>
      <c r="I2656" s="7" t="inlineStr">
        <is>
          <t>imffossilfuelsubsidiesdata.xlsb</t>
        </is>
      </c>
    </row>
    <row r="2657">
      <c r="A2657" s="7" t="inlineStr">
        <is>
          <t>TTO</t>
        </is>
      </c>
      <c r="B2657" s="7" t="inlineStr">
        <is>
          <t>Trinidad and Tobago</t>
        </is>
      </c>
      <c r="C2657" s="7" t="inlineStr">
        <is>
          <t>Latin America &amp; Caribbean</t>
        </is>
      </c>
      <c r="D2657" s="7" t="inlineStr">
        <is>
          <t>High income</t>
        </is>
      </c>
      <c r="E2657" s="7" t="b">
        <v>0</v>
      </c>
      <c r="F2657" s="7" t="inlineStr">
        <is>
          <t>price_gas_industry_usd_gj</t>
        </is>
      </c>
      <c r="G2657" s="7" t="n">
        <v>8.922000000000001</v>
      </c>
      <c r="H2657" s="7" t="inlineStr">
        <is>
          <t>2024</t>
        </is>
      </c>
      <c r="I2657" s="7" t="inlineStr">
        <is>
          <t>imffossilfuelsubsidiesdata.xlsb</t>
        </is>
      </c>
    </row>
    <row r="2658">
      <c r="A2658" s="7" t="inlineStr">
        <is>
          <t>TTO</t>
        </is>
      </c>
      <c r="B2658" s="7" t="inlineStr">
        <is>
          <t>Trinidad and Tobago</t>
        </is>
      </c>
      <c r="C2658" s="7" t="inlineStr">
        <is>
          <t>Latin America &amp; Caribbean</t>
        </is>
      </c>
      <c r="D2658" s="7" t="inlineStr">
        <is>
          <t>High income</t>
        </is>
      </c>
      <c r="E2658" s="7" t="b">
        <v>0</v>
      </c>
      <c r="F2658" s="7" t="inlineStr">
        <is>
          <t>price_gas_power_usd_gj</t>
        </is>
      </c>
      <c r="G2658" s="7" t="n">
        <v>8.26</v>
      </c>
      <c r="H2658" s="7" t="inlineStr">
        <is>
          <t>2024</t>
        </is>
      </c>
      <c r="I2658" s="7" t="inlineStr">
        <is>
          <t>imffossilfuelsubsidiesdata.xlsb</t>
        </is>
      </c>
    </row>
    <row r="2659">
      <c r="A2659" s="7" t="inlineStr">
        <is>
          <t>TUN</t>
        </is>
      </c>
      <c r="B2659" s="7" t="inlineStr">
        <is>
          <t>Tunisia</t>
        </is>
      </c>
      <c r="C2659" s="7" t="inlineStr">
        <is>
          <t>Middle East &amp; North Africa</t>
        </is>
      </c>
      <c r="D2659" s="7" t="inlineStr">
        <is>
          <t>Lower middle income</t>
        </is>
      </c>
      <c r="E2659" s="7" t="b">
        <v>1</v>
      </c>
      <c r="F2659" s="7" t="inlineStr">
        <is>
          <t>coal_rents_pct_gdp</t>
        </is>
      </c>
      <c r="G2659" s="7" t="n">
        <v>0</v>
      </c>
      <c r="H2659" s="7" t="inlineStr">
        <is>
          <t>2021</t>
        </is>
      </c>
      <c r="I2659" s="7" t="inlineStr">
        <is>
          <t>API_NY_GDP_COAL_RT_ZS_DS2_en_csv_v2_35370.zip</t>
        </is>
      </c>
    </row>
    <row r="2660">
      <c r="A2660" s="7" t="inlineStr">
        <is>
          <t>TUN</t>
        </is>
      </c>
      <c r="B2660" s="7" t="inlineStr">
        <is>
          <t>Tunisia</t>
        </is>
      </c>
      <c r="C2660" s="7" t="inlineStr">
        <is>
          <t>Middle East &amp; North Africa</t>
        </is>
      </c>
      <c r="D2660" s="7" t="inlineStr">
        <is>
          <t>Lower middle income</t>
        </is>
      </c>
      <c r="E2660" s="7" t="b">
        <v>1</v>
      </c>
      <c r="F2660" s="7" t="inlineStr">
        <is>
          <t>em_coal_mt</t>
        </is>
      </c>
      <c r="G2660" s="7" t="n">
        <v>0</v>
      </c>
      <c r="H2660" s="7" t="n">
        <v>2024</v>
      </c>
      <c r="I2660" s="7" t="inlineStr">
        <is>
          <t>release_generation_yearly_global.csv (Ember)</t>
        </is>
      </c>
    </row>
    <row r="2661">
      <c r="A2661" s="7" t="inlineStr">
        <is>
          <t>TUN</t>
        </is>
      </c>
      <c r="B2661" s="7" t="inlineStr">
        <is>
          <t>Tunisia</t>
        </is>
      </c>
      <c r="C2661" s="7" t="inlineStr">
        <is>
          <t>Middle East &amp; North Africa</t>
        </is>
      </c>
      <c r="D2661" s="7" t="inlineStr">
        <is>
          <t>Lower middle income</t>
        </is>
      </c>
      <c r="E2661" s="7" t="b">
        <v>1</v>
      </c>
      <c r="F2661" s="7" t="inlineStr">
        <is>
          <t>em_gas_mt</t>
        </is>
      </c>
      <c r="G2661" s="7" t="n">
        <v>11.745</v>
      </c>
      <c r="H2661" s="7" t="n">
        <v>2024</v>
      </c>
      <c r="I2661" s="7" t="inlineStr">
        <is>
          <t>release_generation_yearly_global.csv (Ember)</t>
        </is>
      </c>
    </row>
    <row r="2662">
      <c r="A2662" s="7" t="inlineStr">
        <is>
          <t>TUN</t>
        </is>
      </c>
      <c r="B2662" s="7" t="inlineStr">
        <is>
          <t>Tunisia</t>
        </is>
      </c>
      <c r="C2662" s="7" t="inlineStr">
        <is>
          <t>Middle East &amp; North Africa</t>
        </is>
      </c>
      <c r="D2662" s="7" t="inlineStr">
        <is>
          <t>Lower middle income</t>
        </is>
      </c>
      <c r="E2662" s="7" t="b">
        <v>1</v>
      </c>
      <c r="F2662" s="7" t="inlineStr">
        <is>
          <t>em_oil_mt</t>
        </is>
      </c>
      <c r="G2662" s="7" t="n">
        <v>0.151</v>
      </c>
      <c r="H2662" s="7" t="n">
        <v>2024</v>
      </c>
      <c r="I2662" s="7" t="inlineStr">
        <is>
          <t>release_generation_yearly_global.csv (Ember)</t>
        </is>
      </c>
    </row>
    <row r="2663">
      <c r="A2663" s="7" t="inlineStr">
        <is>
          <t>TUN</t>
        </is>
      </c>
      <c r="B2663" s="7" t="inlineStr">
        <is>
          <t>Tunisia</t>
        </is>
      </c>
      <c r="C2663" s="7" t="inlineStr">
        <is>
          <t>Middle East &amp; North Africa</t>
        </is>
      </c>
      <c r="D2663" s="7" t="inlineStr">
        <is>
          <t>Lower middle income</t>
        </is>
      </c>
      <c r="E2663" s="7" t="b">
        <v>1</v>
      </c>
      <c r="F2663" s="7" t="inlineStr">
        <is>
          <t>ff_subsidy_explicit_pct_gdp</t>
        </is>
      </c>
      <c r="G2663" s="7" t="n">
        <v>5.178</v>
      </c>
      <c r="H2663" s="7" t="inlineStr">
        <is>
          <t>2024</t>
        </is>
      </c>
      <c r="I2663" s="7" t="inlineStr">
        <is>
          <t>imffossilfuelsubsidiesdata.xlsb</t>
        </is>
      </c>
    </row>
    <row r="2664">
      <c r="A2664" s="7" t="inlineStr">
        <is>
          <t>TUN</t>
        </is>
      </c>
      <c r="B2664" s="7" t="inlineStr">
        <is>
          <t>Tunisia</t>
        </is>
      </c>
      <c r="C2664" s="7" t="inlineStr">
        <is>
          <t>Middle East &amp; North Africa</t>
        </is>
      </c>
      <c r="D2664" s="7" t="inlineStr">
        <is>
          <t>Lower middle income</t>
        </is>
      </c>
      <c r="E2664" s="7" t="b">
        <v>1</v>
      </c>
      <c r="F2664" s="7" t="inlineStr">
        <is>
          <t>fuel_exports_pct_merch</t>
        </is>
      </c>
      <c r="G2664" s="7" t="n">
        <v>6.232</v>
      </c>
      <c r="H2664" s="7" t="inlineStr">
        <is>
          <t>2024</t>
        </is>
      </c>
      <c r="I2664" s="7" t="inlineStr">
        <is>
          <t>API_TX_VAL_FUEL_ZS_UN_DS2_en_csv_v2_33055.zip</t>
        </is>
      </c>
    </row>
    <row r="2665">
      <c r="A2665" s="7" t="inlineStr">
        <is>
          <t>TUN</t>
        </is>
      </c>
      <c r="B2665" s="7" t="inlineStr">
        <is>
          <t>Tunisia</t>
        </is>
      </c>
      <c r="C2665" s="7" t="inlineStr">
        <is>
          <t>Middle East &amp; North Africa</t>
        </is>
      </c>
      <c r="D2665" s="7" t="inlineStr">
        <is>
          <t>Lower middle income</t>
        </is>
      </c>
      <c r="E2665" s="7" t="b">
        <v>1</v>
      </c>
      <c r="F2665" s="7" t="inlineStr">
        <is>
          <t>gen_coal_twh</t>
        </is>
      </c>
      <c r="G2665" s="7" t="n">
        <v>0</v>
      </c>
      <c r="H2665" s="7" t="n">
        <v>2024</v>
      </c>
      <c r="I2665" s="7" t="inlineStr">
        <is>
          <t>release_generation_yearly_global.csv (Ember)</t>
        </is>
      </c>
    </row>
    <row r="2666">
      <c r="A2666" s="7" t="inlineStr">
        <is>
          <t>TUN</t>
        </is>
      </c>
      <c r="B2666" s="7" t="inlineStr">
        <is>
          <t>Tunisia</t>
        </is>
      </c>
      <c r="C2666" s="7" t="inlineStr">
        <is>
          <t>Middle East &amp; North Africa</t>
        </is>
      </c>
      <c r="D2666" s="7" t="inlineStr">
        <is>
          <t>Lower middle income</t>
        </is>
      </c>
      <c r="E2666" s="7" t="b">
        <v>1</v>
      </c>
      <c r="F2666" s="7" t="inlineStr">
        <is>
          <t>gen_gas_twh</t>
        </is>
      </c>
      <c r="G2666" s="7" t="n">
        <v>20.2</v>
      </c>
      <c r="H2666" s="7" t="n">
        <v>2024</v>
      </c>
      <c r="I2666" s="7" t="inlineStr">
        <is>
          <t>release_generation_yearly_global.csv (Ember)</t>
        </is>
      </c>
    </row>
    <row r="2667">
      <c r="A2667" s="7" t="inlineStr">
        <is>
          <t>TUN</t>
        </is>
      </c>
      <c r="B2667" s="7" t="inlineStr">
        <is>
          <t>Tunisia</t>
        </is>
      </c>
      <c r="C2667" s="7" t="inlineStr">
        <is>
          <t>Middle East &amp; North Africa</t>
        </is>
      </c>
      <c r="D2667" s="7" t="inlineStr">
        <is>
          <t>Lower middle income</t>
        </is>
      </c>
      <c r="E2667" s="7" t="b">
        <v>1</v>
      </c>
      <c r="F2667" s="7" t="inlineStr">
        <is>
          <t>gen_oil_twh</t>
        </is>
      </c>
      <c r="G2667" s="7" t="n">
        <v>0.23</v>
      </c>
      <c r="H2667" s="7" t="n">
        <v>2024</v>
      </c>
      <c r="I2667" s="7" t="inlineStr">
        <is>
          <t>release_generation_yearly_global.csv (Ember)</t>
        </is>
      </c>
    </row>
    <row r="2668">
      <c r="A2668" s="7" t="inlineStr">
        <is>
          <t>TUN</t>
        </is>
      </c>
      <c r="B2668" s="7" t="inlineStr">
        <is>
          <t>Tunisia</t>
        </is>
      </c>
      <c r="C2668" s="7" t="inlineStr">
        <is>
          <t>Middle East &amp; North Africa</t>
        </is>
      </c>
      <c r="D2668" s="7" t="inlineStr">
        <is>
          <t>Lower middle income</t>
        </is>
      </c>
      <c r="E2668" s="7" t="b">
        <v>1</v>
      </c>
      <c r="F2668" s="7" t="inlineStr">
        <is>
          <t>gen_total_twh</t>
        </is>
      </c>
      <c r="G2668" s="7" t="n">
        <v>21.37</v>
      </c>
      <c r="H2668" s="7" t="n">
        <v>2024</v>
      </c>
      <c r="I2668" s="7" t="inlineStr">
        <is>
          <t>release_generation_yearly_global.csv (Ember)</t>
        </is>
      </c>
    </row>
    <row r="2669">
      <c r="A2669" s="7" t="inlineStr">
        <is>
          <t>TUN</t>
        </is>
      </c>
      <c r="B2669" s="7" t="inlineStr">
        <is>
          <t>Tunisia</t>
        </is>
      </c>
      <c r="C2669" s="7" t="inlineStr">
        <is>
          <t>Middle East &amp; North Africa</t>
        </is>
      </c>
      <c r="D2669" s="7" t="inlineStr">
        <is>
          <t>Lower middle income</t>
        </is>
      </c>
      <c r="E2669" s="7" t="b">
        <v>1</v>
      </c>
      <c r="F2669" s="7" t="inlineStr">
        <is>
          <t>power_market_structure</t>
        </is>
      </c>
      <c r="G2669" s="7" t="n">
        <v>2</v>
      </c>
      <c r="H2669" s="7" t="inlineStr">
        <is>
          <t>2013</t>
        </is>
      </c>
      <c r="I2669" s="7" t="inlineStr">
        <is>
          <t>dataverse_files.zip</t>
        </is>
      </c>
    </row>
    <row r="2670">
      <c r="A2670" s="7" t="inlineStr">
        <is>
          <t>TUN</t>
        </is>
      </c>
      <c r="B2670" s="7" t="inlineStr">
        <is>
          <t>Tunisia</t>
        </is>
      </c>
      <c r="C2670" s="7" t="inlineStr">
        <is>
          <t>Middle East &amp; North Africa</t>
        </is>
      </c>
      <c r="D2670" s="7" t="inlineStr">
        <is>
          <t>Lower middle income</t>
        </is>
      </c>
      <c r="E2670" s="7" t="b">
        <v>1</v>
      </c>
      <c r="F2670" s="7" t="inlineStr">
        <is>
          <t>price_coal_power_usd_gj</t>
        </is>
      </c>
      <c r="G2670" s="7" t="n">
        <v>5.575</v>
      </c>
      <c r="H2670" s="7" t="inlineStr">
        <is>
          <t>2024</t>
        </is>
      </c>
      <c r="I2670" s="7" t="inlineStr">
        <is>
          <t>imffossilfuelsubsidiesdata.xlsb</t>
        </is>
      </c>
    </row>
    <row r="2671">
      <c r="A2671" s="7" t="inlineStr">
        <is>
          <t>TUN</t>
        </is>
      </c>
      <c r="B2671" s="7" t="inlineStr">
        <is>
          <t>Tunisia</t>
        </is>
      </c>
      <c r="C2671" s="7" t="inlineStr">
        <is>
          <t>Middle East &amp; North Africa</t>
        </is>
      </c>
      <c r="D2671" s="7" t="inlineStr">
        <is>
          <t>Lower middle income</t>
        </is>
      </c>
      <c r="E2671" s="7" t="b">
        <v>1</v>
      </c>
      <c r="F2671" s="7" t="inlineStr">
        <is>
          <t>price_electricity_residential_usd_kwh</t>
        </is>
      </c>
      <c r="G2671" s="7" t="n">
        <v>0.018</v>
      </c>
      <c r="H2671" s="7" t="inlineStr">
        <is>
          <t>2024</t>
        </is>
      </c>
      <c r="I2671" s="7" t="inlineStr">
        <is>
          <t>imffossilfuelsubsidiesdata.xlsb</t>
        </is>
      </c>
    </row>
    <row r="2672">
      <c r="A2672" s="7" t="inlineStr">
        <is>
          <t>TUN</t>
        </is>
      </c>
      <c r="B2672" s="7" t="inlineStr">
        <is>
          <t>Tunisia</t>
        </is>
      </c>
      <c r="C2672" s="7" t="inlineStr">
        <is>
          <t>Middle East &amp; North Africa</t>
        </is>
      </c>
      <c r="D2672" s="7" t="inlineStr">
        <is>
          <t>Lower middle income</t>
        </is>
      </c>
      <c r="E2672" s="7" t="b">
        <v>1</v>
      </c>
      <c r="F2672" s="7" t="inlineStr">
        <is>
          <t>price_gas_industry_usd_gj</t>
        </is>
      </c>
      <c r="G2672" s="7" t="n">
        <v>8.795999999999999</v>
      </c>
      <c r="H2672" s="7" t="inlineStr">
        <is>
          <t>2024</t>
        </is>
      </c>
      <c r="I2672" s="7" t="inlineStr">
        <is>
          <t>imffossilfuelsubsidiesdata.xlsb</t>
        </is>
      </c>
    </row>
    <row r="2673">
      <c r="A2673" s="7" t="inlineStr">
        <is>
          <t>TUN</t>
        </is>
      </c>
      <c r="B2673" s="7" t="inlineStr">
        <is>
          <t>Tunisia</t>
        </is>
      </c>
      <c r="C2673" s="7" t="inlineStr">
        <is>
          <t>Middle East &amp; North Africa</t>
        </is>
      </c>
      <c r="D2673" s="7" t="inlineStr">
        <is>
          <t>Lower middle income</t>
        </is>
      </c>
      <c r="E2673" s="7" t="b">
        <v>1</v>
      </c>
      <c r="F2673" s="7" t="inlineStr">
        <is>
          <t>price_gas_power_usd_gj</t>
        </is>
      </c>
      <c r="G2673" s="7" t="n">
        <v>8.795999999999999</v>
      </c>
      <c r="H2673" s="7" t="inlineStr">
        <is>
          <t>2024</t>
        </is>
      </c>
      <c r="I2673" s="7" t="inlineStr">
        <is>
          <t>imffossilfuelsubsidiesdata.xlsb</t>
        </is>
      </c>
    </row>
    <row r="2674">
      <c r="A2674" s="7" t="inlineStr">
        <is>
          <t>TUN</t>
        </is>
      </c>
      <c r="B2674" s="7" t="inlineStr">
        <is>
          <t>Tunisia</t>
        </is>
      </c>
      <c r="C2674" s="7" t="inlineStr">
        <is>
          <t>Middle East &amp; North Africa</t>
        </is>
      </c>
      <c r="D2674" s="7" t="inlineStr">
        <is>
          <t>Lower middle income</t>
        </is>
      </c>
      <c r="E2674" s="7" t="b">
        <v>1</v>
      </c>
      <c r="F2674" s="7" t="inlineStr">
        <is>
          <t>rise_renewable_energy_score</t>
        </is>
      </c>
      <c r="G2674" s="7" t="n">
        <v>43.579</v>
      </c>
      <c r="H2674" s="7" t="inlineStr">
        <is>
          <t>2023</t>
        </is>
      </c>
      <c r="I2674" s="7" t="inlineStr">
        <is>
          <t>WB_RISE_WIDEF.csv</t>
        </is>
      </c>
    </row>
    <row r="2675">
      <c r="A2675" s="7" t="inlineStr">
        <is>
          <t>TUR</t>
        </is>
      </c>
      <c r="B2675" s="7" t="inlineStr">
        <is>
          <t>Türkiye</t>
        </is>
      </c>
      <c r="C2675" s="7" t="inlineStr">
        <is>
          <t>Europe &amp; Central Asia</t>
        </is>
      </c>
      <c r="D2675" s="7" t="inlineStr">
        <is>
          <t>Upper middle income</t>
        </is>
      </c>
      <c r="E2675" s="7" t="b">
        <v>1</v>
      </c>
      <c r="F2675" s="7" t="inlineStr">
        <is>
          <t>coal_rents_pct_gdp</t>
        </is>
      </c>
      <c r="G2675" s="7" t="n">
        <v>0.047</v>
      </c>
      <c r="H2675" s="7" t="inlineStr">
        <is>
          <t>2021</t>
        </is>
      </c>
      <c r="I2675" s="7" t="inlineStr">
        <is>
          <t>API_NY_GDP_COAL_RT_ZS_DS2_en_csv_v2_35370.zip</t>
        </is>
      </c>
    </row>
    <row r="2676">
      <c r="A2676" s="7" t="inlineStr">
        <is>
          <t>TUR</t>
        </is>
      </c>
      <c r="B2676" s="7" t="inlineStr">
        <is>
          <t>Türkiye</t>
        </is>
      </c>
      <c r="C2676" s="7" t="inlineStr">
        <is>
          <t>Europe &amp; Central Asia</t>
        </is>
      </c>
      <c r="D2676" s="7" t="inlineStr">
        <is>
          <t>Upper middle income</t>
        </is>
      </c>
      <c r="E2676" s="7" t="b">
        <v>1</v>
      </c>
      <c r="F2676" s="7" t="inlineStr">
        <is>
          <t>em_coal_mt</t>
        </is>
      </c>
      <c r="G2676" s="7" t="n">
        <v>122.068</v>
      </c>
      <c r="H2676" s="7" t="n">
        <v>2024</v>
      </c>
      <c r="I2676" s="7" t="inlineStr">
        <is>
          <t>release_generation_yearly_global.csv (Ember)</t>
        </is>
      </c>
    </row>
    <row r="2677">
      <c r="A2677" s="7" t="inlineStr">
        <is>
          <t>TUR</t>
        </is>
      </c>
      <c r="B2677" s="7" t="inlineStr">
        <is>
          <t>Türkiye</t>
        </is>
      </c>
      <c r="C2677" s="7" t="inlineStr">
        <is>
          <t>Europe &amp; Central Asia</t>
        </is>
      </c>
      <c r="D2677" s="7" t="inlineStr">
        <is>
          <t>Upper middle income</t>
        </is>
      </c>
      <c r="E2677" s="7" t="b">
        <v>1</v>
      </c>
      <c r="F2677" s="7" t="inlineStr">
        <is>
          <t>em_gas_mt</t>
        </is>
      </c>
      <c r="G2677" s="7" t="n">
        <v>32.161</v>
      </c>
      <c r="H2677" s="7" t="n">
        <v>2024</v>
      </c>
      <c r="I2677" s="7" t="inlineStr">
        <is>
          <t>release_generation_yearly_global.csv (Ember)</t>
        </is>
      </c>
    </row>
    <row r="2678">
      <c r="A2678" s="7" t="inlineStr">
        <is>
          <t>TUR</t>
        </is>
      </c>
      <c r="B2678" s="7" t="inlineStr">
        <is>
          <t>Türkiye</t>
        </is>
      </c>
      <c r="C2678" s="7" t="inlineStr">
        <is>
          <t>Europe &amp; Central Asia</t>
        </is>
      </c>
      <c r="D2678" s="7" t="inlineStr">
        <is>
          <t>Upper middle income</t>
        </is>
      </c>
      <c r="E2678" s="7" t="b">
        <v>1</v>
      </c>
      <c r="F2678" s="7" t="inlineStr">
        <is>
          <t>em_oil_mt</t>
        </is>
      </c>
      <c r="G2678" s="7" t="n">
        <v>0.6860000000000001</v>
      </c>
      <c r="H2678" s="7" t="n">
        <v>2024</v>
      </c>
      <c r="I2678" s="7" t="inlineStr">
        <is>
          <t>release_generation_yearly_global.csv (Ember)</t>
        </is>
      </c>
    </row>
    <row r="2679">
      <c r="A2679" s="7" t="inlineStr">
        <is>
          <t>TUR</t>
        </is>
      </c>
      <c r="B2679" s="7" t="inlineStr">
        <is>
          <t>Türkiye</t>
        </is>
      </c>
      <c r="C2679" s="7" t="inlineStr">
        <is>
          <t>Europe &amp; Central Asia</t>
        </is>
      </c>
      <c r="D2679" s="7" t="inlineStr">
        <is>
          <t>Upper middle income</t>
        </is>
      </c>
      <c r="E2679" s="7" t="b">
        <v>1</v>
      </c>
      <c r="F2679" s="7" t="inlineStr">
        <is>
          <t>ff_subsidy_explicit_pct_gdp</t>
        </is>
      </c>
      <c r="G2679" s="7" t="n">
        <v>0.539</v>
      </c>
      <c r="H2679" s="7" t="inlineStr">
        <is>
          <t>2024</t>
        </is>
      </c>
      <c r="I2679" s="7" t="inlineStr">
        <is>
          <t>imffossilfuelsubsidiesdata.xlsb</t>
        </is>
      </c>
    </row>
    <row r="2680">
      <c r="A2680" s="7" t="inlineStr">
        <is>
          <t>TUR</t>
        </is>
      </c>
      <c r="B2680" s="7" t="inlineStr">
        <is>
          <t>Türkiye</t>
        </is>
      </c>
      <c r="C2680" s="7" t="inlineStr">
        <is>
          <t>Europe &amp; Central Asia</t>
        </is>
      </c>
      <c r="D2680" s="7" t="inlineStr">
        <is>
          <t>Upper middle income</t>
        </is>
      </c>
      <c r="E2680" s="7" t="b">
        <v>1</v>
      </c>
      <c r="F2680" s="7" t="inlineStr">
        <is>
          <t>fuel_exports_pct_merch</t>
        </is>
      </c>
      <c r="G2680" s="7" t="n">
        <v>6.164</v>
      </c>
      <c r="H2680" s="7" t="inlineStr">
        <is>
          <t>2024</t>
        </is>
      </c>
      <c r="I2680" s="7" t="inlineStr">
        <is>
          <t>API_TX_VAL_FUEL_ZS_UN_DS2_en_csv_v2_33055.zip</t>
        </is>
      </c>
    </row>
    <row r="2681">
      <c r="A2681" s="7" t="inlineStr">
        <is>
          <t>TUR</t>
        </is>
      </c>
      <c r="B2681" s="7" t="inlineStr">
        <is>
          <t>Türkiye</t>
        </is>
      </c>
      <c r="C2681" s="7" t="inlineStr">
        <is>
          <t>Europe &amp; Central Asia</t>
        </is>
      </c>
      <c r="D2681" s="7" t="inlineStr">
        <is>
          <t>Upper middle income</t>
        </is>
      </c>
      <c r="E2681" s="7" t="b">
        <v>1</v>
      </c>
      <c r="F2681" s="7" t="inlineStr">
        <is>
          <t>gen_coal_twh</t>
        </is>
      </c>
      <c r="G2681" s="7" t="n">
        <v>121.32</v>
      </c>
      <c r="H2681" s="7" t="n">
        <v>2024</v>
      </c>
      <c r="I2681" s="7" t="inlineStr">
        <is>
          <t>release_generation_yearly_global.csv (Ember)</t>
        </is>
      </c>
    </row>
    <row r="2682">
      <c r="A2682" s="7" t="inlineStr">
        <is>
          <t>TUR</t>
        </is>
      </c>
      <c r="B2682" s="7" t="inlineStr">
        <is>
          <t>Türkiye</t>
        </is>
      </c>
      <c r="C2682" s="7" t="inlineStr">
        <is>
          <t>Europe &amp; Central Asia</t>
        </is>
      </c>
      <c r="D2682" s="7" t="inlineStr">
        <is>
          <t>Upper middle income</t>
        </is>
      </c>
      <c r="E2682" s="7" t="b">
        <v>1</v>
      </c>
      <c r="F2682" s="7" t="inlineStr">
        <is>
          <t>gen_gas_twh</t>
        </is>
      </c>
      <c r="G2682" s="7" t="n">
        <v>63.28</v>
      </c>
      <c r="H2682" s="7" t="n">
        <v>2024</v>
      </c>
      <c r="I2682" s="7" t="inlineStr">
        <is>
          <t>release_generation_yearly_global.csv (Ember)</t>
        </is>
      </c>
    </row>
    <row r="2683">
      <c r="A2683" s="7" t="inlineStr">
        <is>
          <t>TUR</t>
        </is>
      </c>
      <c r="B2683" s="7" t="inlineStr">
        <is>
          <t>Türkiye</t>
        </is>
      </c>
      <c r="C2683" s="7" t="inlineStr">
        <is>
          <t>Europe &amp; Central Asia</t>
        </is>
      </c>
      <c r="D2683" s="7" t="inlineStr">
        <is>
          <t>Upper middle income</t>
        </is>
      </c>
      <c r="E2683" s="7" t="b">
        <v>1</v>
      </c>
      <c r="F2683" s="7" t="inlineStr">
        <is>
          <t>gen_oil_twh</t>
        </is>
      </c>
      <c r="G2683" s="7" t="n">
        <v>0.98</v>
      </c>
      <c r="H2683" s="7" t="n">
        <v>2024</v>
      </c>
      <c r="I2683" s="7" t="inlineStr">
        <is>
          <t>release_generation_yearly_global.csv (Ember)</t>
        </is>
      </c>
    </row>
    <row r="2684">
      <c r="A2684" s="7" t="inlineStr">
        <is>
          <t>TUR</t>
        </is>
      </c>
      <c r="B2684" s="7" t="inlineStr">
        <is>
          <t>Türkiye</t>
        </is>
      </c>
      <c r="C2684" s="7" t="inlineStr">
        <is>
          <t>Europe &amp; Central Asia</t>
        </is>
      </c>
      <c r="D2684" s="7" t="inlineStr">
        <is>
          <t>Upper middle income</t>
        </is>
      </c>
      <c r="E2684" s="7" t="b">
        <v>1</v>
      </c>
      <c r="F2684" s="7" t="inlineStr">
        <is>
          <t>gen_total_twh</t>
        </is>
      </c>
      <c r="G2684" s="7" t="n">
        <v>341.23</v>
      </c>
      <c r="H2684" s="7" t="n">
        <v>2024</v>
      </c>
      <c r="I2684" s="7" t="inlineStr">
        <is>
          <t>release_generation_yearly_global.csv (Ember)</t>
        </is>
      </c>
    </row>
    <row r="2685">
      <c r="A2685" s="7" t="inlineStr">
        <is>
          <t>TUR</t>
        </is>
      </c>
      <c r="B2685" s="7" t="inlineStr">
        <is>
          <t>Türkiye</t>
        </is>
      </c>
      <c r="C2685" s="7" t="inlineStr">
        <is>
          <t>Europe &amp; Central Asia</t>
        </is>
      </c>
      <c r="D2685" s="7" t="inlineStr">
        <is>
          <t>Upper middle income</t>
        </is>
      </c>
      <c r="E2685" s="7" t="b">
        <v>1</v>
      </c>
      <c r="F2685" s="7" t="inlineStr">
        <is>
          <t>price_coal_power_usd_gj</t>
        </is>
      </c>
      <c r="G2685" s="7" t="n">
        <v>0.944</v>
      </c>
      <c r="H2685" s="7" t="inlineStr">
        <is>
          <t>2024</t>
        </is>
      </c>
      <c r="I2685" s="7" t="inlineStr">
        <is>
          <t>imffossilfuelsubsidiesdata.xlsb</t>
        </is>
      </c>
    </row>
    <row r="2686">
      <c r="A2686" s="7" t="inlineStr">
        <is>
          <t>TUR</t>
        </is>
      </c>
      <c r="B2686" s="7" t="inlineStr">
        <is>
          <t>Türkiye</t>
        </is>
      </c>
      <c r="C2686" s="7" t="inlineStr">
        <is>
          <t>Europe &amp; Central Asia</t>
        </is>
      </c>
      <c r="D2686" s="7" t="inlineStr">
        <is>
          <t>Upper middle income</t>
        </is>
      </c>
      <c r="E2686" s="7" t="b">
        <v>1</v>
      </c>
      <c r="F2686" s="7" t="inlineStr">
        <is>
          <t>price_electricity_residential_usd_kwh</t>
        </is>
      </c>
      <c r="G2686" s="7" t="n">
        <v>0.06</v>
      </c>
      <c r="H2686" s="7" t="inlineStr">
        <is>
          <t>2024</t>
        </is>
      </c>
      <c r="I2686" s="7" t="inlineStr">
        <is>
          <t>imffossilfuelsubsidiesdata.xlsb</t>
        </is>
      </c>
    </row>
    <row r="2687">
      <c r="A2687" s="7" t="inlineStr">
        <is>
          <t>TUR</t>
        </is>
      </c>
      <c r="B2687" s="7" t="inlineStr">
        <is>
          <t>Türkiye</t>
        </is>
      </c>
      <c r="C2687" s="7" t="inlineStr">
        <is>
          <t>Europe &amp; Central Asia</t>
        </is>
      </c>
      <c r="D2687" s="7" t="inlineStr">
        <is>
          <t>Upper middle income</t>
        </is>
      </c>
      <c r="E2687" s="7" t="b">
        <v>1</v>
      </c>
      <c r="F2687" s="7" t="inlineStr">
        <is>
          <t>price_gas_industry_usd_gj</t>
        </is>
      </c>
      <c r="G2687" s="7" t="n">
        <v>9.460000000000001</v>
      </c>
      <c r="H2687" s="7" t="inlineStr">
        <is>
          <t>2024</t>
        </is>
      </c>
      <c r="I2687" s="7" t="inlineStr">
        <is>
          <t>imffossilfuelsubsidiesdata.xlsb</t>
        </is>
      </c>
    </row>
    <row r="2688">
      <c r="A2688" s="7" t="inlineStr">
        <is>
          <t>TUR</t>
        </is>
      </c>
      <c r="B2688" s="7" t="inlineStr">
        <is>
          <t>Türkiye</t>
        </is>
      </c>
      <c r="C2688" s="7" t="inlineStr">
        <is>
          <t>Europe &amp; Central Asia</t>
        </is>
      </c>
      <c r="D2688" s="7" t="inlineStr">
        <is>
          <t>Upper middle income</t>
        </is>
      </c>
      <c r="E2688" s="7" t="b">
        <v>1</v>
      </c>
      <c r="F2688" s="7" t="inlineStr">
        <is>
          <t>price_gas_power_usd_gj</t>
        </is>
      </c>
      <c r="G2688" s="7" t="n">
        <v>9.460000000000001</v>
      </c>
      <c r="H2688" s="7" t="inlineStr">
        <is>
          <t>2024</t>
        </is>
      </c>
      <c r="I2688" s="7" t="inlineStr">
        <is>
          <t>imffossilfuelsubsidiesdata.xlsb</t>
        </is>
      </c>
    </row>
    <row r="2689">
      <c r="A2689" s="7" t="inlineStr">
        <is>
          <t>TUR</t>
        </is>
      </c>
      <c r="B2689" s="7" t="inlineStr">
        <is>
          <t>Türkiye</t>
        </is>
      </c>
      <c r="C2689" s="7" t="inlineStr">
        <is>
          <t>Europe &amp; Central Asia</t>
        </is>
      </c>
      <c r="D2689" s="7" t="inlineStr">
        <is>
          <t>Upper middle income</t>
        </is>
      </c>
      <c r="E2689" s="7" t="b">
        <v>1</v>
      </c>
      <c r="F2689" s="7" t="inlineStr">
        <is>
          <t>rise_renewable_energy_score</t>
        </is>
      </c>
      <c r="G2689" s="7" t="n">
        <v>54.937</v>
      </c>
      <c r="H2689" s="7" t="inlineStr">
        <is>
          <t>2023</t>
        </is>
      </c>
      <c r="I2689" s="7" t="inlineStr">
        <is>
          <t>WB_RISE_WIDEF.csv</t>
        </is>
      </c>
    </row>
    <row r="2690">
      <c r="A2690" s="7" t="inlineStr">
        <is>
          <t>TUV</t>
        </is>
      </c>
      <c r="B2690" s="7" t="inlineStr">
        <is>
          <t>Tuvalu</t>
        </is>
      </c>
      <c r="C2690" s="7" t="inlineStr">
        <is>
          <t>East Asia &amp; Pacific</t>
        </is>
      </c>
      <c r="D2690" s="7" t="inlineStr">
        <is>
          <t>Upper middle income</t>
        </is>
      </c>
      <c r="E2690" s="7" t="b">
        <v>1</v>
      </c>
      <c r="F2690" s="7" t="inlineStr">
        <is>
          <t>fuel_exports_pct_merch</t>
        </is>
      </c>
      <c r="G2690" s="7" t="n">
        <v>7.163</v>
      </c>
      <c r="H2690" s="7" t="inlineStr">
        <is>
          <t>2005</t>
        </is>
      </c>
      <c r="I2690" s="7" t="inlineStr">
        <is>
          <t>API_TX_VAL_FUEL_ZS_UN_DS2_en_csv_v2_33055.zip</t>
        </is>
      </c>
    </row>
    <row r="2691">
      <c r="A2691" s="7" t="inlineStr">
        <is>
          <t>TZA</t>
        </is>
      </c>
      <c r="B2691" s="7" t="inlineStr">
        <is>
          <t>Tanzania</t>
        </is>
      </c>
      <c r="C2691" s="7" t="inlineStr">
        <is>
          <t>Sub-Saharan Africa</t>
        </is>
      </c>
      <c r="D2691" s="7" t="inlineStr">
        <is>
          <t>Lower middle income</t>
        </is>
      </c>
      <c r="E2691" s="7" t="b">
        <v>1</v>
      </c>
      <c r="F2691" s="7" t="inlineStr">
        <is>
          <t>coal_rents_pct_gdp</t>
        </is>
      </c>
      <c r="G2691" s="7" t="n">
        <v>0.049</v>
      </c>
      <c r="H2691" s="7" t="inlineStr">
        <is>
          <t>2021</t>
        </is>
      </c>
      <c r="I2691" s="7" t="inlineStr">
        <is>
          <t>API_NY_GDP_COAL_RT_ZS_DS2_en_csv_v2_35370.zip</t>
        </is>
      </c>
    </row>
    <row r="2692">
      <c r="A2692" s="7" t="inlineStr">
        <is>
          <t>TZA</t>
        </is>
      </c>
      <c r="B2692" s="7" t="inlineStr">
        <is>
          <t>Tanzania</t>
        </is>
      </c>
      <c r="C2692" s="7" t="inlineStr">
        <is>
          <t>Sub-Saharan Africa</t>
        </is>
      </c>
      <c r="D2692" s="7" t="inlineStr">
        <is>
          <t>Lower middle income</t>
        </is>
      </c>
      <c r="E2692" s="7" t="b">
        <v>1</v>
      </c>
      <c r="F2692" s="7" t="inlineStr">
        <is>
          <t>em_coal_mt</t>
        </is>
      </c>
      <c r="G2692" s="7" t="n">
        <v>0</v>
      </c>
      <c r="H2692" s="7" t="n">
        <v>2024</v>
      </c>
      <c r="I2692" s="7" t="inlineStr">
        <is>
          <t>release_generation_yearly_global.csv (Ember)</t>
        </is>
      </c>
    </row>
    <row r="2693">
      <c r="A2693" s="7" t="inlineStr">
        <is>
          <t>TZA</t>
        </is>
      </c>
      <c r="B2693" s="7" t="inlineStr">
        <is>
          <t>Tanzania</t>
        </is>
      </c>
      <c r="C2693" s="7" t="inlineStr">
        <is>
          <t>Sub-Saharan Africa</t>
        </is>
      </c>
      <c r="D2693" s="7" t="inlineStr">
        <is>
          <t>Lower middle income</t>
        </is>
      </c>
      <c r="E2693" s="7" t="b">
        <v>1</v>
      </c>
      <c r="F2693" s="7" t="inlineStr">
        <is>
          <t>em_gas_mt</t>
        </is>
      </c>
      <c r="G2693" s="7" t="n">
        <v>2.707</v>
      </c>
      <c r="H2693" s="7" t="n">
        <v>2024</v>
      </c>
      <c r="I2693" s="7" t="inlineStr">
        <is>
          <t>release_generation_yearly_global.csv (Ember)</t>
        </is>
      </c>
    </row>
    <row r="2694">
      <c r="A2694" s="7" t="inlineStr">
        <is>
          <t>TZA</t>
        </is>
      </c>
      <c r="B2694" s="7" t="inlineStr">
        <is>
          <t>Tanzania</t>
        </is>
      </c>
      <c r="C2694" s="7" t="inlineStr">
        <is>
          <t>Sub-Saharan Africa</t>
        </is>
      </c>
      <c r="D2694" s="7" t="inlineStr">
        <is>
          <t>Lower middle income</t>
        </is>
      </c>
      <c r="E2694" s="7" t="b">
        <v>1</v>
      </c>
      <c r="F2694" s="7" t="inlineStr">
        <is>
          <t>em_oil_mt</t>
        </is>
      </c>
      <c r="G2694" s="7" t="n">
        <v>0.25</v>
      </c>
      <c r="H2694" s="7" t="n">
        <v>2024</v>
      </c>
      <c r="I2694" s="7" t="inlineStr">
        <is>
          <t>release_generation_yearly_global.csv (Ember)</t>
        </is>
      </c>
    </row>
    <row r="2695">
      <c r="A2695" s="7" t="inlineStr">
        <is>
          <t>TZA</t>
        </is>
      </c>
      <c r="B2695" s="7" t="inlineStr">
        <is>
          <t>Tanzania</t>
        </is>
      </c>
      <c r="C2695" s="7" t="inlineStr">
        <is>
          <t>Sub-Saharan Africa</t>
        </is>
      </c>
      <c r="D2695" s="7" t="inlineStr">
        <is>
          <t>Lower middle income</t>
        </is>
      </c>
      <c r="E2695" s="7" t="b">
        <v>1</v>
      </c>
      <c r="F2695" s="7" t="inlineStr">
        <is>
          <t>ff_subsidy_explicit_pct_gdp</t>
        </is>
      </c>
      <c r="G2695" s="7" t="n">
        <v>0</v>
      </c>
      <c r="H2695" s="7" t="inlineStr">
        <is>
          <t>2024</t>
        </is>
      </c>
      <c r="I2695" s="7" t="inlineStr">
        <is>
          <t>imffossilfuelsubsidiesdata.xlsb</t>
        </is>
      </c>
    </row>
    <row r="2696">
      <c r="A2696" s="7" t="inlineStr">
        <is>
          <t>TZA</t>
        </is>
      </c>
      <c r="B2696" s="7" t="inlineStr">
        <is>
          <t>Tanzania</t>
        </is>
      </c>
      <c r="C2696" s="7" t="inlineStr">
        <is>
          <t>Sub-Saharan Africa</t>
        </is>
      </c>
      <c r="D2696" s="7" t="inlineStr">
        <is>
          <t>Lower middle income</t>
        </is>
      </c>
      <c r="E2696" s="7" t="b">
        <v>1</v>
      </c>
      <c r="F2696" s="7" t="inlineStr">
        <is>
          <t>fuel_exports_pct_merch</t>
        </is>
      </c>
      <c r="G2696" s="7" t="n">
        <v>2.249</v>
      </c>
      <c r="H2696" s="7" t="inlineStr">
        <is>
          <t>2024</t>
        </is>
      </c>
      <c r="I2696" s="7" t="inlineStr">
        <is>
          <t>API_TX_VAL_FUEL_ZS_UN_DS2_en_csv_v2_33055.zip</t>
        </is>
      </c>
    </row>
    <row r="2697">
      <c r="A2697" s="7" t="inlineStr">
        <is>
          <t>TZA</t>
        </is>
      </c>
      <c r="B2697" s="7" t="inlineStr">
        <is>
          <t>Tanzania</t>
        </is>
      </c>
      <c r="C2697" s="7" t="inlineStr">
        <is>
          <t>Sub-Saharan Africa</t>
        </is>
      </c>
      <c r="D2697" s="7" t="inlineStr">
        <is>
          <t>Lower middle income</t>
        </is>
      </c>
      <c r="E2697" s="7" t="b">
        <v>1</v>
      </c>
      <c r="F2697" s="7" t="inlineStr">
        <is>
          <t>gen_coal_twh</t>
        </is>
      </c>
      <c r="G2697" s="7" t="n">
        <v>0</v>
      </c>
      <c r="H2697" s="7" t="n">
        <v>2024</v>
      </c>
      <c r="I2697" s="7" t="inlineStr">
        <is>
          <t>release_generation_yearly_global.csv (Ember)</t>
        </is>
      </c>
    </row>
    <row r="2698">
      <c r="A2698" s="7" t="inlineStr">
        <is>
          <t>TZA</t>
        </is>
      </c>
      <c r="B2698" s="7" t="inlineStr">
        <is>
          <t>Tanzania</t>
        </is>
      </c>
      <c r="C2698" s="7" t="inlineStr">
        <is>
          <t>Sub-Saharan Africa</t>
        </is>
      </c>
      <c r="D2698" s="7" t="inlineStr">
        <is>
          <t>Lower middle income</t>
        </is>
      </c>
      <c r="E2698" s="7" t="b">
        <v>1</v>
      </c>
      <c r="F2698" s="7" t="inlineStr">
        <is>
          <t>gen_gas_twh</t>
        </is>
      </c>
      <c r="G2698" s="7" t="n">
        <v>5.55</v>
      </c>
      <c r="H2698" s="7" t="n">
        <v>2024</v>
      </c>
      <c r="I2698" s="7" t="inlineStr">
        <is>
          <t>release_generation_yearly_global.csv (Ember)</t>
        </is>
      </c>
    </row>
    <row r="2699">
      <c r="A2699" s="7" t="inlineStr">
        <is>
          <t>TZA</t>
        </is>
      </c>
      <c r="B2699" s="7" t="inlineStr">
        <is>
          <t>Tanzania</t>
        </is>
      </c>
      <c r="C2699" s="7" t="inlineStr">
        <is>
          <t>Sub-Saharan Africa</t>
        </is>
      </c>
      <c r="D2699" s="7" t="inlineStr">
        <is>
          <t>Lower middle income</t>
        </is>
      </c>
      <c r="E2699" s="7" t="b">
        <v>1</v>
      </c>
      <c r="F2699" s="7" t="inlineStr">
        <is>
          <t>gen_oil_twh</t>
        </is>
      </c>
      <c r="G2699" s="7" t="n">
        <v>0.38</v>
      </c>
      <c r="H2699" s="7" t="n">
        <v>2024</v>
      </c>
      <c r="I2699" s="7" t="inlineStr">
        <is>
          <t>release_generation_yearly_global.csv (Ember)</t>
        </is>
      </c>
    </row>
    <row r="2700">
      <c r="A2700" s="7" t="inlineStr">
        <is>
          <t>TZA</t>
        </is>
      </c>
      <c r="B2700" s="7" t="inlineStr">
        <is>
          <t>Tanzania</t>
        </is>
      </c>
      <c r="C2700" s="7" t="inlineStr">
        <is>
          <t>Sub-Saharan Africa</t>
        </is>
      </c>
      <c r="D2700" s="7" t="inlineStr">
        <is>
          <t>Lower middle income</t>
        </is>
      </c>
      <c r="E2700" s="7" t="b">
        <v>1</v>
      </c>
      <c r="F2700" s="7" t="inlineStr">
        <is>
          <t>gen_total_twh</t>
        </is>
      </c>
      <c r="G2700" s="7" t="n">
        <v>8.84</v>
      </c>
      <c r="H2700" s="7" t="n">
        <v>2024</v>
      </c>
      <c r="I2700" s="7" t="inlineStr">
        <is>
          <t>release_generation_yearly_global.csv (Ember)</t>
        </is>
      </c>
    </row>
    <row r="2701">
      <c r="A2701" s="7" t="inlineStr">
        <is>
          <t>TZA</t>
        </is>
      </c>
      <c r="B2701" s="7" t="inlineStr">
        <is>
          <t>Tanzania</t>
        </is>
      </c>
      <c r="C2701" s="7" t="inlineStr">
        <is>
          <t>Sub-Saharan Africa</t>
        </is>
      </c>
      <c r="D2701" s="7" t="inlineStr">
        <is>
          <t>Lower middle income</t>
        </is>
      </c>
      <c r="E2701" s="7" t="b">
        <v>1</v>
      </c>
      <c r="F2701" s="7" t="inlineStr">
        <is>
          <t>power_market_structure</t>
        </is>
      </c>
      <c r="G2701" s="7" t="n">
        <v>2</v>
      </c>
      <c r="H2701" s="7" t="inlineStr">
        <is>
          <t>2013</t>
        </is>
      </c>
      <c r="I2701" s="7" t="inlineStr">
        <is>
          <t>dataverse_files.zip</t>
        </is>
      </c>
    </row>
    <row r="2702">
      <c r="A2702" s="7" t="inlineStr">
        <is>
          <t>TZA</t>
        </is>
      </c>
      <c r="B2702" s="7" t="inlineStr">
        <is>
          <t>Tanzania</t>
        </is>
      </c>
      <c r="C2702" s="7" t="inlineStr">
        <is>
          <t>Sub-Saharan Africa</t>
        </is>
      </c>
      <c r="D2702" s="7" t="inlineStr">
        <is>
          <t>Lower middle income</t>
        </is>
      </c>
      <c r="E2702" s="7" t="b">
        <v>1</v>
      </c>
      <c r="F2702" s="7" t="inlineStr">
        <is>
          <t>price_coal_power_usd_gj</t>
        </is>
      </c>
      <c r="G2702" s="7" t="n">
        <v>2.049</v>
      </c>
      <c r="H2702" s="7" t="inlineStr">
        <is>
          <t>2024</t>
        </is>
      </c>
      <c r="I2702" s="7" t="inlineStr">
        <is>
          <t>imffossilfuelsubsidiesdata.xlsb</t>
        </is>
      </c>
    </row>
    <row r="2703">
      <c r="A2703" s="7" t="inlineStr">
        <is>
          <t>TZA</t>
        </is>
      </c>
      <c r="B2703" s="7" t="inlineStr">
        <is>
          <t>Tanzania</t>
        </is>
      </c>
      <c r="C2703" s="7" t="inlineStr">
        <is>
          <t>Sub-Saharan Africa</t>
        </is>
      </c>
      <c r="D2703" s="7" t="inlineStr">
        <is>
          <t>Lower middle income</t>
        </is>
      </c>
      <c r="E2703" s="7" t="b">
        <v>1</v>
      </c>
      <c r="F2703" s="7" t="inlineStr">
        <is>
          <t>price_electricity_residential_usd_kwh</t>
        </is>
      </c>
      <c r="G2703" s="7" t="n">
        <v>0.09</v>
      </c>
      <c r="H2703" s="7" t="inlineStr">
        <is>
          <t>2024</t>
        </is>
      </c>
      <c r="I2703" s="7" t="inlineStr">
        <is>
          <t>imffossilfuelsubsidiesdata.xlsb</t>
        </is>
      </c>
    </row>
    <row r="2704">
      <c r="A2704" s="7" t="inlineStr">
        <is>
          <t>TZA</t>
        </is>
      </c>
      <c r="B2704" s="7" t="inlineStr">
        <is>
          <t>Tanzania</t>
        </is>
      </c>
      <c r="C2704" s="7" t="inlineStr">
        <is>
          <t>Sub-Saharan Africa</t>
        </is>
      </c>
      <c r="D2704" s="7" t="inlineStr">
        <is>
          <t>Lower middle income</t>
        </is>
      </c>
      <c r="E2704" s="7" t="b">
        <v>1</v>
      </c>
      <c r="F2704" s="7" t="inlineStr">
        <is>
          <t>price_gas_industry_usd_gj</t>
        </is>
      </c>
      <c r="G2704" s="7" t="n">
        <v>8.041</v>
      </c>
      <c r="H2704" s="7" t="inlineStr">
        <is>
          <t>2024</t>
        </is>
      </c>
      <c r="I2704" s="7" t="inlineStr">
        <is>
          <t>imffossilfuelsubsidiesdata.xlsb</t>
        </is>
      </c>
    </row>
    <row r="2705">
      <c r="A2705" s="7" t="inlineStr">
        <is>
          <t>TZA</t>
        </is>
      </c>
      <c r="B2705" s="7" t="inlineStr">
        <is>
          <t>Tanzania</t>
        </is>
      </c>
      <c r="C2705" s="7" t="inlineStr">
        <is>
          <t>Sub-Saharan Africa</t>
        </is>
      </c>
      <c r="D2705" s="7" t="inlineStr">
        <is>
          <t>Lower middle income</t>
        </is>
      </c>
      <c r="E2705" s="7" t="b">
        <v>1</v>
      </c>
      <c r="F2705" s="7" t="inlineStr">
        <is>
          <t>price_gas_power_usd_gj</t>
        </is>
      </c>
      <c r="G2705" s="7" t="n">
        <v>4.606</v>
      </c>
      <c r="H2705" s="7" t="inlineStr">
        <is>
          <t>2024</t>
        </is>
      </c>
      <c r="I2705" s="7" t="inlineStr">
        <is>
          <t>imffossilfuelsubsidiesdata.xlsb</t>
        </is>
      </c>
    </row>
    <row r="2706">
      <c r="A2706" s="7" t="inlineStr">
        <is>
          <t>TZA</t>
        </is>
      </c>
      <c r="B2706" s="7" t="inlineStr">
        <is>
          <t>Tanzania</t>
        </is>
      </c>
      <c r="C2706" s="7" t="inlineStr">
        <is>
          <t>Sub-Saharan Africa</t>
        </is>
      </c>
      <c r="D2706" s="7" t="inlineStr">
        <is>
          <t>Lower middle income</t>
        </is>
      </c>
      <c r="E2706" s="7" t="b">
        <v>1</v>
      </c>
      <c r="F2706" s="7" t="inlineStr">
        <is>
          <t>rise_renewable_energy_score</t>
        </is>
      </c>
      <c r="G2706" s="7" t="n">
        <v>22.497</v>
      </c>
      <c r="H2706" s="7" t="inlineStr">
        <is>
          <t>2023</t>
        </is>
      </c>
      <c r="I2706" s="7" t="inlineStr">
        <is>
          <t>WB_RISE_WIDEF.csv</t>
        </is>
      </c>
    </row>
    <row r="2707">
      <c r="A2707" s="7" t="inlineStr">
        <is>
          <t>UGA</t>
        </is>
      </c>
      <c r="B2707" s="7" t="inlineStr">
        <is>
          <t>Uganda</t>
        </is>
      </c>
      <c r="C2707" s="7" t="inlineStr">
        <is>
          <t>Sub-Saharan Africa</t>
        </is>
      </c>
      <c r="D2707" s="7" t="inlineStr">
        <is>
          <t>Low income</t>
        </is>
      </c>
      <c r="E2707" s="7" t="b">
        <v>1</v>
      </c>
      <c r="F2707" s="7" t="inlineStr">
        <is>
          <t>coal_rents_pct_gdp</t>
        </is>
      </c>
      <c r="G2707" s="7" t="n">
        <v>0</v>
      </c>
      <c r="H2707" s="7" t="inlineStr">
        <is>
          <t>2021</t>
        </is>
      </c>
      <c r="I2707" s="7" t="inlineStr">
        <is>
          <t>API_NY_GDP_COAL_RT_ZS_DS2_en_csv_v2_35370.zip</t>
        </is>
      </c>
    </row>
    <row r="2708">
      <c r="A2708" s="7" t="inlineStr">
        <is>
          <t>UGA</t>
        </is>
      </c>
      <c r="B2708" s="7" t="inlineStr">
        <is>
          <t>Uganda</t>
        </is>
      </c>
      <c r="C2708" s="7" t="inlineStr">
        <is>
          <t>Sub-Saharan Africa</t>
        </is>
      </c>
      <c r="D2708" s="7" t="inlineStr">
        <is>
          <t>Low income</t>
        </is>
      </c>
      <c r="E2708" s="7" t="b">
        <v>1</v>
      </c>
      <c r="F2708" s="7" t="inlineStr">
        <is>
          <t>em_coal_mt</t>
        </is>
      </c>
      <c r="G2708" s="7" t="n">
        <v>0</v>
      </c>
      <c r="H2708" s="7" t="n">
        <v>2024</v>
      </c>
      <c r="I2708" s="7" t="inlineStr">
        <is>
          <t>release_generation_yearly_global.csv (Ember)</t>
        </is>
      </c>
    </row>
    <row r="2709">
      <c r="A2709" s="7" t="inlineStr">
        <is>
          <t>UGA</t>
        </is>
      </c>
      <c r="B2709" s="7" t="inlineStr">
        <is>
          <t>Uganda</t>
        </is>
      </c>
      <c r="C2709" s="7" t="inlineStr">
        <is>
          <t>Sub-Saharan Africa</t>
        </is>
      </c>
      <c r="D2709" s="7" t="inlineStr">
        <is>
          <t>Low income</t>
        </is>
      </c>
      <c r="E2709" s="7" t="b">
        <v>1</v>
      </c>
      <c r="F2709" s="7" t="inlineStr">
        <is>
          <t>em_gas_mt</t>
        </is>
      </c>
      <c r="G2709" s="7" t="n">
        <v>0</v>
      </c>
      <c r="H2709" s="7" t="n">
        <v>2024</v>
      </c>
      <c r="I2709" s="7" t="inlineStr">
        <is>
          <t>release_generation_yearly_global.csv (Ember)</t>
        </is>
      </c>
    </row>
    <row r="2710">
      <c r="A2710" s="7" t="inlineStr">
        <is>
          <t>UGA</t>
        </is>
      </c>
      <c r="B2710" s="7" t="inlineStr">
        <is>
          <t>Uganda</t>
        </is>
      </c>
      <c r="C2710" s="7" t="inlineStr">
        <is>
          <t>Sub-Saharan Africa</t>
        </is>
      </c>
      <c r="D2710" s="7" t="inlineStr">
        <is>
          <t>Low income</t>
        </is>
      </c>
      <c r="E2710" s="7" t="b">
        <v>1</v>
      </c>
      <c r="F2710" s="7" t="inlineStr">
        <is>
          <t>em_oil_mt</t>
        </is>
      </c>
      <c r="G2710" s="7" t="n">
        <v>0.112</v>
      </c>
      <c r="H2710" s="7" t="n">
        <v>2024</v>
      </c>
      <c r="I2710" s="7" t="inlineStr">
        <is>
          <t>release_generation_yearly_global.csv (Ember)</t>
        </is>
      </c>
    </row>
    <row r="2711">
      <c r="A2711" s="7" t="inlineStr">
        <is>
          <t>UGA</t>
        </is>
      </c>
      <c r="B2711" s="7" t="inlineStr">
        <is>
          <t>Uganda</t>
        </is>
      </c>
      <c r="C2711" s="7" t="inlineStr">
        <is>
          <t>Sub-Saharan Africa</t>
        </is>
      </c>
      <c r="D2711" s="7" t="inlineStr">
        <is>
          <t>Low income</t>
        </is>
      </c>
      <c r="E2711" s="7" t="b">
        <v>1</v>
      </c>
      <c r="F2711" s="7" t="inlineStr">
        <is>
          <t>ff_subsidy_explicit_pct_gdp</t>
        </is>
      </c>
      <c r="G2711" s="7" t="n">
        <v>0.006</v>
      </c>
      <c r="H2711" s="7" t="inlineStr">
        <is>
          <t>2024</t>
        </is>
      </c>
      <c r="I2711" s="7" t="inlineStr">
        <is>
          <t>imffossilfuelsubsidiesdata.xlsb</t>
        </is>
      </c>
    </row>
    <row r="2712">
      <c r="A2712" s="7" t="inlineStr">
        <is>
          <t>UGA</t>
        </is>
      </c>
      <c r="B2712" s="7" t="inlineStr">
        <is>
          <t>Uganda</t>
        </is>
      </c>
      <c r="C2712" s="7" t="inlineStr">
        <is>
          <t>Sub-Saharan Africa</t>
        </is>
      </c>
      <c r="D2712" s="7" t="inlineStr">
        <is>
          <t>Low income</t>
        </is>
      </c>
      <c r="E2712" s="7" t="b">
        <v>1</v>
      </c>
      <c r="F2712" s="7" t="inlineStr">
        <is>
          <t>fuel_exports_pct_merch</t>
        </is>
      </c>
      <c r="G2712" s="7" t="n">
        <v>2.325</v>
      </c>
      <c r="H2712" s="7" t="inlineStr">
        <is>
          <t>2024</t>
        </is>
      </c>
      <c r="I2712" s="7" t="inlineStr">
        <is>
          <t>API_TX_VAL_FUEL_ZS_UN_DS2_en_csv_v2_33055.zip</t>
        </is>
      </c>
    </row>
    <row r="2713">
      <c r="A2713" s="7" t="inlineStr">
        <is>
          <t>UGA</t>
        </is>
      </c>
      <c r="B2713" s="7" t="inlineStr">
        <is>
          <t>Uganda</t>
        </is>
      </c>
      <c r="C2713" s="7" t="inlineStr">
        <is>
          <t>Sub-Saharan Africa</t>
        </is>
      </c>
      <c r="D2713" s="7" t="inlineStr">
        <is>
          <t>Low income</t>
        </is>
      </c>
      <c r="E2713" s="7" t="b">
        <v>1</v>
      </c>
      <c r="F2713" s="7" t="inlineStr">
        <is>
          <t>gen_coal_twh</t>
        </is>
      </c>
      <c r="G2713" s="7" t="n">
        <v>0</v>
      </c>
      <c r="H2713" s="7" t="n">
        <v>2024</v>
      </c>
      <c r="I2713" s="7" t="inlineStr">
        <is>
          <t>release_generation_yearly_global.csv (Ember)</t>
        </is>
      </c>
    </row>
    <row r="2714">
      <c r="A2714" s="7" t="inlineStr">
        <is>
          <t>UGA</t>
        </is>
      </c>
      <c r="B2714" s="7" t="inlineStr">
        <is>
          <t>Uganda</t>
        </is>
      </c>
      <c r="C2714" s="7" t="inlineStr">
        <is>
          <t>Sub-Saharan Africa</t>
        </is>
      </c>
      <c r="D2714" s="7" t="inlineStr">
        <is>
          <t>Low income</t>
        </is>
      </c>
      <c r="E2714" s="7" t="b">
        <v>1</v>
      </c>
      <c r="F2714" s="7" t="inlineStr">
        <is>
          <t>gen_gas_twh</t>
        </is>
      </c>
      <c r="G2714" s="7" t="n">
        <v>0</v>
      </c>
      <c r="H2714" s="7" t="n">
        <v>2024</v>
      </c>
      <c r="I2714" s="7" t="inlineStr">
        <is>
          <t>release_generation_yearly_global.csv (Ember)</t>
        </is>
      </c>
    </row>
    <row r="2715">
      <c r="A2715" s="7" t="inlineStr">
        <is>
          <t>UGA</t>
        </is>
      </c>
      <c r="B2715" s="7" t="inlineStr">
        <is>
          <t>Uganda</t>
        </is>
      </c>
      <c r="C2715" s="7" t="inlineStr">
        <is>
          <t>Sub-Saharan Africa</t>
        </is>
      </c>
      <c r="D2715" s="7" t="inlineStr">
        <is>
          <t>Low income</t>
        </is>
      </c>
      <c r="E2715" s="7" t="b">
        <v>1</v>
      </c>
      <c r="F2715" s="7" t="inlineStr">
        <is>
          <t>gen_oil_twh</t>
        </is>
      </c>
      <c r="G2715" s="7" t="n">
        <v>0.17</v>
      </c>
      <c r="H2715" s="7" t="n">
        <v>2024</v>
      </c>
      <c r="I2715" s="7" t="inlineStr">
        <is>
          <t>release_generation_yearly_global.csv (Ember)</t>
        </is>
      </c>
    </row>
    <row r="2716">
      <c r="A2716" s="7" t="inlineStr">
        <is>
          <t>UGA</t>
        </is>
      </c>
      <c r="B2716" s="7" t="inlineStr">
        <is>
          <t>Uganda</t>
        </is>
      </c>
      <c r="C2716" s="7" t="inlineStr">
        <is>
          <t>Sub-Saharan Africa</t>
        </is>
      </c>
      <c r="D2716" s="7" t="inlineStr">
        <is>
          <t>Low income</t>
        </is>
      </c>
      <c r="E2716" s="7" t="b">
        <v>1</v>
      </c>
      <c r="F2716" s="7" t="inlineStr">
        <is>
          <t>gen_total_twh</t>
        </is>
      </c>
      <c r="G2716" s="7" t="n">
        <v>5.81</v>
      </c>
      <c r="H2716" s="7" t="n">
        <v>2024</v>
      </c>
      <c r="I2716" s="7" t="inlineStr">
        <is>
          <t>release_generation_yearly_global.csv (Ember)</t>
        </is>
      </c>
    </row>
    <row r="2717">
      <c r="A2717" s="7" t="inlineStr">
        <is>
          <t>UGA</t>
        </is>
      </c>
      <c r="B2717" s="7" t="inlineStr">
        <is>
          <t>Uganda</t>
        </is>
      </c>
      <c r="C2717" s="7" t="inlineStr">
        <is>
          <t>Sub-Saharan Africa</t>
        </is>
      </c>
      <c r="D2717" s="7" t="inlineStr">
        <is>
          <t>Low income</t>
        </is>
      </c>
      <c r="E2717" s="7" t="b">
        <v>1</v>
      </c>
      <c r="F2717" s="7" t="inlineStr">
        <is>
          <t>power_market_structure</t>
        </is>
      </c>
      <c r="G2717" s="7" t="n">
        <v>2</v>
      </c>
      <c r="H2717" s="7" t="inlineStr">
        <is>
          <t>2013</t>
        </is>
      </c>
      <c r="I2717" s="7" t="inlineStr">
        <is>
          <t>dataverse_files.zip</t>
        </is>
      </c>
    </row>
    <row r="2718">
      <c r="A2718" s="7" t="inlineStr">
        <is>
          <t>UGA</t>
        </is>
      </c>
      <c r="B2718" s="7" t="inlineStr">
        <is>
          <t>Uganda</t>
        </is>
      </c>
      <c r="C2718" s="7" t="inlineStr">
        <is>
          <t>Sub-Saharan Africa</t>
        </is>
      </c>
      <c r="D2718" s="7" t="inlineStr">
        <is>
          <t>Low income</t>
        </is>
      </c>
      <c r="E2718" s="7" t="b">
        <v>1</v>
      </c>
      <c r="F2718" s="7" t="inlineStr">
        <is>
          <t>price_coal_power_usd_gj</t>
        </is>
      </c>
      <c r="G2718" s="7" t="n">
        <v>5.575</v>
      </c>
      <c r="H2718" s="7" t="inlineStr">
        <is>
          <t>2024</t>
        </is>
      </c>
      <c r="I2718" s="7" t="inlineStr">
        <is>
          <t>imffossilfuelsubsidiesdata.xlsb</t>
        </is>
      </c>
    </row>
    <row r="2719">
      <c r="A2719" s="7" t="inlineStr">
        <is>
          <t>UGA</t>
        </is>
      </c>
      <c r="B2719" s="7" t="inlineStr">
        <is>
          <t>Uganda</t>
        </is>
      </c>
      <c r="C2719" s="7" t="inlineStr">
        <is>
          <t>Sub-Saharan Africa</t>
        </is>
      </c>
      <c r="D2719" s="7" t="inlineStr">
        <is>
          <t>Low income</t>
        </is>
      </c>
      <c r="E2719" s="7" t="b">
        <v>1</v>
      </c>
      <c r="F2719" s="7" t="inlineStr">
        <is>
          <t>price_electricity_residential_usd_kwh</t>
        </is>
      </c>
      <c r="G2719" s="7" t="n">
        <v>0.195</v>
      </c>
      <c r="H2719" s="7" t="inlineStr">
        <is>
          <t>2024</t>
        </is>
      </c>
      <c r="I2719" s="7" t="inlineStr">
        <is>
          <t>imffossilfuelsubsidiesdata.xlsb</t>
        </is>
      </c>
    </row>
    <row r="2720">
      <c r="A2720" s="7" t="inlineStr">
        <is>
          <t>UGA</t>
        </is>
      </c>
      <c r="B2720" s="7" t="inlineStr">
        <is>
          <t>Uganda</t>
        </is>
      </c>
      <c r="C2720" s="7" t="inlineStr">
        <is>
          <t>Sub-Saharan Africa</t>
        </is>
      </c>
      <c r="D2720" s="7" t="inlineStr">
        <is>
          <t>Low income</t>
        </is>
      </c>
      <c r="E2720" s="7" t="b">
        <v>1</v>
      </c>
      <c r="F2720" s="7" t="inlineStr">
        <is>
          <t>price_gas_industry_usd_gj</t>
        </is>
      </c>
      <c r="G2720" s="7" t="n">
        <v>12.112</v>
      </c>
      <c r="H2720" s="7" t="inlineStr">
        <is>
          <t>2024</t>
        </is>
      </c>
      <c r="I2720" s="7" t="inlineStr">
        <is>
          <t>imffossilfuelsubsidiesdata.xlsb</t>
        </is>
      </c>
    </row>
    <row r="2721">
      <c r="A2721" s="7" t="inlineStr">
        <is>
          <t>UGA</t>
        </is>
      </c>
      <c r="B2721" s="7" t="inlineStr">
        <is>
          <t>Uganda</t>
        </is>
      </c>
      <c r="C2721" s="7" t="inlineStr">
        <is>
          <t>Sub-Saharan Africa</t>
        </is>
      </c>
      <c r="D2721" s="7" t="inlineStr">
        <is>
          <t>Low income</t>
        </is>
      </c>
      <c r="E2721" s="7" t="b">
        <v>1</v>
      </c>
      <c r="F2721" s="7" t="inlineStr">
        <is>
          <t>price_gas_power_usd_gj</t>
        </is>
      </c>
      <c r="G2721" s="7" t="n">
        <v>10.789</v>
      </c>
      <c r="H2721" s="7" t="inlineStr">
        <is>
          <t>2024</t>
        </is>
      </c>
      <c r="I2721" s="7" t="inlineStr">
        <is>
          <t>imffossilfuelsubsidiesdata.xlsb</t>
        </is>
      </c>
    </row>
    <row r="2722">
      <c r="A2722" s="7" t="inlineStr">
        <is>
          <t>UGA</t>
        </is>
      </c>
      <c r="B2722" s="7" t="inlineStr">
        <is>
          <t>Uganda</t>
        </is>
      </c>
      <c r="C2722" s="7" t="inlineStr">
        <is>
          <t>Sub-Saharan Africa</t>
        </is>
      </c>
      <c r="D2722" s="7" t="inlineStr">
        <is>
          <t>Low income</t>
        </is>
      </c>
      <c r="E2722" s="7" t="b">
        <v>1</v>
      </c>
      <c r="F2722" s="7" t="inlineStr">
        <is>
          <t>rise_renewable_energy_score</t>
        </is>
      </c>
      <c r="G2722" s="7" t="n">
        <v>27.124</v>
      </c>
      <c r="H2722" s="7" t="inlineStr">
        <is>
          <t>2023</t>
        </is>
      </c>
      <c r="I2722" s="7" t="inlineStr">
        <is>
          <t>WB_RISE_WIDEF.csv</t>
        </is>
      </c>
    </row>
    <row r="2723">
      <c r="A2723" s="7" t="inlineStr">
        <is>
          <t>UKR</t>
        </is>
      </c>
      <c r="B2723" s="7" t="inlineStr">
        <is>
          <t>Ukraine</t>
        </is>
      </c>
      <c r="C2723" s="7" t="inlineStr">
        <is>
          <t>Europe &amp; Central Asia</t>
        </is>
      </c>
      <c r="D2723" s="7" t="inlineStr">
        <is>
          <t>Upper middle income</t>
        </is>
      </c>
      <c r="E2723" s="7" t="b">
        <v>0</v>
      </c>
      <c r="F2723" s="7" t="inlineStr">
        <is>
          <t>coal_rents_pct_gdp</t>
        </is>
      </c>
      <c r="G2723" s="7" t="n">
        <v>0.337</v>
      </c>
      <c r="H2723" s="7" t="inlineStr">
        <is>
          <t>2021</t>
        </is>
      </c>
      <c r="I2723" s="7" t="inlineStr">
        <is>
          <t>API_NY_GDP_COAL_RT_ZS_DS2_en_csv_v2_35370.zip</t>
        </is>
      </c>
    </row>
    <row r="2724">
      <c r="A2724" s="7" t="inlineStr">
        <is>
          <t>UKR</t>
        </is>
      </c>
      <c r="B2724" s="7" t="inlineStr">
        <is>
          <t>Ukraine</t>
        </is>
      </c>
      <c r="C2724" s="7" t="inlineStr">
        <is>
          <t>Europe &amp; Central Asia</t>
        </is>
      </c>
      <c r="D2724" s="7" t="inlineStr">
        <is>
          <t>Upper middle income</t>
        </is>
      </c>
      <c r="E2724" s="7" t="b">
        <v>0</v>
      </c>
      <c r="F2724" s="7" t="inlineStr">
        <is>
          <t>ff_subsidy_explicit_pct_gdp</t>
        </is>
      </c>
      <c r="G2724" s="7" t="n">
        <v>2.285</v>
      </c>
      <c r="H2724" s="7" t="inlineStr">
        <is>
          <t>2024</t>
        </is>
      </c>
      <c r="I2724" s="7" t="inlineStr">
        <is>
          <t>imffossilfuelsubsidiesdata.xlsb</t>
        </is>
      </c>
    </row>
    <row r="2725">
      <c r="A2725" s="7" t="inlineStr">
        <is>
          <t>UKR</t>
        </is>
      </c>
      <c r="B2725" s="7" t="inlineStr">
        <is>
          <t>Ukraine</t>
        </is>
      </c>
      <c r="C2725" s="7" t="inlineStr">
        <is>
          <t>Europe &amp; Central Asia</t>
        </is>
      </c>
      <c r="D2725" s="7" t="inlineStr">
        <is>
          <t>Upper middle income</t>
        </is>
      </c>
      <c r="E2725" s="7" t="b">
        <v>0</v>
      </c>
      <c r="F2725" s="7" t="inlineStr">
        <is>
          <t>fuel_exports_pct_merch</t>
        </is>
      </c>
      <c r="G2725" s="7" t="n">
        <v>0.483</v>
      </c>
      <c r="H2725" s="7" t="inlineStr">
        <is>
          <t>2024</t>
        </is>
      </c>
      <c r="I2725" s="7" t="inlineStr">
        <is>
          <t>API_TX_VAL_FUEL_ZS_UN_DS2_en_csv_v2_33055.zip</t>
        </is>
      </c>
    </row>
    <row r="2726">
      <c r="A2726" s="7" t="inlineStr">
        <is>
          <t>UKR</t>
        </is>
      </c>
      <c r="B2726" s="7" t="inlineStr">
        <is>
          <t>Ukraine</t>
        </is>
      </c>
      <c r="C2726" s="7" t="inlineStr">
        <is>
          <t>Europe &amp; Central Asia</t>
        </is>
      </c>
      <c r="D2726" s="7" t="inlineStr">
        <is>
          <t>Upper middle income</t>
        </is>
      </c>
      <c r="E2726" s="7" t="b">
        <v>0</v>
      </c>
      <c r="F2726" s="7" t="inlineStr">
        <is>
          <t>power_market_structure</t>
        </is>
      </c>
      <c r="G2726" s="7" t="n">
        <v>3</v>
      </c>
      <c r="H2726" s="7" t="inlineStr">
        <is>
          <t>2013</t>
        </is>
      </c>
      <c r="I2726" s="7" t="inlineStr">
        <is>
          <t>dataverse_files.zip</t>
        </is>
      </c>
    </row>
    <row r="2727">
      <c r="A2727" s="7" t="inlineStr">
        <is>
          <t>UKR</t>
        </is>
      </c>
      <c r="B2727" s="7" t="inlineStr">
        <is>
          <t>Ukraine</t>
        </is>
      </c>
      <c r="C2727" s="7" t="inlineStr">
        <is>
          <t>Europe &amp; Central Asia</t>
        </is>
      </c>
      <c r="D2727" s="7" t="inlineStr">
        <is>
          <t>Upper middle income</t>
        </is>
      </c>
      <c r="E2727" s="7" t="b">
        <v>0</v>
      </c>
      <c r="F2727" s="7" t="inlineStr">
        <is>
          <t>price_coal_power_usd_gj</t>
        </is>
      </c>
      <c r="G2727" s="7" t="n">
        <v>2.765</v>
      </c>
      <c r="H2727" s="7" t="inlineStr">
        <is>
          <t>2024</t>
        </is>
      </c>
      <c r="I2727" s="7" t="inlineStr">
        <is>
          <t>imffossilfuelsubsidiesdata.xlsb</t>
        </is>
      </c>
    </row>
    <row r="2728">
      <c r="A2728" s="7" t="inlineStr">
        <is>
          <t>UKR</t>
        </is>
      </c>
      <c r="B2728" s="7" t="inlineStr">
        <is>
          <t>Ukraine</t>
        </is>
      </c>
      <c r="C2728" s="7" t="inlineStr">
        <is>
          <t>Europe &amp; Central Asia</t>
        </is>
      </c>
      <c r="D2728" s="7" t="inlineStr">
        <is>
          <t>Upper middle income</t>
        </is>
      </c>
      <c r="E2728" s="7" t="b">
        <v>0</v>
      </c>
      <c r="F2728" s="7" t="inlineStr">
        <is>
          <t>price_electricity_residential_usd_kwh</t>
        </is>
      </c>
      <c r="G2728" s="7" t="n">
        <v>0.089</v>
      </c>
      <c r="H2728" s="7" t="inlineStr">
        <is>
          <t>2024</t>
        </is>
      </c>
      <c r="I2728" s="7" t="inlineStr">
        <is>
          <t>imffossilfuelsubsidiesdata.xlsb</t>
        </is>
      </c>
    </row>
    <row r="2729">
      <c r="A2729" s="7" t="inlineStr">
        <is>
          <t>UKR</t>
        </is>
      </c>
      <c r="B2729" s="7" t="inlineStr">
        <is>
          <t>Ukraine</t>
        </is>
      </c>
      <c r="C2729" s="7" t="inlineStr">
        <is>
          <t>Europe &amp; Central Asia</t>
        </is>
      </c>
      <c r="D2729" s="7" t="inlineStr">
        <is>
          <t>Upper middle income</t>
        </is>
      </c>
      <c r="E2729" s="7" t="b">
        <v>0</v>
      </c>
      <c r="F2729" s="7" t="inlineStr">
        <is>
          <t>price_gas_industry_usd_gj</t>
        </is>
      </c>
      <c r="G2729" s="7" t="n">
        <v>7.267</v>
      </c>
      <c r="H2729" s="7" t="inlineStr">
        <is>
          <t>2024</t>
        </is>
      </c>
      <c r="I2729" s="7" t="inlineStr">
        <is>
          <t>imffossilfuelsubsidiesdata.xlsb</t>
        </is>
      </c>
    </row>
    <row r="2730">
      <c r="A2730" s="7" t="inlineStr">
        <is>
          <t>UKR</t>
        </is>
      </c>
      <c r="B2730" s="7" t="inlineStr">
        <is>
          <t>Ukraine</t>
        </is>
      </c>
      <c r="C2730" s="7" t="inlineStr">
        <is>
          <t>Europe &amp; Central Asia</t>
        </is>
      </c>
      <c r="D2730" s="7" t="inlineStr">
        <is>
          <t>Upper middle income</t>
        </is>
      </c>
      <c r="E2730" s="7" t="b">
        <v>0</v>
      </c>
      <c r="F2730" s="7" t="inlineStr">
        <is>
          <t>price_gas_power_usd_gj</t>
        </is>
      </c>
      <c r="G2730" s="7" t="n">
        <v>8.247999999999999</v>
      </c>
      <c r="H2730" s="7" t="inlineStr">
        <is>
          <t>2024</t>
        </is>
      </c>
      <c r="I2730" s="7" t="inlineStr">
        <is>
          <t>imffossilfuelsubsidiesdata.xlsb</t>
        </is>
      </c>
    </row>
    <row r="2731">
      <c r="A2731" s="7" t="inlineStr">
        <is>
          <t>UKR</t>
        </is>
      </c>
      <c r="B2731" s="7" t="inlineStr">
        <is>
          <t>Ukraine</t>
        </is>
      </c>
      <c r="C2731" s="7" t="inlineStr">
        <is>
          <t>Europe &amp; Central Asia</t>
        </is>
      </c>
      <c r="D2731" s="7" t="inlineStr">
        <is>
          <t>Upper middle income</t>
        </is>
      </c>
      <c r="E2731" s="7" t="b">
        <v>0</v>
      </c>
      <c r="F2731" s="7" t="inlineStr">
        <is>
          <t>rise_renewable_energy_score</t>
        </is>
      </c>
      <c r="G2731" s="7" t="n">
        <v>52.291</v>
      </c>
      <c r="H2731" s="7" t="inlineStr">
        <is>
          <t>2023</t>
        </is>
      </c>
      <c r="I2731" s="7" t="inlineStr">
        <is>
          <t>WB_RISE_WIDEF.csv</t>
        </is>
      </c>
    </row>
    <row r="2732">
      <c r="A2732" s="7" t="inlineStr">
        <is>
          <t>URY</t>
        </is>
      </c>
      <c r="B2732" s="7" t="inlineStr">
        <is>
          <t>Uruguay</t>
        </is>
      </c>
      <c r="C2732" s="7" t="inlineStr">
        <is>
          <t>Latin America &amp; Caribbean</t>
        </is>
      </c>
      <c r="D2732" s="7" t="inlineStr">
        <is>
          <t>High income</t>
        </is>
      </c>
      <c r="E2732" s="7" t="b">
        <v>0</v>
      </c>
      <c r="F2732" s="7" t="inlineStr">
        <is>
          <t>coal_rents_pct_gdp</t>
        </is>
      </c>
      <c r="G2732" s="7" t="n">
        <v>0</v>
      </c>
      <c r="H2732" s="7" t="inlineStr">
        <is>
          <t>2021</t>
        </is>
      </c>
      <c r="I2732" s="7" t="inlineStr">
        <is>
          <t>API_NY_GDP_COAL_RT_ZS_DS2_en_csv_v2_35370.zip</t>
        </is>
      </c>
    </row>
    <row r="2733">
      <c r="A2733" s="7" t="inlineStr">
        <is>
          <t>URY</t>
        </is>
      </c>
      <c r="B2733" s="7" t="inlineStr">
        <is>
          <t>Uruguay</t>
        </is>
      </c>
      <c r="C2733" s="7" t="inlineStr">
        <is>
          <t>Latin America &amp; Caribbean</t>
        </is>
      </c>
      <c r="D2733" s="7" t="inlineStr">
        <is>
          <t>High income</t>
        </is>
      </c>
      <c r="E2733" s="7" t="b">
        <v>0</v>
      </c>
      <c r="F2733" s="7" t="inlineStr">
        <is>
          <t>em_coal_mt</t>
        </is>
      </c>
      <c r="G2733" s="7" t="n">
        <v>0</v>
      </c>
      <c r="H2733" s="7" t="n">
        <v>2024</v>
      </c>
      <c r="I2733" s="7" t="inlineStr">
        <is>
          <t>release_generation_yearly_global.csv (Ember)</t>
        </is>
      </c>
    </row>
    <row r="2734">
      <c r="A2734" s="7" t="inlineStr">
        <is>
          <t>URY</t>
        </is>
      </c>
      <c r="B2734" s="7" t="inlineStr">
        <is>
          <t>Uruguay</t>
        </is>
      </c>
      <c r="C2734" s="7" t="inlineStr">
        <is>
          <t>Latin America &amp; Caribbean</t>
        </is>
      </c>
      <c r="D2734" s="7" t="inlineStr">
        <is>
          <t>High income</t>
        </is>
      </c>
      <c r="E2734" s="7" t="b">
        <v>0</v>
      </c>
      <c r="F2734" s="7" t="inlineStr">
        <is>
          <t>em_gas_mt</t>
        </is>
      </c>
      <c r="G2734" s="7" t="n">
        <v>0</v>
      </c>
      <c r="H2734" s="7" t="n">
        <v>2024</v>
      </c>
      <c r="I2734" s="7" t="inlineStr">
        <is>
          <t>release_generation_yearly_global.csv (Ember)</t>
        </is>
      </c>
    </row>
    <row r="2735">
      <c r="A2735" s="7" t="inlineStr">
        <is>
          <t>URY</t>
        </is>
      </c>
      <c r="B2735" s="7" t="inlineStr">
        <is>
          <t>Uruguay</t>
        </is>
      </c>
      <c r="C2735" s="7" t="inlineStr">
        <is>
          <t>Latin America &amp; Caribbean</t>
        </is>
      </c>
      <c r="D2735" s="7" t="inlineStr">
        <is>
          <t>High income</t>
        </is>
      </c>
      <c r="E2735" s="7" t="b">
        <v>0</v>
      </c>
      <c r="F2735" s="7" t="inlineStr">
        <is>
          <t>em_oil_mt</t>
        </is>
      </c>
      <c r="G2735" s="7" t="n">
        <v>0.099</v>
      </c>
      <c r="H2735" s="7" t="n">
        <v>2024</v>
      </c>
      <c r="I2735" s="7" t="inlineStr">
        <is>
          <t>release_generation_yearly_global.csv (Ember)</t>
        </is>
      </c>
    </row>
    <row r="2736">
      <c r="A2736" s="7" t="inlineStr">
        <is>
          <t>URY</t>
        </is>
      </c>
      <c r="B2736" s="7" t="inlineStr">
        <is>
          <t>Uruguay</t>
        </is>
      </c>
      <c r="C2736" s="7" t="inlineStr">
        <is>
          <t>Latin America &amp; Caribbean</t>
        </is>
      </c>
      <c r="D2736" s="7" t="inlineStr">
        <is>
          <t>High income</t>
        </is>
      </c>
      <c r="E2736" s="7" t="b">
        <v>0</v>
      </c>
      <c r="F2736" s="7" t="inlineStr">
        <is>
          <t>ff_subsidy_explicit_pct_gdp</t>
        </is>
      </c>
      <c r="G2736" s="7" t="n">
        <v>0</v>
      </c>
      <c r="H2736" s="7" t="inlineStr">
        <is>
          <t>2024</t>
        </is>
      </c>
      <c r="I2736" s="7" t="inlineStr">
        <is>
          <t>imffossilfuelsubsidiesdata.xlsb</t>
        </is>
      </c>
    </row>
    <row r="2737">
      <c r="A2737" s="7" t="inlineStr">
        <is>
          <t>URY</t>
        </is>
      </c>
      <c r="B2737" s="7" t="inlineStr">
        <is>
          <t>Uruguay</t>
        </is>
      </c>
      <c r="C2737" s="7" t="inlineStr">
        <is>
          <t>Latin America &amp; Caribbean</t>
        </is>
      </c>
      <c r="D2737" s="7" t="inlineStr">
        <is>
          <t>High income</t>
        </is>
      </c>
      <c r="E2737" s="7" t="b">
        <v>0</v>
      </c>
      <c r="F2737" s="7" t="inlineStr">
        <is>
          <t>fuel_exports_pct_merch</t>
        </is>
      </c>
      <c r="G2737" s="7" t="n">
        <v>1.306</v>
      </c>
      <c r="H2737" s="7" t="inlineStr">
        <is>
          <t>2024</t>
        </is>
      </c>
      <c r="I2737" s="7" t="inlineStr">
        <is>
          <t>API_TX_VAL_FUEL_ZS_UN_DS2_en_csv_v2_33055.zip</t>
        </is>
      </c>
    </row>
    <row r="2738">
      <c r="A2738" s="7" t="inlineStr">
        <is>
          <t>URY</t>
        </is>
      </c>
      <c r="B2738" s="7" t="inlineStr">
        <is>
          <t>Uruguay</t>
        </is>
      </c>
      <c r="C2738" s="7" t="inlineStr">
        <is>
          <t>Latin America &amp; Caribbean</t>
        </is>
      </c>
      <c r="D2738" s="7" t="inlineStr">
        <is>
          <t>High income</t>
        </is>
      </c>
      <c r="E2738" s="7" t="b">
        <v>0</v>
      </c>
      <c r="F2738" s="7" t="inlineStr">
        <is>
          <t>gen_coal_twh</t>
        </is>
      </c>
      <c r="G2738" s="7" t="n">
        <v>0</v>
      </c>
      <c r="H2738" s="7" t="n">
        <v>2024</v>
      </c>
      <c r="I2738" s="7" t="inlineStr">
        <is>
          <t>release_generation_yearly_global.csv (Ember)</t>
        </is>
      </c>
    </row>
    <row r="2739">
      <c r="A2739" s="7" t="inlineStr">
        <is>
          <t>URY</t>
        </is>
      </c>
      <c r="B2739" s="7" t="inlineStr">
        <is>
          <t>Uruguay</t>
        </is>
      </c>
      <c r="C2739" s="7" t="inlineStr">
        <is>
          <t>Latin America &amp; Caribbean</t>
        </is>
      </c>
      <c r="D2739" s="7" t="inlineStr">
        <is>
          <t>High income</t>
        </is>
      </c>
      <c r="E2739" s="7" t="b">
        <v>0</v>
      </c>
      <c r="F2739" s="7" t="inlineStr">
        <is>
          <t>gen_gas_twh</t>
        </is>
      </c>
      <c r="G2739" s="7" t="n">
        <v>0</v>
      </c>
      <c r="H2739" s="7" t="n">
        <v>2024</v>
      </c>
      <c r="I2739" s="7" t="inlineStr">
        <is>
          <t>release_generation_yearly_global.csv (Ember)</t>
        </is>
      </c>
    </row>
    <row r="2740">
      <c r="A2740" s="7" t="inlineStr">
        <is>
          <t>URY</t>
        </is>
      </c>
      <c r="B2740" s="7" t="inlineStr">
        <is>
          <t>Uruguay</t>
        </is>
      </c>
      <c r="C2740" s="7" t="inlineStr">
        <is>
          <t>Latin America &amp; Caribbean</t>
        </is>
      </c>
      <c r="D2740" s="7" t="inlineStr">
        <is>
          <t>High income</t>
        </is>
      </c>
      <c r="E2740" s="7" t="b">
        <v>0</v>
      </c>
      <c r="F2740" s="7" t="inlineStr">
        <is>
          <t>gen_oil_twh</t>
        </is>
      </c>
      <c r="G2740" s="7" t="n">
        <v>0.15</v>
      </c>
      <c r="H2740" s="7" t="n">
        <v>2024</v>
      </c>
      <c r="I2740" s="7" t="inlineStr">
        <is>
          <t>release_generation_yearly_global.csv (Ember)</t>
        </is>
      </c>
    </row>
    <row r="2741">
      <c r="A2741" s="7" t="inlineStr">
        <is>
          <t>URY</t>
        </is>
      </c>
      <c r="B2741" s="7" t="inlineStr">
        <is>
          <t>Uruguay</t>
        </is>
      </c>
      <c r="C2741" s="7" t="inlineStr">
        <is>
          <t>Latin America &amp; Caribbean</t>
        </is>
      </c>
      <c r="D2741" s="7" t="inlineStr">
        <is>
          <t>High income</t>
        </is>
      </c>
      <c r="E2741" s="7" t="b">
        <v>0</v>
      </c>
      <c r="F2741" s="7" t="inlineStr">
        <is>
          <t>gen_total_twh</t>
        </is>
      </c>
      <c r="G2741" s="7" t="n">
        <v>13.37</v>
      </c>
      <c r="H2741" s="7" t="n">
        <v>2024</v>
      </c>
      <c r="I2741" s="7" t="inlineStr">
        <is>
          <t>release_generation_yearly_global.csv (Ember)</t>
        </is>
      </c>
    </row>
    <row r="2742">
      <c r="A2742" s="7" t="inlineStr">
        <is>
          <t>URY</t>
        </is>
      </c>
      <c r="B2742" s="7" t="inlineStr">
        <is>
          <t>Uruguay</t>
        </is>
      </c>
      <c r="C2742" s="7" t="inlineStr">
        <is>
          <t>Latin America &amp; Caribbean</t>
        </is>
      </c>
      <c r="D2742" s="7" t="inlineStr">
        <is>
          <t>High income</t>
        </is>
      </c>
      <c r="E2742" s="7" t="b">
        <v>0</v>
      </c>
      <c r="F2742" s="7" t="inlineStr">
        <is>
          <t>power_market_structure</t>
        </is>
      </c>
      <c r="G2742" s="7" t="n">
        <v>2</v>
      </c>
      <c r="H2742" s="7" t="inlineStr">
        <is>
          <t>2013</t>
        </is>
      </c>
      <c r="I2742" s="7" t="inlineStr">
        <is>
          <t>dataverse_files.zip</t>
        </is>
      </c>
    </row>
    <row r="2743">
      <c r="A2743" s="7" t="inlineStr">
        <is>
          <t>URY</t>
        </is>
      </c>
      <c r="B2743" s="7" t="inlineStr">
        <is>
          <t>Uruguay</t>
        </is>
      </c>
      <c r="C2743" s="7" t="inlineStr">
        <is>
          <t>Latin America &amp; Caribbean</t>
        </is>
      </c>
      <c r="D2743" s="7" t="inlineStr">
        <is>
          <t>High income</t>
        </is>
      </c>
      <c r="E2743" s="7" t="b">
        <v>0</v>
      </c>
      <c r="F2743" s="7" t="inlineStr">
        <is>
          <t>price_coal_power_usd_gj</t>
        </is>
      </c>
      <c r="G2743" s="7" t="n">
        <v>4.659</v>
      </c>
      <c r="H2743" s="7" t="inlineStr">
        <is>
          <t>2024</t>
        </is>
      </c>
      <c r="I2743" s="7" t="inlineStr">
        <is>
          <t>imffossilfuelsubsidiesdata.xlsb</t>
        </is>
      </c>
    </row>
    <row r="2744">
      <c r="A2744" s="7" t="inlineStr">
        <is>
          <t>URY</t>
        </is>
      </c>
      <c r="B2744" s="7" t="inlineStr">
        <is>
          <t>Uruguay</t>
        </is>
      </c>
      <c r="C2744" s="7" t="inlineStr">
        <is>
          <t>Latin America &amp; Caribbean</t>
        </is>
      </c>
      <c r="D2744" s="7" t="inlineStr">
        <is>
          <t>High income</t>
        </is>
      </c>
      <c r="E2744" s="7" t="b">
        <v>0</v>
      </c>
      <c r="F2744" s="7" t="inlineStr">
        <is>
          <t>price_electricity_residential_usd_kwh</t>
        </is>
      </c>
      <c r="G2744" s="7" t="n">
        <v>0.228</v>
      </c>
      <c r="H2744" s="7" t="inlineStr">
        <is>
          <t>2024</t>
        </is>
      </c>
      <c r="I2744" s="7" t="inlineStr">
        <is>
          <t>imffossilfuelsubsidiesdata.xlsb</t>
        </is>
      </c>
    </row>
    <row r="2745">
      <c r="A2745" s="7" t="inlineStr">
        <is>
          <t>URY</t>
        </is>
      </c>
      <c r="B2745" s="7" t="inlineStr">
        <is>
          <t>Uruguay</t>
        </is>
      </c>
      <c r="C2745" s="7" t="inlineStr">
        <is>
          <t>Latin America &amp; Caribbean</t>
        </is>
      </c>
      <c r="D2745" s="7" t="inlineStr">
        <is>
          <t>High income</t>
        </is>
      </c>
      <c r="E2745" s="7" t="b">
        <v>0</v>
      </c>
      <c r="F2745" s="7" t="inlineStr">
        <is>
          <t>price_gas_industry_usd_gj</t>
        </is>
      </c>
      <c r="G2745" s="7" t="n">
        <v>26.54</v>
      </c>
      <c r="H2745" s="7" t="inlineStr">
        <is>
          <t>2024</t>
        </is>
      </c>
      <c r="I2745" s="7" t="inlineStr">
        <is>
          <t>imffossilfuelsubsidiesdata.xlsb</t>
        </is>
      </c>
    </row>
    <row r="2746">
      <c r="A2746" s="7" t="inlineStr">
        <is>
          <t>URY</t>
        </is>
      </c>
      <c r="B2746" s="7" t="inlineStr">
        <is>
          <t>Uruguay</t>
        </is>
      </c>
      <c r="C2746" s="7" t="inlineStr">
        <is>
          <t>Latin America &amp; Caribbean</t>
        </is>
      </c>
      <c r="D2746" s="7" t="inlineStr">
        <is>
          <t>High income</t>
        </is>
      </c>
      <c r="E2746" s="7" t="b">
        <v>0</v>
      </c>
      <c r="F2746" s="7" t="inlineStr">
        <is>
          <t>price_gas_power_usd_gj</t>
        </is>
      </c>
      <c r="G2746" s="7" t="n">
        <v>26.54</v>
      </c>
      <c r="H2746" s="7" t="inlineStr">
        <is>
          <t>2024</t>
        </is>
      </c>
      <c r="I2746" s="7" t="inlineStr">
        <is>
          <t>imffossilfuelsubsidiesdata.xlsb</t>
        </is>
      </c>
    </row>
    <row r="2747">
      <c r="A2747" s="7" t="inlineStr">
        <is>
          <t>URY</t>
        </is>
      </c>
      <c r="B2747" s="7" t="inlineStr">
        <is>
          <t>Uruguay</t>
        </is>
      </c>
      <c r="C2747" s="7" t="inlineStr">
        <is>
          <t>Latin America &amp; Caribbean</t>
        </is>
      </c>
      <c r="D2747" s="7" t="inlineStr">
        <is>
          <t>High income</t>
        </is>
      </c>
      <c r="E2747" s="7" t="b">
        <v>0</v>
      </c>
      <c r="F2747" s="7" t="inlineStr">
        <is>
          <t>rise_renewable_energy_score</t>
        </is>
      </c>
      <c r="G2747" s="7" t="n">
        <v>53.815</v>
      </c>
      <c r="H2747" s="7" t="inlineStr">
        <is>
          <t>2023</t>
        </is>
      </c>
      <c r="I2747" s="7" t="inlineStr">
        <is>
          <t>WB_RISE_WIDEF.csv</t>
        </is>
      </c>
    </row>
    <row r="2748">
      <c r="A2748" s="7" t="inlineStr">
        <is>
          <t>USA</t>
        </is>
      </c>
      <c r="B2748" s="7" t="inlineStr">
        <is>
          <t>United States</t>
        </is>
      </c>
      <c r="C2748" s="7" t="inlineStr">
        <is>
          <t>North America</t>
        </is>
      </c>
      <c r="D2748" s="7" t="inlineStr">
        <is>
          <t>High income</t>
        </is>
      </c>
      <c r="E2748" s="7" t="b">
        <v>0</v>
      </c>
      <c r="F2748" s="7" t="inlineStr">
        <is>
          <t>coal_rents_pct_gdp</t>
        </is>
      </c>
      <c r="G2748" s="7" t="n">
        <v>0.166</v>
      </c>
      <c r="H2748" s="7" t="inlineStr">
        <is>
          <t>2021</t>
        </is>
      </c>
      <c r="I2748" s="7" t="inlineStr">
        <is>
          <t>API_NY_GDP_COAL_RT_ZS_DS2_en_csv_v2_35370.zip</t>
        </is>
      </c>
    </row>
    <row r="2749">
      <c r="A2749" s="7" t="inlineStr">
        <is>
          <t>USA</t>
        </is>
      </c>
      <c r="B2749" s="7" t="inlineStr">
        <is>
          <t>United States</t>
        </is>
      </c>
      <c r="C2749" s="7" t="inlineStr">
        <is>
          <t>North America</t>
        </is>
      </c>
      <c r="D2749" s="7" t="inlineStr">
        <is>
          <t>High income</t>
        </is>
      </c>
      <c r="E2749" s="7" t="b">
        <v>0</v>
      </c>
      <c r="F2749" s="7" t="inlineStr">
        <is>
          <t>em_coal_mt</t>
        </is>
      </c>
      <c r="G2749" s="7" t="n">
        <v>619.596</v>
      </c>
      <c r="H2749" s="7" t="n">
        <v>2024</v>
      </c>
      <c r="I2749" s="7" t="inlineStr">
        <is>
          <t>release_generation_yearly_global.csv (Ember)</t>
        </is>
      </c>
    </row>
    <row r="2750">
      <c r="A2750" s="7" t="inlineStr">
        <is>
          <t>USA</t>
        </is>
      </c>
      <c r="B2750" s="7" t="inlineStr">
        <is>
          <t>United States</t>
        </is>
      </c>
      <c r="C2750" s="7" t="inlineStr">
        <is>
          <t>North America</t>
        </is>
      </c>
      <c r="D2750" s="7" t="inlineStr">
        <is>
          <t>High income</t>
        </is>
      </c>
      <c r="E2750" s="7" t="b">
        <v>0</v>
      </c>
      <c r="F2750" s="7" t="inlineStr">
        <is>
          <t>em_gas_mt</t>
        </is>
      </c>
      <c r="G2750" s="7" t="n">
        <v>1004.701</v>
      </c>
      <c r="H2750" s="7" t="n">
        <v>2024</v>
      </c>
      <c r="I2750" s="7" t="inlineStr">
        <is>
          <t>release_generation_yearly_global.csv (Ember)</t>
        </is>
      </c>
    </row>
    <row r="2751">
      <c r="A2751" s="7" t="inlineStr">
        <is>
          <t>USA</t>
        </is>
      </c>
      <c r="B2751" s="7" t="inlineStr">
        <is>
          <t>United States</t>
        </is>
      </c>
      <c r="C2751" s="7" t="inlineStr">
        <is>
          <t>North America</t>
        </is>
      </c>
      <c r="D2751" s="7" t="inlineStr">
        <is>
          <t>High income</t>
        </is>
      </c>
      <c r="E2751" s="7" t="b">
        <v>0</v>
      </c>
      <c r="F2751" s="7" t="inlineStr">
        <is>
          <t>em_oil_mt</t>
        </is>
      </c>
      <c r="G2751" s="7" t="n">
        <v>21.329</v>
      </c>
      <c r="H2751" s="7" t="n">
        <v>2024</v>
      </c>
      <c r="I2751" s="7" t="inlineStr">
        <is>
          <t>release_generation_yearly_global.csv (Ember)</t>
        </is>
      </c>
    </row>
    <row r="2752">
      <c r="A2752" s="7" t="inlineStr">
        <is>
          <t>USA</t>
        </is>
      </c>
      <c r="B2752" s="7" t="inlineStr">
        <is>
          <t>United States</t>
        </is>
      </c>
      <c r="C2752" s="7" t="inlineStr">
        <is>
          <t>North America</t>
        </is>
      </c>
      <c r="D2752" s="7" t="inlineStr">
        <is>
          <t>High income</t>
        </is>
      </c>
      <c r="E2752" s="7" t="b">
        <v>0</v>
      </c>
      <c r="F2752" s="7" t="inlineStr">
        <is>
          <t>ff_subsidy_explicit_pct_gdp</t>
        </is>
      </c>
      <c r="G2752" s="7" t="n">
        <v>0.075</v>
      </c>
      <c r="H2752" s="7" t="inlineStr">
        <is>
          <t>2024</t>
        </is>
      </c>
      <c r="I2752" s="7" t="inlineStr">
        <is>
          <t>imffossilfuelsubsidiesdata.xlsb</t>
        </is>
      </c>
    </row>
    <row r="2753">
      <c r="A2753" s="7" t="inlineStr">
        <is>
          <t>USA</t>
        </is>
      </c>
      <c r="B2753" s="7" t="inlineStr">
        <is>
          <t>United States</t>
        </is>
      </c>
      <c r="C2753" s="7" t="inlineStr">
        <is>
          <t>North America</t>
        </is>
      </c>
      <c r="D2753" s="7" t="inlineStr">
        <is>
          <t>High income</t>
        </is>
      </c>
      <c r="E2753" s="7" t="b">
        <v>0</v>
      </c>
      <c r="F2753" s="7" t="inlineStr">
        <is>
          <t>fuel_exports_pct_merch</t>
        </is>
      </c>
      <c r="G2753" s="7" t="n">
        <v>18.311</v>
      </c>
      <c r="H2753" s="7" t="inlineStr">
        <is>
          <t>2024</t>
        </is>
      </c>
      <c r="I2753" s="7" t="inlineStr">
        <is>
          <t>API_TX_VAL_FUEL_ZS_UN_DS2_en_csv_v2_33055.zip</t>
        </is>
      </c>
    </row>
    <row r="2754">
      <c r="A2754" s="7" t="inlineStr">
        <is>
          <t>USA</t>
        </is>
      </c>
      <c r="B2754" s="7" t="inlineStr">
        <is>
          <t>United States</t>
        </is>
      </c>
      <c r="C2754" s="7" t="inlineStr">
        <is>
          <t>North America</t>
        </is>
      </c>
      <c r="D2754" s="7" t="inlineStr">
        <is>
          <t>High income</t>
        </is>
      </c>
      <c r="E2754" s="7" t="b">
        <v>0</v>
      </c>
      <c r="F2754" s="7" t="inlineStr">
        <is>
          <t>gen_coal_twh</t>
        </is>
      </c>
      <c r="G2754" s="7" t="n">
        <v>652.16</v>
      </c>
      <c r="H2754" s="7" t="n">
        <v>2024</v>
      </c>
      <c r="I2754" s="7" t="inlineStr">
        <is>
          <t>release_generation_yearly_global.csv (Ember)</t>
        </is>
      </c>
    </row>
    <row r="2755">
      <c r="A2755" s="7" t="inlineStr">
        <is>
          <t>USA</t>
        </is>
      </c>
      <c r="B2755" s="7" t="inlineStr">
        <is>
          <t>United States</t>
        </is>
      </c>
      <c r="C2755" s="7" t="inlineStr">
        <is>
          <t>North America</t>
        </is>
      </c>
      <c r="D2755" s="7" t="inlineStr">
        <is>
          <t>High income</t>
        </is>
      </c>
      <c r="E2755" s="7" t="b">
        <v>0</v>
      </c>
      <c r="F2755" s="7" t="inlineStr">
        <is>
          <t>gen_gas_twh</t>
        </is>
      </c>
      <c r="G2755" s="7" t="n">
        <v>1869.9</v>
      </c>
      <c r="H2755" s="7" t="n">
        <v>2024</v>
      </c>
      <c r="I2755" s="7" t="inlineStr">
        <is>
          <t>release_generation_yearly_global.csv (Ember)</t>
        </is>
      </c>
    </row>
    <row r="2756">
      <c r="A2756" s="7" t="inlineStr">
        <is>
          <t>USA</t>
        </is>
      </c>
      <c r="B2756" s="7" t="inlineStr">
        <is>
          <t>United States</t>
        </is>
      </c>
      <c r="C2756" s="7" t="inlineStr">
        <is>
          <t>North America</t>
        </is>
      </c>
      <c r="D2756" s="7" t="inlineStr">
        <is>
          <t>High income</t>
        </is>
      </c>
      <c r="E2756" s="7" t="b">
        <v>0</v>
      </c>
      <c r="F2756" s="7" t="inlineStr">
        <is>
          <t>gen_oil_twh</t>
        </is>
      </c>
      <c r="G2756" s="7" t="n">
        <v>30.47</v>
      </c>
      <c r="H2756" s="7" t="n">
        <v>2024</v>
      </c>
      <c r="I2756" s="7" t="inlineStr">
        <is>
          <t>release_generation_yearly_global.csv (Ember)</t>
        </is>
      </c>
    </row>
    <row r="2757">
      <c r="A2757" s="7" t="inlineStr">
        <is>
          <t>USA</t>
        </is>
      </c>
      <c r="B2757" s="7" t="inlineStr">
        <is>
          <t>United States</t>
        </is>
      </c>
      <c r="C2757" s="7" t="inlineStr">
        <is>
          <t>North America</t>
        </is>
      </c>
      <c r="D2757" s="7" t="inlineStr">
        <is>
          <t>High income</t>
        </is>
      </c>
      <c r="E2757" s="7" t="b">
        <v>0</v>
      </c>
      <c r="F2757" s="7" t="inlineStr">
        <is>
          <t>gen_total_twh</t>
        </is>
      </c>
      <c r="G2757" s="7" t="n">
        <v>4391.02</v>
      </c>
      <c r="H2757" s="7" t="n">
        <v>2024</v>
      </c>
      <c r="I2757" s="7" t="inlineStr">
        <is>
          <t>release_generation_yearly_global.csv (Ember)</t>
        </is>
      </c>
    </row>
    <row r="2758">
      <c r="A2758" s="7" t="inlineStr">
        <is>
          <t>USA</t>
        </is>
      </c>
      <c r="B2758" s="7" t="inlineStr">
        <is>
          <t>United States</t>
        </is>
      </c>
      <c r="C2758" s="7" t="inlineStr">
        <is>
          <t>North America</t>
        </is>
      </c>
      <c r="D2758" s="7" t="inlineStr">
        <is>
          <t>High income</t>
        </is>
      </c>
      <c r="E2758" s="7" t="b">
        <v>0</v>
      </c>
      <c r="F2758" s="7" t="inlineStr">
        <is>
          <t>price_coal_power_usd_gj</t>
        </is>
      </c>
      <c r="G2758" s="7" t="n">
        <v>1.999</v>
      </c>
      <c r="H2758" s="7" t="inlineStr">
        <is>
          <t>2024</t>
        </is>
      </c>
      <c r="I2758" s="7" t="inlineStr">
        <is>
          <t>imffossilfuelsubsidiesdata.xlsb</t>
        </is>
      </c>
    </row>
    <row r="2759">
      <c r="A2759" s="7" t="inlineStr">
        <is>
          <t>USA</t>
        </is>
      </c>
      <c r="B2759" s="7" t="inlineStr">
        <is>
          <t>United States</t>
        </is>
      </c>
      <c r="C2759" s="7" t="inlineStr">
        <is>
          <t>North America</t>
        </is>
      </c>
      <c r="D2759" s="7" t="inlineStr">
        <is>
          <t>High income</t>
        </is>
      </c>
      <c r="E2759" s="7" t="b">
        <v>0</v>
      </c>
      <c r="F2759" s="7" t="inlineStr">
        <is>
          <t>price_electricity_residential_usd_kwh</t>
        </is>
      </c>
      <c r="G2759" s="7" t="n">
        <v>0.187</v>
      </c>
      <c r="H2759" s="7" t="inlineStr">
        <is>
          <t>2024</t>
        </is>
      </c>
      <c r="I2759" s="7" t="inlineStr">
        <is>
          <t>imffossilfuelsubsidiesdata.xlsb</t>
        </is>
      </c>
    </row>
    <row r="2760">
      <c r="A2760" s="7" t="inlineStr">
        <is>
          <t>USA</t>
        </is>
      </c>
      <c r="B2760" s="7" t="inlineStr">
        <is>
          <t>United States</t>
        </is>
      </c>
      <c r="C2760" s="7" t="inlineStr">
        <is>
          <t>North America</t>
        </is>
      </c>
      <c r="D2760" s="7" t="inlineStr">
        <is>
          <t>High income</t>
        </is>
      </c>
      <c r="E2760" s="7" t="b">
        <v>0</v>
      </c>
      <c r="F2760" s="7" t="inlineStr">
        <is>
          <t>price_gas_industry_usd_gj</t>
        </is>
      </c>
      <c r="G2760" s="7" t="n">
        <v>8.680999999999999</v>
      </c>
      <c r="H2760" s="7" t="inlineStr">
        <is>
          <t>2024</t>
        </is>
      </c>
      <c r="I2760" s="7" t="inlineStr">
        <is>
          <t>imffossilfuelsubsidiesdata.xlsb</t>
        </is>
      </c>
    </row>
    <row r="2761">
      <c r="A2761" s="7" t="inlineStr">
        <is>
          <t>USA</t>
        </is>
      </c>
      <c r="B2761" s="7" t="inlineStr">
        <is>
          <t>United States</t>
        </is>
      </c>
      <c r="C2761" s="7" t="inlineStr">
        <is>
          <t>North America</t>
        </is>
      </c>
      <c r="D2761" s="7" t="inlineStr">
        <is>
          <t>High income</t>
        </is>
      </c>
      <c r="E2761" s="7" t="b">
        <v>0</v>
      </c>
      <c r="F2761" s="7" t="inlineStr">
        <is>
          <t>rise_renewable_energy_score</t>
        </is>
      </c>
      <c r="G2761" s="7" t="n">
        <v>74.79600000000001</v>
      </c>
      <c r="H2761" s="7" t="inlineStr">
        <is>
          <t>2023</t>
        </is>
      </c>
      <c r="I2761" s="7" t="inlineStr">
        <is>
          <t>WB_RISE_WIDEF.csv</t>
        </is>
      </c>
    </row>
    <row r="2762">
      <c r="A2762" s="7" t="inlineStr">
        <is>
          <t>UZB</t>
        </is>
      </c>
      <c r="B2762" s="7" t="inlineStr">
        <is>
          <t>Uzbekistan</t>
        </is>
      </c>
      <c r="C2762" s="7" t="inlineStr">
        <is>
          <t>Europe &amp; Central Asia</t>
        </is>
      </c>
      <c r="D2762" s="7" t="inlineStr">
        <is>
          <t>Lower middle income</t>
        </is>
      </c>
      <c r="E2762" s="7" t="b">
        <v>1</v>
      </c>
      <c r="F2762" s="7" t="inlineStr">
        <is>
          <t>coal_rents_pct_gdp</t>
        </is>
      </c>
      <c r="G2762" s="7" t="n">
        <v>0.054</v>
      </c>
      <c r="H2762" s="7" t="inlineStr">
        <is>
          <t>2021</t>
        </is>
      </c>
      <c r="I2762" s="7" t="inlineStr">
        <is>
          <t>API_NY_GDP_COAL_RT_ZS_DS2_en_csv_v2_35370.zip</t>
        </is>
      </c>
    </row>
    <row r="2763">
      <c r="A2763" s="7" t="inlineStr">
        <is>
          <t>UZB</t>
        </is>
      </c>
      <c r="B2763" s="7" t="inlineStr">
        <is>
          <t>Uzbekistan</t>
        </is>
      </c>
      <c r="C2763" s="7" t="inlineStr">
        <is>
          <t>Europe &amp; Central Asia</t>
        </is>
      </c>
      <c r="D2763" s="7" t="inlineStr">
        <is>
          <t>Lower middle income</t>
        </is>
      </c>
      <c r="E2763" s="7" t="b">
        <v>1</v>
      </c>
      <c r="F2763" s="7" t="inlineStr">
        <is>
          <t>em_coal_mt</t>
        </is>
      </c>
      <c r="G2763" s="7" t="n">
        <v>5.433</v>
      </c>
      <c r="H2763" s="7" t="n">
        <v>2024</v>
      </c>
      <c r="I2763" s="7" t="inlineStr">
        <is>
          <t>release_generation_yearly_global.csv (Ember)</t>
        </is>
      </c>
    </row>
    <row r="2764">
      <c r="A2764" s="7" t="inlineStr">
        <is>
          <t>UZB</t>
        </is>
      </c>
      <c r="B2764" s="7" t="inlineStr">
        <is>
          <t>Uzbekistan</t>
        </is>
      </c>
      <c r="C2764" s="7" t="inlineStr">
        <is>
          <t>Europe &amp; Central Asia</t>
        </is>
      </c>
      <c r="D2764" s="7" t="inlineStr">
        <is>
          <t>Lower middle income</t>
        </is>
      </c>
      <c r="E2764" s="7" t="b">
        <v>1</v>
      </c>
      <c r="F2764" s="7" t="inlineStr">
        <is>
          <t>em_gas_mt</t>
        </is>
      </c>
      <c r="G2764" s="7" t="n">
        <v>78.001</v>
      </c>
      <c r="H2764" s="7" t="n">
        <v>2024</v>
      </c>
      <c r="I2764" s="7" t="inlineStr">
        <is>
          <t>release_generation_yearly_global.csv (Ember)</t>
        </is>
      </c>
    </row>
    <row r="2765">
      <c r="A2765" s="7" t="inlineStr">
        <is>
          <t>UZB</t>
        </is>
      </c>
      <c r="B2765" s="7" t="inlineStr">
        <is>
          <t>Uzbekistan</t>
        </is>
      </c>
      <c r="C2765" s="7" t="inlineStr">
        <is>
          <t>Europe &amp; Central Asia</t>
        </is>
      </c>
      <c r="D2765" s="7" t="inlineStr">
        <is>
          <t>Lower middle income</t>
        </is>
      </c>
      <c r="E2765" s="7" t="b">
        <v>1</v>
      </c>
      <c r="F2765" s="7" t="inlineStr">
        <is>
          <t>em_oil_mt</t>
        </is>
      </c>
      <c r="G2765" s="7" t="n">
        <v>0.987</v>
      </c>
      <c r="H2765" s="7" t="n">
        <v>2024</v>
      </c>
      <c r="I2765" s="7" t="inlineStr">
        <is>
          <t>release_generation_yearly_global.csv (Ember)</t>
        </is>
      </c>
    </row>
    <row r="2766">
      <c r="A2766" s="7" t="inlineStr">
        <is>
          <t>UZB</t>
        </is>
      </c>
      <c r="B2766" s="7" t="inlineStr">
        <is>
          <t>Uzbekistan</t>
        </is>
      </c>
      <c r="C2766" s="7" t="inlineStr">
        <is>
          <t>Europe &amp; Central Asia</t>
        </is>
      </c>
      <c r="D2766" s="7" t="inlineStr">
        <is>
          <t>Lower middle income</t>
        </is>
      </c>
      <c r="E2766" s="7" t="b">
        <v>1</v>
      </c>
      <c r="F2766" s="7" t="inlineStr">
        <is>
          <t>ff_subsidy_explicit_pct_gdp</t>
        </is>
      </c>
      <c r="G2766" s="7" t="n">
        <v>11.476</v>
      </c>
      <c r="H2766" s="7" t="inlineStr">
        <is>
          <t>2024</t>
        </is>
      </c>
      <c r="I2766" s="7" t="inlineStr">
        <is>
          <t>imffossilfuelsubsidiesdata.xlsb</t>
        </is>
      </c>
    </row>
    <row r="2767">
      <c r="A2767" s="7" t="inlineStr">
        <is>
          <t>UZB</t>
        </is>
      </c>
      <c r="B2767" s="7" t="inlineStr">
        <is>
          <t>Uzbekistan</t>
        </is>
      </c>
      <c r="C2767" s="7" t="inlineStr">
        <is>
          <t>Europe &amp; Central Asia</t>
        </is>
      </c>
      <c r="D2767" s="7" t="inlineStr">
        <is>
          <t>Lower middle income</t>
        </is>
      </c>
      <c r="E2767" s="7" t="b">
        <v>1</v>
      </c>
      <c r="F2767" s="7" t="inlineStr">
        <is>
          <t>fuel_exports_pct_merch</t>
        </is>
      </c>
      <c r="G2767" s="7" t="n">
        <v>6.528</v>
      </c>
      <c r="H2767" s="7" t="inlineStr">
        <is>
          <t>2024</t>
        </is>
      </c>
      <c r="I2767" s="7" t="inlineStr">
        <is>
          <t>API_TX_VAL_FUEL_ZS_UN_DS2_en_csv_v2_33055.zip</t>
        </is>
      </c>
    </row>
    <row r="2768">
      <c r="A2768" s="7" t="inlineStr">
        <is>
          <t>UZB</t>
        </is>
      </c>
      <c r="B2768" s="7" t="inlineStr">
        <is>
          <t>Uzbekistan</t>
        </is>
      </c>
      <c r="C2768" s="7" t="inlineStr">
        <is>
          <t>Europe &amp; Central Asia</t>
        </is>
      </c>
      <c r="D2768" s="7" t="inlineStr">
        <is>
          <t>Lower middle income</t>
        </is>
      </c>
      <c r="E2768" s="7" t="b">
        <v>1</v>
      </c>
      <c r="F2768" s="7" t="inlineStr">
        <is>
          <t>gen_coal_twh</t>
        </is>
      </c>
      <c r="G2768" s="7" t="n">
        <v>5.7</v>
      </c>
      <c r="H2768" s="7" t="n">
        <v>2024</v>
      </c>
      <c r="I2768" s="7" t="inlineStr">
        <is>
          <t>release_generation_yearly_global.csv (Ember)</t>
        </is>
      </c>
    </row>
    <row r="2769">
      <c r="A2769" s="7" t="inlineStr">
        <is>
          <t>UZB</t>
        </is>
      </c>
      <c r="B2769" s="7" t="inlineStr">
        <is>
          <t>Uzbekistan</t>
        </is>
      </c>
      <c r="C2769" s="7" t="inlineStr">
        <is>
          <t>Europe &amp; Central Asia</t>
        </is>
      </c>
      <c r="D2769" s="7" t="inlineStr">
        <is>
          <t>Lower middle income</t>
        </is>
      </c>
      <c r="E2769" s="7" t="b">
        <v>1</v>
      </c>
      <c r="F2769" s="7" t="inlineStr">
        <is>
          <t>gen_gas_twh</t>
        </is>
      </c>
      <c r="G2769" s="7" t="n">
        <v>61.3</v>
      </c>
      <c r="H2769" s="7" t="n">
        <v>2024</v>
      </c>
      <c r="I2769" s="7" t="inlineStr">
        <is>
          <t>release_generation_yearly_global.csv (Ember)</t>
        </is>
      </c>
    </row>
    <row r="2770">
      <c r="A2770" s="7" t="inlineStr">
        <is>
          <t>UZB</t>
        </is>
      </c>
      <c r="B2770" s="7" t="inlineStr">
        <is>
          <t>Uzbekistan</t>
        </is>
      </c>
      <c r="C2770" s="7" t="inlineStr">
        <is>
          <t>Europe &amp; Central Asia</t>
        </is>
      </c>
      <c r="D2770" s="7" t="inlineStr">
        <is>
          <t>Lower middle income</t>
        </is>
      </c>
      <c r="E2770" s="7" t="b">
        <v>1</v>
      </c>
      <c r="F2770" s="7" t="inlineStr">
        <is>
          <t>gen_oil_twh</t>
        </is>
      </c>
      <c r="G2770" s="7" t="n">
        <v>1.5</v>
      </c>
      <c r="H2770" s="7" t="n">
        <v>2024</v>
      </c>
      <c r="I2770" s="7" t="inlineStr">
        <is>
          <t>release_generation_yearly_global.csv (Ember)</t>
        </is>
      </c>
    </row>
    <row r="2771">
      <c r="A2771" s="7" t="inlineStr">
        <is>
          <t>UZB</t>
        </is>
      </c>
      <c r="B2771" s="7" t="inlineStr">
        <is>
          <t>Uzbekistan</t>
        </is>
      </c>
      <c r="C2771" s="7" t="inlineStr">
        <is>
          <t>Europe &amp; Central Asia</t>
        </is>
      </c>
      <c r="D2771" s="7" t="inlineStr">
        <is>
          <t>Lower middle income</t>
        </is>
      </c>
      <c r="E2771" s="7" t="b">
        <v>1</v>
      </c>
      <c r="F2771" s="7" t="inlineStr">
        <is>
          <t>gen_total_twh</t>
        </is>
      </c>
      <c r="G2771" s="7" t="n">
        <v>81.5</v>
      </c>
      <c r="H2771" s="7" t="n">
        <v>2024</v>
      </c>
      <c r="I2771" s="7" t="inlineStr">
        <is>
          <t>release_generation_yearly_global.csv (Ember)</t>
        </is>
      </c>
    </row>
    <row r="2772">
      <c r="A2772" s="7" t="inlineStr">
        <is>
          <t>UZB</t>
        </is>
      </c>
      <c r="B2772" s="7" t="inlineStr">
        <is>
          <t>Uzbekistan</t>
        </is>
      </c>
      <c r="C2772" s="7" t="inlineStr">
        <is>
          <t>Europe &amp; Central Asia</t>
        </is>
      </c>
      <c r="D2772" s="7" t="inlineStr">
        <is>
          <t>Lower middle income</t>
        </is>
      </c>
      <c r="E2772" s="7" t="b">
        <v>1</v>
      </c>
      <c r="F2772" s="7" t="inlineStr">
        <is>
          <t>power_market_structure</t>
        </is>
      </c>
      <c r="G2772" s="7" t="n">
        <v>1</v>
      </c>
      <c r="H2772" s="7" t="inlineStr">
        <is>
          <t>2013</t>
        </is>
      </c>
      <c r="I2772" s="7" t="inlineStr">
        <is>
          <t>dataverse_files.zip</t>
        </is>
      </c>
    </row>
    <row r="2773">
      <c r="A2773" s="7" t="inlineStr">
        <is>
          <t>UZB</t>
        </is>
      </c>
      <c r="B2773" s="7" t="inlineStr">
        <is>
          <t>Uzbekistan</t>
        </is>
      </c>
      <c r="C2773" s="7" t="inlineStr">
        <is>
          <t>Europe &amp; Central Asia</t>
        </is>
      </c>
      <c r="D2773" s="7" t="inlineStr">
        <is>
          <t>Lower middle income</t>
        </is>
      </c>
      <c r="E2773" s="7" t="b">
        <v>1</v>
      </c>
      <c r="F2773" s="7" t="inlineStr">
        <is>
          <t>price_coal_power_usd_gj</t>
        </is>
      </c>
      <c r="G2773" s="7" t="n">
        <v>2.79</v>
      </c>
      <c r="H2773" s="7" t="inlineStr">
        <is>
          <t>2024</t>
        </is>
      </c>
      <c r="I2773" s="7" t="inlineStr">
        <is>
          <t>imffossilfuelsubsidiesdata.xlsb</t>
        </is>
      </c>
    </row>
    <row r="2774">
      <c r="A2774" s="7" t="inlineStr">
        <is>
          <t>UZB</t>
        </is>
      </c>
      <c r="B2774" s="7" t="inlineStr">
        <is>
          <t>Uzbekistan</t>
        </is>
      </c>
      <c r="C2774" s="7" t="inlineStr">
        <is>
          <t>Europe &amp; Central Asia</t>
        </is>
      </c>
      <c r="D2774" s="7" t="inlineStr">
        <is>
          <t>Lower middle income</t>
        </is>
      </c>
      <c r="E2774" s="7" t="b">
        <v>1</v>
      </c>
      <c r="F2774" s="7" t="inlineStr">
        <is>
          <t>price_electricity_residential_usd_kwh</t>
        </is>
      </c>
      <c r="G2774" s="7" t="n">
        <v>0.034</v>
      </c>
      <c r="H2774" s="7" t="inlineStr">
        <is>
          <t>2024</t>
        </is>
      </c>
      <c r="I2774" s="7" t="inlineStr">
        <is>
          <t>imffossilfuelsubsidiesdata.xlsb</t>
        </is>
      </c>
    </row>
    <row r="2775">
      <c r="A2775" s="7" t="inlineStr">
        <is>
          <t>UZB</t>
        </is>
      </c>
      <c r="B2775" s="7" t="inlineStr">
        <is>
          <t>Uzbekistan</t>
        </is>
      </c>
      <c r="C2775" s="7" t="inlineStr">
        <is>
          <t>Europe &amp; Central Asia</t>
        </is>
      </c>
      <c r="D2775" s="7" t="inlineStr">
        <is>
          <t>Lower middle income</t>
        </is>
      </c>
      <c r="E2775" s="7" t="b">
        <v>1</v>
      </c>
      <c r="F2775" s="7" t="inlineStr">
        <is>
          <t>price_gas_industry_usd_gj</t>
        </is>
      </c>
      <c r="G2775" s="7" t="n">
        <v>10.899</v>
      </c>
      <c r="H2775" s="7" t="inlineStr">
        <is>
          <t>2024</t>
        </is>
      </c>
      <c r="I2775" s="7" t="inlineStr">
        <is>
          <t>imffossilfuelsubsidiesdata.xlsb</t>
        </is>
      </c>
    </row>
    <row r="2776">
      <c r="A2776" s="7" t="inlineStr">
        <is>
          <t>UZB</t>
        </is>
      </c>
      <c r="B2776" s="7" t="inlineStr">
        <is>
          <t>Uzbekistan</t>
        </is>
      </c>
      <c r="C2776" s="7" t="inlineStr">
        <is>
          <t>Europe &amp; Central Asia</t>
        </is>
      </c>
      <c r="D2776" s="7" t="inlineStr">
        <is>
          <t>Lower middle income</t>
        </is>
      </c>
      <c r="E2776" s="7" t="b">
        <v>1</v>
      </c>
      <c r="F2776" s="7" t="inlineStr">
        <is>
          <t>price_gas_power_usd_gj</t>
        </is>
      </c>
      <c r="G2776" s="7" t="n">
        <v>11.595</v>
      </c>
      <c r="H2776" s="7" t="inlineStr">
        <is>
          <t>2024</t>
        </is>
      </c>
      <c r="I2776" s="7" t="inlineStr">
        <is>
          <t>imffossilfuelsubsidiesdata.xlsb</t>
        </is>
      </c>
    </row>
    <row r="2777">
      <c r="A2777" s="7" t="inlineStr">
        <is>
          <t>UZB</t>
        </is>
      </c>
      <c r="B2777" s="7" t="inlineStr">
        <is>
          <t>Uzbekistan</t>
        </is>
      </c>
      <c r="C2777" s="7" t="inlineStr">
        <is>
          <t>Europe &amp; Central Asia</t>
        </is>
      </c>
      <c r="D2777" s="7" t="inlineStr">
        <is>
          <t>Lower middle income</t>
        </is>
      </c>
      <c r="E2777" s="7" t="b">
        <v>1</v>
      </c>
      <c r="F2777" s="7" t="inlineStr">
        <is>
          <t>rise_renewable_energy_score</t>
        </is>
      </c>
      <c r="G2777" s="7" t="n">
        <v>16.209</v>
      </c>
      <c r="H2777" s="7" t="inlineStr">
        <is>
          <t>2023</t>
        </is>
      </c>
      <c r="I2777" s="7" t="inlineStr">
        <is>
          <t>WB_RISE_WIDEF.csv</t>
        </is>
      </c>
    </row>
    <row r="2778">
      <c r="A2778" s="7" t="inlineStr">
        <is>
          <t>VCT</t>
        </is>
      </c>
      <c r="B2778" s="7" t="inlineStr">
        <is>
          <t>St. Vincent and the Grenadines</t>
        </is>
      </c>
      <c r="C2778" s="7" t="inlineStr">
        <is>
          <t>Latin America &amp; Caribbean</t>
        </is>
      </c>
      <c r="D2778" s="7" t="inlineStr">
        <is>
          <t>Upper middle income</t>
        </is>
      </c>
      <c r="E2778" s="7" t="b">
        <v>1</v>
      </c>
      <c r="F2778" s="7" t="inlineStr">
        <is>
          <t>coal_rents_pct_gdp</t>
        </is>
      </c>
      <c r="G2778" s="7" t="n">
        <v>0</v>
      </c>
      <c r="H2778" s="7" t="inlineStr">
        <is>
          <t>2021</t>
        </is>
      </c>
      <c r="I2778" s="7" t="inlineStr">
        <is>
          <t>API_NY_GDP_COAL_RT_ZS_DS2_en_csv_v2_35370.zip</t>
        </is>
      </c>
    </row>
    <row r="2779">
      <c r="A2779" s="7" t="inlineStr">
        <is>
          <t>VCT</t>
        </is>
      </c>
      <c r="B2779" s="7" t="inlineStr">
        <is>
          <t>St. Vincent and the Grenadines</t>
        </is>
      </c>
      <c r="C2779" s="7" t="inlineStr">
        <is>
          <t>Latin America &amp; Caribbean</t>
        </is>
      </c>
      <c r="D2779" s="7" t="inlineStr">
        <is>
          <t>Upper middle income</t>
        </is>
      </c>
      <c r="E2779" s="7" t="b">
        <v>1</v>
      </c>
      <c r="F2779" s="7" t="inlineStr">
        <is>
          <t>em_coal_mt</t>
        </is>
      </c>
      <c r="G2779" s="7" t="n">
        <v>0</v>
      </c>
      <c r="H2779" s="7" t="n">
        <v>2024</v>
      </c>
      <c r="I2779" s="7" t="inlineStr">
        <is>
          <t>release_generation_yearly_global.csv (Ember)</t>
        </is>
      </c>
    </row>
    <row r="2780">
      <c r="A2780" s="7" t="inlineStr">
        <is>
          <t>VCT</t>
        </is>
      </c>
      <c r="B2780" s="7" t="inlineStr">
        <is>
          <t>St. Vincent and the Grenadines</t>
        </is>
      </c>
      <c r="C2780" s="7" t="inlineStr">
        <is>
          <t>Latin America &amp; Caribbean</t>
        </is>
      </c>
      <c r="D2780" s="7" t="inlineStr">
        <is>
          <t>Upper middle income</t>
        </is>
      </c>
      <c r="E2780" s="7" t="b">
        <v>1</v>
      </c>
      <c r="F2780" s="7" t="inlineStr">
        <is>
          <t>em_gas_mt</t>
        </is>
      </c>
      <c r="G2780" s="7" t="n">
        <v>0</v>
      </c>
      <c r="H2780" s="7" t="n">
        <v>2024</v>
      </c>
      <c r="I2780" s="7" t="inlineStr">
        <is>
          <t>release_generation_yearly_global.csv (Ember)</t>
        </is>
      </c>
    </row>
    <row r="2781">
      <c r="A2781" s="7" t="inlineStr">
        <is>
          <t>VCT</t>
        </is>
      </c>
      <c r="B2781" s="7" t="inlineStr">
        <is>
          <t>St. Vincent and the Grenadines</t>
        </is>
      </c>
      <c r="C2781" s="7" t="inlineStr">
        <is>
          <t>Latin America &amp; Caribbean</t>
        </is>
      </c>
      <c r="D2781" s="7" t="inlineStr">
        <is>
          <t>Upper middle income</t>
        </is>
      </c>
      <c r="E2781" s="7" t="b">
        <v>1</v>
      </c>
      <c r="F2781" s="7" t="inlineStr">
        <is>
          <t>em_oil_mt</t>
        </is>
      </c>
      <c r="G2781" s="7" t="n">
        <v>0.08599999999999999</v>
      </c>
      <c r="H2781" s="7" t="n">
        <v>2024</v>
      </c>
      <c r="I2781" s="7" t="inlineStr">
        <is>
          <t>release_generation_yearly_global.csv (Ember)</t>
        </is>
      </c>
    </row>
    <row r="2782">
      <c r="A2782" s="7" t="inlineStr">
        <is>
          <t>VCT</t>
        </is>
      </c>
      <c r="B2782" s="7" t="inlineStr">
        <is>
          <t>St. Vincent and the Grenadines</t>
        </is>
      </c>
      <c r="C2782" s="7" t="inlineStr">
        <is>
          <t>Latin America &amp; Caribbean</t>
        </is>
      </c>
      <c r="D2782" s="7" t="inlineStr">
        <is>
          <t>Upper middle income</t>
        </is>
      </c>
      <c r="E2782" s="7" t="b">
        <v>1</v>
      </c>
      <c r="F2782" s="7" t="inlineStr">
        <is>
          <t>ff_subsidy_explicit_pct_gdp</t>
        </is>
      </c>
      <c r="G2782" s="7" t="n">
        <v>0</v>
      </c>
      <c r="H2782" s="7" t="inlineStr">
        <is>
          <t>2024</t>
        </is>
      </c>
      <c r="I2782" s="7" t="inlineStr">
        <is>
          <t>imffossilfuelsubsidiesdata.xlsb</t>
        </is>
      </c>
    </row>
    <row r="2783">
      <c r="A2783" s="7" t="inlineStr">
        <is>
          <t>VCT</t>
        </is>
      </c>
      <c r="B2783" s="7" t="inlineStr">
        <is>
          <t>St. Vincent and the Grenadines</t>
        </is>
      </c>
      <c r="C2783" s="7" t="inlineStr">
        <is>
          <t>Latin America &amp; Caribbean</t>
        </is>
      </c>
      <c r="D2783" s="7" t="inlineStr">
        <is>
          <t>Upper middle income</t>
        </is>
      </c>
      <c r="E2783" s="7" t="b">
        <v>1</v>
      </c>
      <c r="F2783" s="7" t="inlineStr">
        <is>
          <t>fuel_exports_pct_merch</t>
        </is>
      </c>
      <c r="G2783" s="7" t="n">
        <v>0.03</v>
      </c>
      <c r="H2783" s="7" t="inlineStr">
        <is>
          <t>2023</t>
        </is>
      </c>
      <c r="I2783" s="7" t="inlineStr">
        <is>
          <t>API_TX_VAL_FUEL_ZS_UN_DS2_en_csv_v2_33055.zip</t>
        </is>
      </c>
    </row>
    <row r="2784">
      <c r="A2784" s="7" t="inlineStr">
        <is>
          <t>VCT</t>
        </is>
      </c>
      <c r="B2784" s="7" t="inlineStr">
        <is>
          <t>St. Vincent and the Grenadines</t>
        </is>
      </c>
      <c r="C2784" s="7" t="inlineStr">
        <is>
          <t>Latin America &amp; Caribbean</t>
        </is>
      </c>
      <c r="D2784" s="7" t="inlineStr">
        <is>
          <t>Upper middle income</t>
        </is>
      </c>
      <c r="E2784" s="7" t="b">
        <v>1</v>
      </c>
      <c r="F2784" s="7" t="inlineStr">
        <is>
          <t>gen_coal_twh</t>
        </is>
      </c>
      <c r="G2784" s="7" t="n">
        <v>0</v>
      </c>
      <c r="H2784" s="7" t="n">
        <v>2024</v>
      </c>
      <c r="I2784" s="7" t="inlineStr">
        <is>
          <t>release_generation_yearly_global.csv (Ember)</t>
        </is>
      </c>
    </row>
    <row r="2785">
      <c r="A2785" s="7" t="inlineStr">
        <is>
          <t>VCT</t>
        </is>
      </c>
      <c r="B2785" s="7" t="inlineStr">
        <is>
          <t>St. Vincent and the Grenadines</t>
        </is>
      </c>
      <c r="C2785" s="7" t="inlineStr">
        <is>
          <t>Latin America &amp; Caribbean</t>
        </is>
      </c>
      <c r="D2785" s="7" t="inlineStr">
        <is>
          <t>Upper middle income</t>
        </is>
      </c>
      <c r="E2785" s="7" t="b">
        <v>1</v>
      </c>
      <c r="F2785" s="7" t="inlineStr">
        <is>
          <t>gen_gas_twh</t>
        </is>
      </c>
      <c r="G2785" s="7" t="n">
        <v>0</v>
      </c>
      <c r="H2785" s="7" t="n">
        <v>2024</v>
      </c>
      <c r="I2785" s="7" t="inlineStr">
        <is>
          <t>release_generation_yearly_global.csv (Ember)</t>
        </is>
      </c>
    </row>
    <row r="2786">
      <c r="A2786" s="7" t="inlineStr">
        <is>
          <t>VCT</t>
        </is>
      </c>
      <c r="B2786" s="7" t="inlineStr">
        <is>
          <t>St. Vincent and the Grenadines</t>
        </is>
      </c>
      <c r="C2786" s="7" t="inlineStr">
        <is>
          <t>Latin America &amp; Caribbean</t>
        </is>
      </c>
      <c r="D2786" s="7" t="inlineStr">
        <is>
          <t>Upper middle income</t>
        </is>
      </c>
      <c r="E2786" s="7" t="b">
        <v>1</v>
      </c>
      <c r="F2786" s="7" t="inlineStr">
        <is>
          <t>gen_oil_twh</t>
        </is>
      </c>
      <c r="G2786" s="7" t="n">
        <v>0.13</v>
      </c>
      <c r="H2786" s="7" t="n">
        <v>2024</v>
      </c>
      <c r="I2786" s="7" t="inlineStr">
        <is>
          <t>release_generation_yearly_global.csv (Ember)</t>
        </is>
      </c>
    </row>
    <row r="2787">
      <c r="A2787" s="7" t="inlineStr">
        <is>
          <t>VCT</t>
        </is>
      </c>
      <c r="B2787" s="7" t="inlineStr">
        <is>
          <t>St. Vincent and the Grenadines</t>
        </is>
      </c>
      <c r="C2787" s="7" t="inlineStr">
        <is>
          <t>Latin America &amp; Caribbean</t>
        </is>
      </c>
      <c r="D2787" s="7" t="inlineStr">
        <is>
          <t>Upper middle income</t>
        </is>
      </c>
      <c r="E2787" s="7" t="b">
        <v>1</v>
      </c>
      <c r="F2787" s="7" t="inlineStr">
        <is>
          <t>gen_total_twh</t>
        </is>
      </c>
      <c r="G2787" s="7" t="n">
        <v>0.15</v>
      </c>
      <c r="H2787" s="7" t="n">
        <v>2024</v>
      </c>
      <c r="I2787" s="7" t="inlineStr">
        <is>
          <t>release_generation_yearly_global.csv (Ember)</t>
        </is>
      </c>
    </row>
    <row r="2788">
      <c r="A2788" s="7" t="inlineStr">
        <is>
          <t>VCT</t>
        </is>
      </c>
      <c r="B2788" s="7" t="inlineStr">
        <is>
          <t>St. Vincent and the Grenadines</t>
        </is>
      </c>
      <c r="C2788" s="7" t="inlineStr">
        <is>
          <t>Latin America &amp; Caribbean</t>
        </is>
      </c>
      <c r="D2788" s="7" t="inlineStr">
        <is>
          <t>Upper middle income</t>
        </is>
      </c>
      <c r="E2788" s="7" t="b">
        <v>1</v>
      </c>
      <c r="F2788" s="7" t="inlineStr">
        <is>
          <t>price_coal_power_usd_gj</t>
        </is>
      </c>
      <c r="G2788" s="7" t="n">
        <v>5.575</v>
      </c>
      <c r="H2788" s="7" t="inlineStr">
        <is>
          <t>2024</t>
        </is>
      </c>
      <c r="I2788" s="7" t="inlineStr">
        <is>
          <t>imffossilfuelsubsidiesdata.xlsb</t>
        </is>
      </c>
    </row>
    <row r="2789">
      <c r="A2789" s="7" t="inlineStr">
        <is>
          <t>VCT</t>
        </is>
      </c>
      <c r="B2789" s="7" t="inlineStr">
        <is>
          <t>St. Vincent and the Grenadines</t>
        </is>
      </c>
      <c r="C2789" s="7" t="inlineStr">
        <is>
          <t>Latin America &amp; Caribbean</t>
        </is>
      </c>
      <c r="D2789" s="7" t="inlineStr">
        <is>
          <t>Upper middle income</t>
        </is>
      </c>
      <c r="E2789" s="7" t="b">
        <v>1</v>
      </c>
      <c r="F2789" s="7" t="inlineStr">
        <is>
          <t>price_electricity_residential_usd_kwh</t>
        </is>
      </c>
      <c r="G2789" s="7" t="n">
        <v>0.306</v>
      </c>
      <c r="H2789" s="7" t="inlineStr">
        <is>
          <t>2024</t>
        </is>
      </c>
      <c r="I2789" s="7" t="inlineStr">
        <is>
          <t>imffossilfuelsubsidiesdata.xlsb</t>
        </is>
      </c>
    </row>
    <row r="2790">
      <c r="A2790" s="7" t="inlineStr">
        <is>
          <t>VCT</t>
        </is>
      </c>
      <c r="B2790" s="7" t="inlineStr">
        <is>
          <t>St. Vincent and the Grenadines</t>
        </is>
      </c>
      <c r="C2790" s="7" t="inlineStr">
        <is>
          <t>Latin America &amp; Caribbean</t>
        </is>
      </c>
      <c r="D2790" s="7" t="inlineStr">
        <is>
          <t>Upper middle income</t>
        </is>
      </c>
      <c r="E2790" s="7" t="b">
        <v>1</v>
      </c>
      <c r="F2790" s="7" t="inlineStr">
        <is>
          <t>price_gas_industry_usd_gj</t>
        </is>
      </c>
      <c r="G2790" s="7" t="n">
        <v>8.095000000000001</v>
      </c>
      <c r="H2790" s="7" t="inlineStr">
        <is>
          <t>2024</t>
        </is>
      </c>
      <c r="I2790" s="7" t="inlineStr">
        <is>
          <t>imffossilfuelsubsidiesdata.xlsb</t>
        </is>
      </c>
    </row>
    <row r="2791">
      <c r="A2791" s="7" t="inlineStr">
        <is>
          <t>VCT</t>
        </is>
      </c>
      <c r="B2791" s="7" t="inlineStr">
        <is>
          <t>St. Vincent and the Grenadines</t>
        </is>
      </c>
      <c r="C2791" s="7" t="inlineStr">
        <is>
          <t>Latin America &amp; Caribbean</t>
        </is>
      </c>
      <c r="D2791" s="7" t="inlineStr">
        <is>
          <t>Upper middle income</t>
        </is>
      </c>
      <c r="E2791" s="7" t="b">
        <v>1</v>
      </c>
      <c r="F2791" s="7" t="inlineStr">
        <is>
          <t>price_gas_power_usd_gj</t>
        </is>
      </c>
      <c r="G2791" s="7" t="n">
        <v>6.771</v>
      </c>
      <c r="H2791" s="7" t="inlineStr">
        <is>
          <t>2024</t>
        </is>
      </c>
      <c r="I2791" s="7" t="inlineStr">
        <is>
          <t>imffossilfuelsubsidiesdata.xlsb</t>
        </is>
      </c>
    </row>
    <row r="2792">
      <c r="A2792" s="7" t="inlineStr">
        <is>
          <t>VEN</t>
        </is>
      </c>
      <c r="B2792" s="7" t="inlineStr">
        <is>
          <t>Venezuela, RB</t>
        </is>
      </c>
      <c r="C2792" s="7" t="inlineStr">
        <is>
          <t>Latin America &amp; Caribbean</t>
        </is>
      </c>
      <c r="D2792" s="7" t="inlineStr">
        <is>
          <t>Lower middle income</t>
        </is>
      </c>
      <c r="E2792" s="7" t="b">
        <v>0</v>
      </c>
      <c r="F2792" s="7" t="inlineStr">
        <is>
          <t>coal_rents_pct_gdp</t>
        </is>
      </c>
      <c r="G2792" s="7" t="n">
        <v>0.007</v>
      </c>
      <c r="H2792" s="7" t="inlineStr">
        <is>
          <t>2014</t>
        </is>
      </c>
      <c r="I2792" s="7" t="inlineStr">
        <is>
          <t>API_NY_GDP_COAL_RT_ZS_DS2_en_csv_v2_35370.zip</t>
        </is>
      </c>
    </row>
    <row r="2793">
      <c r="A2793" s="7" t="inlineStr">
        <is>
          <t>VEN</t>
        </is>
      </c>
      <c r="B2793" s="7" t="inlineStr">
        <is>
          <t>Venezuela, RB</t>
        </is>
      </c>
      <c r="C2793" s="7" t="inlineStr">
        <is>
          <t>Latin America &amp; Caribbean</t>
        </is>
      </c>
      <c r="D2793" s="7" t="inlineStr">
        <is>
          <t>Lower middle income</t>
        </is>
      </c>
      <c r="E2793" s="7" t="b">
        <v>0</v>
      </c>
      <c r="F2793" s="7" t="inlineStr">
        <is>
          <t>em_coal_mt</t>
        </is>
      </c>
      <c r="G2793" s="7" t="n">
        <v>0</v>
      </c>
      <c r="H2793" s="7" t="n">
        <v>2024</v>
      </c>
      <c r="I2793" s="7" t="inlineStr">
        <is>
          <t>release_generation_yearly_global.csv (Ember)</t>
        </is>
      </c>
    </row>
    <row r="2794">
      <c r="A2794" s="7" t="inlineStr">
        <is>
          <t>VEN</t>
        </is>
      </c>
      <c r="B2794" s="7" t="inlineStr">
        <is>
          <t>Venezuela, RB</t>
        </is>
      </c>
      <c r="C2794" s="7" t="inlineStr">
        <is>
          <t>Latin America &amp; Caribbean</t>
        </is>
      </c>
      <c r="D2794" s="7" t="inlineStr">
        <is>
          <t>Lower middle income</t>
        </is>
      </c>
      <c r="E2794" s="7" t="b">
        <v>0</v>
      </c>
      <c r="F2794" s="7" t="inlineStr">
        <is>
          <t>em_gas_mt</t>
        </is>
      </c>
      <c r="G2794" s="7" t="n">
        <v>2.846</v>
      </c>
      <c r="H2794" s="7" t="n">
        <v>2024</v>
      </c>
      <c r="I2794" s="7" t="inlineStr">
        <is>
          <t>release_generation_yearly_global.csv (Ember)</t>
        </is>
      </c>
    </row>
    <row r="2795">
      <c r="A2795" s="7" t="inlineStr">
        <is>
          <t>VEN</t>
        </is>
      </c>
      <c r="B2795" s="7" t="inlineStr">
        <is>
          <t>Venezuela, RB</t>
        </is>
      </c>
      <c r="C2795" s="7" t="inlineStr">
        <is>
          <t>Latin America &amp; Caribbean</t>
        </is>
      </c>
      <c r="D2795" s="7" t="inlineStr">
        <is>
          <t>Lower middle income</t>
        </is>
      </c>
      <c r="E2795" s="7" t="b">
        <v>0</v>
      </c>
      <c r="F2795" s="7" t="inlineStr">
        <is>
          <t>em_oil_mt</t>
        </is>
      </c>
      <c r="G2795" s="7" t="n">
        <v>2.303</v>
      </c>
      <c r="H2795" s="7" t="n">
        <v>2024</v>
      </c>
      <c r="I2795" s="7" t="inlineStr">
        <is>
          <t>release_generation_yearly_global.csv (Ember)</t>
        </is>
      </c>
    </row>
    <row r="2796">
      <c r="A2796" s="7" t="inlineStr">
        <is>
          <t>VEN</t>
        </is>
      </c>
      <c r="B2796" s="7" t="inlineStr">
        <is>
          <t>Venezuela, RB</t>
        </is>
      </c>
      <c r="C2796" s="7" t="inlineStr">
        <is>
          <t>Latin America &amp; Caribbean</t>
        </is>
      </c>
      <c r="D2796" s="7" t="inlineStr">
        <is>
          <t>Lower middle income</t>
        </is>
      </c>
      <c r="E2796" s="7" t="b">
        <v>0</v>
      </c>
      <c r="F2796" s="7" t="inlineStr">
        <is>
          <t>ff_subsidy_explicit_pct_gdp</t>
        </is>
      </c>
      <c r="G2796" s="7" t="n">
        <v>6.985</v>
      </c>
      <c r="H2796" s="7" t="inlineStr">
        <is>
          <t>2024</t>
        </is>
      </c>
      <c r="I2796" s="7" t="inlineStr">
        <is>
          <t>imffossilfuelsubsidiesdata.xlsb</t>
        </is>
      </c>
    </row>
    <row r="2797">
      <c r="A2797" s="7" t="inlineStr">
        <is>
          <t>VEN</t>
        </is>
      </c>
      <c r="B2797" s="7" t="inlineStr">
        <is>
          <t>Venezuela, RB</t>
        </is>
      </c>
      <c r="C2797" s="7" t="inlineStr">
        <is>
          <t>Latin America &amp; Caribbean</t>
        </is>
      </c>
      <c r="D2797" s="7" t="inlineStr">
        <is>
          <t>Lower middle income</t>
        </is>
      </c>
      <c r="E2797" s="7" t="b">
        <v>0</v>
      </c>
      <c r="F2797" s="7" t="inlineStr">
        <is>
          <t>fuel_exports_pct_merch</t>
        </is>
      </c>
      <c r="G2797" s="7" t="n">
        <v>97.678</v>
      </c>
      <c r="H2797" s="7" t="inlineStr">
        <is>
          <t>2013</t>
        </is>
      </c>
      <c r="I2797" s="7" t="inlineStr">
        <is>
          <t>API_TX_VAL_FUEL_ZS_UN_DS2_en_csv_v2_33055.zip</t>
        </is>
      </c>
    </row>
    <row r="2798">
      <c r="A2798" s="7" t="inlineStr">
        <is>
          <t>VEN</t>
        </is>
      </c>
      <c r="B2798" s="7" t="inlineStr">
        <is>
          <t>Venezuela, RB</t>
        </is>
      </c>
      <c r="C2798" s="7" t="inlineStr">
        <is>
          <t>Latin America &amp; Caribbean</t>
        </is>
      </c>
      <c r="D2798" s="7" t="inlineStr">
        <is>
          <t>Lower middle income</t>
        </is>
      </c>
      <c r="E2798" s="7" t="b">
        <v>0</v>
      </c>
      <c r="F2798" s="7" t="inlineStr">
        <is>
          <t>gen_coal_twh</t>
        </is>
      </c>
      <c r="G2798" s="7" t="n">
        <v>0</v>
      </c>
      <c r="H2798" s="7" t="n">
        <v>2024</v>
      </c>
      <c r="I2798" s="7" t="inlineStr">
        <is>
          <t>release_generation_yearly_global.csv (Ember)</t>
        </is>
      </c>
    </row>
    <row r="2799">
      <c r="A2799" s="7" t="inlineStr">
        <is>
          <t>VEN</t>
        </is>
      </c>
      <c r="B2799" s="7" t="inlineStr">
        <is>
          <t>Venezuela, RB</t>
        </is>
      </c>
      <c r="C2799" s="7" t="inlineStr">
        <is>
          <t>Latin America &amp; Caribbean</t>
        </is>
      </c>
      <c r="D2799" s="7" t="inlineStr">
        <is>
          <t>Lower middle income</t>
        </is>
      </c>
      <c r="E2799" s="7" t="b">
        <v>0</v>
      </c>
      <c r="F2799" s="7" t="inlineStr">
        <is>
          <t>gen_gas_twh</t>
        </is>
      </c>
      <c r="G2799" s="7" t="n">
        <v>3.6</v>
      </c>
      <c r="H2799" s="7" t="n">
        <v>2024</v>
      </c>
      <c r="I2799" s="7" t="inlineStr">
        <is>
          <t>release_generation_yearly_global.csv (Ember)</t>
        </is>
      </c>
    </row>
    <row r="2800">
      <c r="A2800" s="7" t="inlineStr">
        <is>
          <t>VEN</t>
        </is>
      </c>
      <c r="B2800" s="7" t="inlineStr">
        <is>
          <t>Venezuela, RB</t>
        </is>
      </c>
      <c r="C2800" s="7" t="inlineStr">
        <is>
          <t>Latin America &amp; Caribbean</t>
        </is>
      </c>
      <c r="D2800" s="7" t="inlineStr">
        <is>
          <t>Lower middle income</t>
        </is>
      </c>
      <c r="E2800" s="7" t="b">
        <v>0</v>
      </c>
      <c r="F2800" s="7" t="inlineStr">
        <is>
          <t>gen_oil_twh</t>
        </is>
      </c>
      <c r="G2800" s="7" t="n">
        <v>3.5</v>
      </c>
      <c r="H2800" s="7" t="n">
        <v>2024</v>
      </c>
      <c r="I2800" s="7" t="inlineStr">
        <is>
          <t>release_generation_yearly_global.csv (Ember)</t>
        </is>
      </c>
    </row>
    <row r="2801">
      <c r="A2801" s="7" t="inlineStr">
        <is>
          <t>VEN</t>
        </is>
      </c>
      <c r="B2801" s="7" t="inlineStr">
        <is>
          <t>Venezuela, RB</t>
        </is>
      </c>
      <c r="C2801" s="7" t="inlineStr">
        <is>
          <t>Latin America &amp; Caribbean</t>
        </is>
      </c>
      <c r="D2801" s="7" t="inlineStr">
        <is>
          <t>Lower middle income</t>
        </is>
      </c>
      <c r="E2801" s="7" t="b">
        <v>0</v>
      </c>
      <c r="F2801" s="7" t="inlineStr">
        <is>
          <t>gen_total_twh</t>
        </is>
      </c>
      <c r="G2801" s="7" t="n">
        <v>80.13</v>
      </c>
      <c r="H2801" s="7" t="n">
        <v>2024</v>
      </c>
      <c r="I2801" s="7" t="inlineStr">
        <is>
          <t>release_generation_yearly_global.csv (Ember)</t>
        </is>
      </c>
    </row>
    <row r="2802">
      <c r="A2802" s="7" t="inlineStr">
        <is>
          <t>VEN</t>
        </is>
      </c>
      <c r="B2802" s="7" t="inlineStr">
        <is>
          <t>Venezuela, RB</t>
        </is>
      </c>
      <c r="C2802" s="7" t="inlineStr">
        <is>
          <t>Latin America &amp; Caribbean</t>
        </is>
      </c>
      <c r="D2802" s="7" t="inlineStr">
        <is>
          <t>Lower middle income</t>
        </is>
      </c>
      <c r="E2802" s="7" t="b">
        <v>0</v>
      </c>
      <c r="F2802" s="7" t="inlineStr">
        <is>
          <t>power_market_structure</t>
        </is>
      </c>
      <c r="G2802" s="7" t="n">
        <v>2</v>
      </c>
      <c r="H2802" s="7" t="inlineStr">
        <is>
          <t>2013</t>
        </is>
      </c>
      <c r="I2802" s="7" t="inlineStr">
        <is>
          <t>dataverse_files.zip</t>
        </is>
      </c>
    </row>
    <row r="2803">
      <c r="A2803" s="7" t="inlineStr">
        <is>
          <t>VEN</t>
        </is>
      </c>
      <c r="B2803" s="7" t="inlineStr">
        <is>
          <t>Venezuela, RB</t>
        </is>
      </c>
      <c r="C2803" s="7" t="inlineStr">
        <is>
          <t>Latin America &amp; Caribbean</t>
        </is>
      </c>
      <c r="D2803" s="7" t="inlineStr">
        <is>
          <t>Lower middle income</t>
        </is>
      </c>
      <c r="E2803" s="7" t="b">
        <v>0</v>
      </c>
      <c r="F2803" s="7" t="inlineStr">
        <is>
          <t>price_coal_power_usd_gj</t>
        </is>
      </c>
      <c r="G2803" s="7" t="n">
        <v>2.049</v>
      </c>
      <c r="H2803" s="7" t="inlineStr">
        <is>
          <t>2024</t>
        </is>
      </c>
      <c r="I2803" s="7" t="inlineStr">
        <is>
          <t>imffossilfuelsubsidiesdata.xlsb</t>
        </is>
      </c>
    </row>
    <row r="2804">
      <c r="A2804" s="7" t="inlineStr">
        <is>
          <t>VEN</t>
        </is>
      </c>
      <c r="B2804" s="7" t="inlineStr">
        <is>
          <t>Venezuela, RB</t>
        </is>
      </c>
      <c r="C2804" s="7" t="inlineStr">
        <is>
          <t>Latin America &amp; Caribbean</t>
        </is>
      </c>
      <c r="D2804" s="7" t="inlineStr">
        <is>
          <t>Lower middle income</t>
        </is>
      </c>
      <c r="E2804" s="7" t="b">
        <v>0</v>
      </c>
      <c r="F2804" s="7" t="inlineStr">
        <is>
          <t>price_electricity_residential_usd_kwh</t>
        </is>
      </c>
      <c r="G2804" s="7" t="n">
        <v>0.033</v>
      </c>
      <c r="H2804" s="7" t="inlineStr">
        <is>
          <t>2024</t>
        </is>
      </c>
      <c r="I2804" s="7" t="inlineStr">
        <is>
          <t>imffossilfuelsubsidiesdata.xlsb</t>
        </is>
      </c>
    </row>
    <row r="2805">
      <c r="A2805" s="7" t="inlineStr">
        <is>
          <t>VEN</t>
        </is>
      </c>
      <c r="B2805" s="7" t="inlineStr">
        <is>
          <t>Venezuela, RB</t>
        </is>
      </c>
      <c r="C2805" s="7" t="inlineStr">
        <is>
          <t>Latin America &amp; Caribbean</t>
        </is>
      </c>
      <c r="D2805" s="7" t="inlineStr">
        <is>
          <t>Lower middle income</t>
        </is>
      </c>
      <c r="E2805" s="7" t="b">
        <v>0</v>
      </c>
      <c r="F2805" s="7" t="inlineStr">
        <is>
          <t>price_gas_industry_usd_gj</t>
        </is>
      </c>
      <c r="G2805" s="7" t="n">
        <v>6.341</v>
      </c>
      <c r="H2805" s="7" t="inlineStr">
        <is>
          <t>2024</t>
        </is>
      </c>
      <c r="I2805" s="7" t="inlineStr">
        <is>
          <t>imffossilfuelsubsidiesdata.xlsb</t>
        </is>
      </c>
    </row>
    <row r="2806">
      <c r="A2806" s="7" t="inlineStr">
        <is>
          <t>VEN</t>
        </is>
      </c>
      <c r="B2806" s="7" t="inlineStr">
        <is>
          <t>Venezuela, RB</t>
        </is>
      </c>
      <c r="C2806" s="7" t="inlineStr">
        <is>
          <t>Latin America &amp; Caribbean</t>
        </is>
      </c>
      <c r="D2806" s="7" t="inlineStr">
        <is>
          <t>Lower middle income</t>
        </is>
      </c>
      <c r="E2806" s="7" t="b">
        <v>0</v>
      </c>
      <c r="F2806" s="7" t="inlineStr">
        <is>
          <t>price_gas_power_usd_gj</t>
        </is>
      </c>
      <c r="G2806" s="7" t="n">
        <v>5.679</v>
      </c>
      <c r="H2806" s="7" t="inlineStr">
        <is>
          <t>2024</t>
        </is>
      </c>
      <c r="I2806" s="7" t="inlineStr">
        <is>
          <t>imffossilfuelsubsidiesdata.xlsb</t>
        </is>
      </c>
    </row>
    <row r="2807">
      <c r="A2807" s="7" t="inlineStr">
        <is>
          <t>VEN</t>
        </is>
      </c>
      <c r="B2807" s="7" t="inlineStr">
        <is>
          <t>Venezuela, RB</t>
        </is>
      </c>
      <c r="C2807" s="7" t="inlineStr">
        <is>
          <t>Latin America &amp; Caribbean</t>
        </is>
      </c>
      <c r="D2807" s="7" t="inlineStr">
        <is>
          <t>Lower middle income</t>
        </is>
      </c>
      <c r="E2807" s="7" t="b">
        <v>0</v>
      </c>
      <c r="F2807" s="7" t="inlineStr">
        <is>
          <t>rise_renewable_energy_score</t>
        </is>
      </c>
      <c r="G2807" s="7" t="n">
        <v>10.635</v>
      </c>
      <c r="H2807" s="7" t="inlineStr">
        <is>
          <t>2023</t>
        </is>
      </c>
      <c r="I2807" s="7" t="inlineStr">
        <is>
          <t>WB_RISE_WIDEF.csv</t>
        </is>
      </c>
    </row>
    <row r="2808">
      <c r="A2808" s="7" t="inlineStr">
        <is>
          <t>VIR</t>
        </is>
      </c>
      <c r="B2808" s="7" t="inlineStr">
        <is>
          <t>Virgin Islands (US)</t>
        </is>
      </c>
      <c r="C2808" s="7" t="inlineStr">
        <is>
          <t>Latin America &amp; Caribbean</t>
        </is>
      </c>
      <c r="D2808" s="7" t="inlineStr">
        <is>
          <t>High income</t>
        </is>
      </c>
      <c r="E2808" s="7" t="b">
        <v>0</v>
      </c>
      <c r="F2808" s="7" t="inlineStr">
        <is>
          <t>coal_rents_pct_gdp</t>
        </is>
      </c>
      <c r="G2808" s="7" t="n">
        <v>0.205</v>
      </c>
      <c r="H2808" s="7" t="inlineStr">
        <is>
          <t>2020</t>
        </is>
      </c>
      <c r="I2808" s="7" t="inlineStr">
        <is>
          <t>API_NY_GDP_COAL_RT_ZS_DS2_en_csv_v2_35370.zip</t>
        </is>
      </c>
    </row>
    <row r="2809">
      <c r="A2809" s="7" t="inlineStr">
        <is>
          <t>VIR</t>
        </is>
      </c>
      <c r="B2809" s="7" t="inlineStr">
        <is>
          <t>Virgin Islands (US)</t>
        </is>
      </c>
      <c r="C2809" s="7" t="inlineStr">
        <is>
          <t>Latin America &amp; Caribbean</t>
        </is>
      </c>
      <c r="D2809" s="7" t="inlineStr">
        <is>
          <t>High income</t>
        </is>
      </c>
      <c r="E2809" s="7" t="b">
        <v>0</v>
      </c>
      <c r="F2809" s="7" t="inlineStr">
        <is>
          <t>fuel_exports_pct_merch</t>
        </is>
      </c>
      <c r="G2809" s="7" t="n">
        <v>91.28700000000001</v>
      </c>
      <c r="H2809" s="7" t="inlineStr">
        <is>
          <t>1978</t>
        </is>
      </c>
      <c r="I2809" s="7" t="inlineStr">
        <is>
          <t>API_TX_VAL_FUEL_ZS_UN_DS2_en_csv_v2_33055.zip</t>
        </is>
      </c>
    </row>
    <row r="2810">
      <c r="A2810" s="7" t="inlineStr">
        <is>
          <t>VNM</t>
        </is>
      </c>
      <c r="B2810" s="7" t="inlineStr">
        <is>
          <t>Viet Nam</t>
        </is>
      </c>
      <c r="C2810" s="7" t="inlineStr">
        <is>
          <t>East Asia &amp; Pacific</t>
        </is>
      </c>
      <c r="D2810" s="7" t="inlineStr">
        <is>
          <t>Upper middle income</t>
        </is>
      </c>
      <c r="E2810" s="7" t="b">
        <v>1</v>
      </c>
      <c r="F2810" s="7" t="inlineStr">
        <is>
          <t>coal_rents_pct_gdp</t>
        </is>
      </c>
      <c r="G2810" s="7" t="n">
        <v>0.377</v>
      </c>
      <c r="H2810" s="7" t="inlineStr">
        <is>
          <t>2021</t>
        </is>
      </c>
      <c r="I2810" s="7" t="inlineStr">
        <is>
          <t>API_NY_GDP_COAL_RT_ZS_DS2_en_csv_v2_35370.zip</t>
        </is>
      </c>
    </row>
    <row r="2811">
      <c r="A2811" s="7" t="inlineStr">
        <is>
          <t>VNM</t>
        </is>
      </c>
      <c r="B2811" s="7" t="inlineStr">
        <is>
          <t>Viet Nam</t>
        </is>
      </c>
      <c r="C2811" s="7" t="inlineStr">
        <is>
          <t>East Asia &amp; Pacific</t>
        </is>
      </c>
      <c r="D2811" s="7" t="inlineStr">
        <is>
          <t>Upper middle income</t>
        </is>
      </c>
      <c r="E2811" s="7" t="b">
        <v>1</v>
      </c>
      <c r="F2811" s="7" t="inlineStr">
        <is>
          <t>em_coal_mt</t>
        </is>
      </c>
      <c r="G2811" s="7" t="n">
        <v>131.541</v>
      </c>
      <c r="H2811" s="7" t="n">
        <v>2024</v>
      </c>
      <c r="I2811" s="7" t="inlineStr">
        <is>
          <t>release_generation_yearly_global.csv (Ember)</t>
        </is>
      </c>
    </row>
    <row r="2812">
      <c r="A2812" s="7" t="inlineStr">
        <is>
          <t>VNM</t>
        </is>
      </c>
      <c r="B2812" s="7" t="inlineStr">
        <is>
          <t>Viet Nam</t>
        </is>
      </c>
      <c r="C2812" s="7" t="inlineStr">
        <is>
          <t>East Asia &amp; Pacific</t>
        </is>
      </c>
      <c r="D2812" s="7" t="inlineStr">
        <is>
          <t>Upper middle income</t>
        </is>
      </c>
      <c r="E2812" s="7" t="b">
        <v>1</v>
      </c>
      <c r="F2812" s="7" t="inlineStr">
        <is>
          <t>em_gas_mt</t>
        </is>
      </c>
      <c r="G2812" s="7" t="n">
        <v>12.152</v>
      </c>
      <c r="H2812" s="7" t="n">
        <v>2024</v>
      </c>
      <c r="I2812" s="7" t="inlineStr">
        <is>
          <t>release_generation_yearly_global.csv (Ember)</t>
        </is>
      </c>
    </row>
    <row r="2813">
      <c r="A2813" s="7" t="inlineStr">
        <is>
          <t>VNM</t>
        </is>
      </c>
      <c r="B2813" s="7" t="inlineStr">
        <is>
          <t>Viet Nam</t>
        </is>
      </c>
      <c r="C2813" s="7" t="inlineStr">
        <is>
          <t>East Asia &amp; Pacific</t>
        </is>
      </c>
      <c r="D2813" s="7" t="inlineStr">
        <is>
          <t>Upper middle income</t>
        </is>
      </c>
      <c r="E2813" s="7" t="b">
        <v>1</v>
      </c>
      <c r="F2813" s="7" t="inlineStr">
        <is>
          <t>em_oil_mt</t>
        </is>
      </c>
      <c r="G2813" s="7" t="n">
        <v>0.408</v>
      </c>
      <c r="H2813" s="7" t="n">
        <v>2024</v>
      </c>
      <c r="I2813" s="7" t="inlineStr">
        <is>
          <t>release_generation_yearly_global.csv (Ember)</t>
        </is>
      </c>
    </row>
    <row r="2814">
      <c r="A2814" s="7" t="inlineStr">
        <is>
          <t>VNM</t>
        </is>
      </c>
      <c r="B2814" s="7" t="inlineStr">
        <is>
          <t>Viet Nam</t>
        </is>
      </c>
      <c r="C2814" s="7" t="inlineStr">
        <is>
          <t>East Asia &amp; Pacific</t>
        </is>
      </c>
      <c r="D2814" s="7" t="inlineStr">
        <is>
          <t>Upper middle income</t>
        </is>
      </c>
      <c r="E2814" s="7" t="b">
        <v>1</v>
      </c>
      <c r="F2814" s="7" t="inlineStr">
        <is>
          <t>ff_subsidy_explicit_pct_gdp</t>
        </is>
      </c>
      <c r="G2814" s="7" t="n">
        <v>0.643</v>
      </c>
      <c r="H2814" s="7" t="inlineStr">
        <is>
          <t>2024</t>
        </is>
      </c>
      <c r="I2814" s="7" t="inlineStr">
        <is>
          <t>imffossilfuelsubsidiesdata.xlsb</t>
        </is>
      </c>
    </row>
    <row r="2815">
      <c r="A2815" s="7" t="inlineStr">
        <is>
          <t>VNM</t>
        </is>
      </c>
      <c r="B2815" s="7" t="inlineStr">
        <is>
          <t>Viet Nam</t>
        </is>
      </c>
      <c r="C2815" s="7" t="inlineStr">
        <is>
          <t>East Asia &amp; Pacific</t>
        </is>
      </c>
      <c r="D2815" s="7" t="inlineStr">
        <is>
          <t>Upper middle income</t>
        </is>
      </c>
      <c r="E2815" s="7" t="b">
        <v>1</v>
      </c>
      <c r="F2815" s="7" t="inlineStr">
        <is>
          <t>fuel_exports_pct_merch</t>
        </is>
      </c>
      <c r="G2815" s="7" t="n">
        <v>0.953</v>
      </c>
      <c r="H2815" s="7" t="inlineStr">
        <is>
          <t>2023</t>
        </is>
      </c>
      <c r="I2815" s="7" t="inlineStr">
        <is>
          <t>API_TX_VAL_FUEL_ZS_UN_DS2_en_csv_v2_33055.zip</t>
        </is>
      </c>
    </row>
    <row r="2816">
      <c r="A2816" s="7" t="inlineStr">
        <is>
          <t>VNM</t>
        </is>
      </c>
      <c r="B2816" s="7" t="inlineStr">
        <is>
          <t>Viet Nam</t>
        </is>
      </c>
      <c r="C2816" s="7" t="inlineStr">
        <is>
          <t>East Asia &amp; Pacific</t>
        </is>
      </c>
      <c r="D2816" s="7" t="inlineStr">
        <is>
          <t>Upper middle income</t>
        </is>
      </c>
      <c r="E2816" s="7" t="b">
        <v>1</v>
      </c>
      <c r="F2816" s="7" t="inlineStr">
        <is>
          <t>gen_coal_twh</t>
        </is>
      </c>
      <c r="G2816" s="7" t="n">
        <v>152.77</v>
      </c>
      <c r="H2816" s="7" t="n">
        <v>2024</v>
      </c>
      <c r="I2816" s="7" t="inlineStr">
        <is>
          <t>release_generation_yearly_global.csv (Ember)</t>
        </is>
      </c>
    </row>
    <row r="2817">
      <c r="A2817" s="7" t="inlineStr">
        <is>
          <t>VNM</t>
        </is>
      </c>
      <c r="B2817" s="7" t="inlineStr">
        <is>
          <t>Viet Nam</t>
        </is>
      </c>
      <c r="C2817" s="7" t="inlineStr">
        <is>
          <t>East Asia &amp; Pacific</t>
        </is>
      </c>
      <c r="D2817" s="7" t="inlineStr">
        <is>
          <t>Upper middle income</t>
        </is>
      </c>
      <c r="E2817" s="7" t="b">
        <v>1</v>
      </c>
      <c r="F2817" s="7" t="inlineStr">
        <is>
          <t>gen_gas_twh</t>
        </is>
      </c>
      <c r="G2817" s="7" t="n">
        <v>21.83</v>
      </c>
      <c r="H2817" s="7" t="n">
        <v>2024</v>
      </c>
      <c r="I2817" s="7" t="inlineStr">
        <is>
          <t>release_generation_yearly_global.csv (Ember)</t>
        </is>
      </c>
    </row>
    <row r="2818">
      <c r="A2818" s="7" t="inlineStr">
        <is>
          <t>VNM</t>
        </is>
      </c>
      <c r="B2818" s="7" t="inlineStr">
        <is>
          <t>Viet Nam</t>
        </is>
      </c>
      <c r="C2818" s="7" t="inlineStr">
        <is>
          <t>East Asia &amp; Pacific</t>
        </is>
      </c>
      <c r="D2818" s="7" t="inlineStr">
        <is>
          <t>Upper middle income</t>
        </is>
      </c>
      <c r="E2818" s="7" t="b">
        <v>1</v>
      </c>
      <c r="F2818" s="7" t="inlineStr">
        <is>
          <t>gen_oil_twh</t>
        </is>
      </c>
      <c r="G2818" s="7" t="n">
        <v>0.62</v>
      </c>
      <c r="H2818" s="7" t="n">
        <v>2024</v>
      </c>
      <c r="I2818" s="7" t="inlineStr">
        <is>
          <t>release_generation_yearly_global.csv (Ember)</t>
        </is>
      </c>
    </row>
    <row r="2819">
      <c r="A2819" s="7" t="inlineStr">
        <is>
          <t>VNM</t>
        </is>
      </c>
      <c r="B2819" s="7" t="inlineStr">
        <is>
          <t>Viet Nam</t>
        </is>
      </c>
      <c r="C2819" s="7" t="inlineStr">
        <is>
          <t>East Asia &amp; Pacific</t>
        </is>
      </c>
      <c r="D2819" s="7" t="inlineStr">
        <is>
          <t>Upper middle income</t>
        </is>
      </c>
      <c r="E2819" s="7" t="b">
        <v>1</v>
      </c>
      <c r="F2819" s="7" t="inlineStr">
        <is>
          <t>gen_total_twh</t>
        </is>
      </c>
      <c r="G2819" s="7" t="n">
        <v>303.58</v>
      </c>
      <c r="H2819" s="7" t="n">
        <v>2024</v>
      </c>
      <c r="I2819" s="7" t="inlineStr">
        <is>
          <t>release_generation_yearly_global.csv (Ember)</t>
        </is>
      </c>
    </row>
    <row r="2820">
      <c r="A2820" s="7" t="inlineStr">
        <is>
          <t>VNM</t>
        </is>
      </c>
      <c r="B2820" s="7" t="inlineStr">
        <is>
          <t>Viet Nam</t>
        </is>
      </c>
      <c r="C2820" s="7" t="inlineStr">
        <is>
          <t>East Asia &amp; Pacific</t>
        </is>
      </c>
      <c r="D2820" s="7" t="inlineStr">
        <is>
          <t>Upper middle income</t>
        </is>
      </c>
      <c r="E2820" s="7" t="b">
        <v>1</v>
      </c>
      <c r="F2820" s="7" t="inlineStr">
        <is>
          <t>power_market_structure</t>
        </is>
      </c>
      <c r="G2820" s="7" t="n">
        <v>2</v>
      </c>
      <c r="H2820" s="7" t="inlineStr">
        <is>
          <t>2013</t>
        </is>
      </c>
      <c r="I2820" s="7" t="inlineStr">
        <is>
          <t>dataverse_files.zip</t>
        </is>
      </c>
    </row>
    <row r="2821">
      <c r="A2821" s="7" t="inlineStr">
        <is>
          <t>VNM</t>
        </is>
      </c>
      <c r="B2821" s="7" t="inlineStr">
        <is>
          <t>Viet Nam</t>
        </is>
      </c>
      <c r="C2821" s="7" t="inlineStr">
        <is>
          <t>East Asia &amp; Pacific</t>
        </is>
      </c>
      <c r="D2821" s="7" t="inlineStr">
        <is>
          <t>Upper middle income</t>
        </is>
      </c>
      <c r="E2821" s="7" t="b">
        <v>1</v>
      </c>
      <c r="F2821" s="7" t="inlineStr">
        <is>
          <t>price_coal_power_usd_gj</t>
        </is>
      </c>
      <c r="G2821" s="7" t="n">
        <v>7.955</v>
      </c>
      <c r="H2821" s="7" t="inlineStr">
        <is>
          <t>2024</t>
        </is>
      </c>
      <c r="I2821" s="7" t="inlineStr">
        <is>
          <t>imffossilfuelsubsidiesdata.xlsb</t>
        </is>
      </c>
    </row>
    <row r="2822">
      <c r="A2822" s="7" t="inlineStr">
        <is>
          <t>VNM</t>
        </is>
      </c>
      <c r="B2822" s="7" t="inlineStr">
        <is>
          <t>Viet Nam</t>
        </is>
      </c>
      <c r="C2822" s="7" t="inlineStr">
        <is>
          <t>East Asia &amp; Pacific</t>
        </is>
      </c>
      <c r="D2822" s="7" t="inlineStr">
        <is>
          <t>Upper middle income</t>
        </is>
      </c>
      <c r="E2822" s="7" t="b">
        <v>1</v>
      </c>
      <c r="F2822" s="7" t="inlineStr">
        <is>
          <t>price_electricity_residential_usd_kwh</t>
        </is>
      </c>
      <c r="G2822" s="7" t="n">
        <v>0.103</v>
      </c>
      <c r="H2822" s="7" t="inlineStr">
        <is>
          <t>2024</t>
        </is>
      </c>
      <c r="I2822" s="7" t="inlineStr">
        <is>
          <t>imffossilfuelsubsidiesdata.xlsb</t>
        </is>
      </c>
    </row>
    <row r="2823">
      <c r="A2823" s="7" t="inlineStr">
        <is>
          <t>VNM</t>
        </is>
      </c>
      <c r="B2823" s="7" t="inlineStr">
        <is>
          <t>Viet Nam</t>
        </is>
      </c>
      <c r="C2823" s="7" t="inlineStr">
        <is>
          <t>East Asia &amp; Pacific</t>
        </is>
      </c>
      <c r="D2823" s="7" t="inlineStr">
        <is>
          <t>Upper middle income</t>
        </is>
      </c>
      <c r="E2823" s="7" t="b">
        <v>1</v>
      </c>
      <c r="F2823" s="7" t="inlineStr">
        <is>
          <t>price_gas_industry_usd_gj</t>
        </is>
      </c>
      <c r="G2823" s="7" t="n">
        <v>5.144</v>
      </c>
      <c r="H2823" s="7" t="inlineStr">
        <is>
          <t>2024</t>
        </is>
      </c>
      <c r="I2823" s="7" t="inlineStr">
        <is>
          <t>imffossilfuelsubsidiesdata.xlsb</t>
        </is>
      </c>
    </row>
    <row r="2824">
      <c r="A2824" s="7" t="inlineStr">
        <is>
          <t>VNM</t>
        </is>
      </c>
      <c r="B2824" s="7" t="inlineStr">
        <is>
          <t>Viet Nam</t>
        </is>
      </c>
      <c r="C2824" s="7" t="inlineStr">
        <is>
          <t>East Asia &amp; Pacific</t>
        </is>
      </c>
      <c r="D2824" s="7" t="inlineStr">
        <is>
          <t>Upper middle income</t>
        </is>
      </c>
      <c r="E2824" s="7" t="b">
        <v>1</v>
      </c>
      <c r="F2824" s="7" t="inlineStr">
        <is>
          <t>price_gas_power_usd_gj</t>
        </is>
      </c>
      <c r="G2824" s="7" t="n">
        <v>4.482</v>
      </c>
      <c r="H2824" s="7" t="inlineStr">
        <is>
          <t>2024</t>
        </is>
      </c>
      <c r="I2824" s="7" t="inlineStr">
        <is>
          <t>imffossilfuelsubsidiesdata.xlsb</t>
        </is>
      </c>
    </row>
    <row r="2825">
      <c r="A2825" s="7" t="inlineStr">
        <is>
          <t>VNM</t>
        </is>
      </c>
      <c r="B2825" s="7" t="inlineStr">
        <is>
          <t>Viet Nam</t>
        </is>
      </c>
      <c r="C2825" s="7" t="inlineStr">
        <is>
          <t>East Asia &amp; Pacific</t>
        </is>
      </c>
      <c r="D2825" s="7" t="inlineStr">
        <is>
          <t>Upper middle income</t>
        </is>
      </c>
      <c r="E2825" s="7" t="b">
        <v>1</v>
      </c>
      <c r="F2825" s="7" t="inlineStr">
        <is>
          <t>rise_renewable_energy_score</t>
        </is>
      </c>
      <c r="G2825" s="7" t="n">
        <v>39.852</v>
      </c>
      <c r="H2825" s="7" t="inlineStr">
        <is>
          <t>2023</t>
        </is>
      </c>
      <c r="I2825" s="7" t="inlineStr">
        <is>
          <t>WB_RISE_WIDEF.csv</t>
        </is>
      </c>
    </row>
    <row r="2826">
      <c r="A2826" s="7" t="inlineStr">
        <is>
          <t>VUT</t>
        </is>
      </c>
      <c r="B2826" s="7" t="inlineStr">
        <is>
          <t>Vanuatu</t>
        </is>
      </c>
      <c r="C2826" s="7" t="inlineStr">
        <is>
          <t>East Asia &amp; Pacific</t>
        </is>
      </c>
      <c r="D2826" s="7" t="inlineStr">
        <is>
          <t>Lower middle income</t>
        </is>
      </c>
      <c r="E2826" s="7" t="b">
        <v>0</v>
      </c>
      <c r="F2826" s="7" t="inlineStr">
        <is>
          <t>coal_rents_pct_gdp</t>
        </is>
      </c>
      <c r="G2826" s="7" t="n">
        <v>0</v>
      </c>
      <c r="H2826" s="7" t="inlineStr">
        <is>
          <t>2021</t>
        </is>
      </c>
      <c r="I2826" s="7" t="inlineStr">
        <is>
          <t>API_NY_GDP_COAL_RT_ZS_DS2_en_csv_v2_35370.zip</t>
        </is>
      </c>
    </row>
    <row r="2827">
      <c r="A2827" s="7" t="inlineStr">
        <is>
          <t>VUT</t>
        </is>
      </c>
      <c r="B2827" s="7" t="inlineStr">
        <is>
          <t>Vanuatu</t>
        </is>
      </c>
      <c r="C2827" s="7" t="inlineStr">
        <is>
          <t>East Asia &amp; Pacific</t>
        </is>
      </c>
      <c r="D2827" s="7" t="inlineStr">
        <is>
          <t>Lower middle income</t>
        </is>
      </c>
      <c r="E2827" s="7" t="b">
        <v>0</v>
      </c>
      <c r="F2827" s="7" t="inlineStr">
        <is>
          <t>ff_subsidy_explicit_pct_gdp</t>
        </is>
      </c>
      <c r="G2827" s="7" t="n">
        <v>0</v>
      </c>
      <c r="H2827" s="7" t="inlineStr">
        <is>
          <t>2024</t>
        </is>
      </c>
      <c r="I2827" s="7" t="inlineStr">
        <is>
          <t>imffossilfuelsubsidiesdata.xlsb</t>
        </is>
      </c>
    </row>
    <row r="2828">
      <c r="A2828" s="7" t="inlineStr">
        <is>
          <t>VUT</t>
        </is>
      </c>
      <c r="B2828" s="7" t="inlineStr">
        <is>
          <t>Vanuatu</t>
        </is>
      </c>
      <c r="C2828" s="7" t="inlineStr">
        <is>
          <t>East Asia &amp; Pacific</t>
        </is>
      </c>
      <c r="D2828" s="7" t="inlineStr">
        <is>
          <t>Lower middle income</t>
        </is>
      </c>
      <c r="E2828" s="7" t="b">
        <v>0</v>
      </c>
      <c r="F2828" s="7" t="inlineStr">
        <is>
          <t>fuel_exports_pct_merch</t>
        </is>
      </c>
      <c r="G2828" s="7" t="n">
        <v>0.06900000000000001</v>
      </c>
      <c r="H2828" s="7" t="inlineStr">
        <is>
          <t>2011</t>
        </is>
      </c>
      <c r="I2828" s="7" t="inlineStr">
        <is>
          <t>API_TX_VAL_FUEL_ZS_UN_DS2_en_csv_v2_33055.zip</t>
        </is>
      </c>
    </row>
    <row r="2829">
      <c r="A2829" s="7" t="inlineStr">
        <is>
          <t>VUT</t>
        </is>
      </c>
      <c r="B2829" s="7" t="inlineStr">
        <is>
          <t>Vanuatu</t>
        </is>
      </c>
      <c r="C2829" s="7" t="inlineStr">
        <is>
          <t>East Asia &amp; Pacific</t>
        </is>
      </c>
      <c r="D2829" s="7" t="inlineStr">
        <is>
          <t>Lower middle income</t>
        </is>
      </c>
      <c r="E2829" s="7" t="b">
        <v>0</v>
      </c>
      <c r="F2829" s="7" t="inlineStr">
        <is>
          <t>power_market_structure</t>
        </is>
      </c>
      <c r="G2829" s="7" t="n">
        <v>1</v>
      </c>
      <c r="H2829" s="7" t="inlineStr">
        <is>
          <t>2013</t>
        </is>
      </c>
      <c r="I2829" s="7" t="inlineStr">
        <is>
          <t>dataverse_files.zip</t>
        </is>
      </c>
    </row>
    <row r="2830">
      <c r="A2830" s="7" t="inlineStr">
        <is>
          <t>VUT</t>
        </is>
      </c>
      <c r="B2830" s="7" t="inlineStr">
        <is>
          <t>Vanuatu</t>
        </is>
      </c>
      <c r="C2830" s="7" t="inlineStr">
        <is>
          <t>East Asia &amp; Pacific</t>
        </is>
      </c>
      <c r="D2830" s="7" t="inlineStr">
        <is>
          <t>Lower middle income</t>
        </is>
      </c>
      <c r="E2830" s="7" t="b">
        <v>0</v>
      </c>
      <c r="F2830" s="7" t="inlineStr">
        <is>
          <t>price_coal_power_usd_gj</t>
        </is>
      </c>
      <c r="G2830" s="7" t="n">
        <v>4.833</v>
      </c>
      <c r="H2830" s="7" t="inlineStr">
        <is>
          <t>2024</t>
        </is>
      </c>
      <c r="I2830" s="7" t="inlineStr">
        <is>
          <t>imffossilfuelsubsidiesdata.xlsb</t>
        </is>
      </c>
    </row>
    <row r="2831">
      <c r="A2831" s="7" t="inlineStr">
        <is>
          <t>VUT</t>
        </is>
      </c>
      <c r="B2831" s="7" t="inlineStr">
        <is>
          <t>Vanuatu</t>
        </is>
      </c>
      <c r="C2831" s="7" t="inlineStr">
        <is>
          <t>East Asia &amp; Pacific</t>
        </is>
      </c>
      <c r="D2831" s="7" t="inlineStr">
        <is>
          <t>Lower middle income</t>
        </is>
      </c>
      <c r="E2831" s="7" t="b">
        <v>0</v>
      </c>
      <c r="F2831" s="7" t="inlineStr">
        <is>
          <t>price_electricity_residential_usd_kwh</t>
        </is>
      </c>
      <c r="G2831" s="7" t="n">
        <v>0.307</v>
      </c>
      <c r="H2831" s="7" t="inlineStr">
        <is>
          <t>2024</t>
        </is>
      </c>
      <c r="I2831" s="7" t="inlineStr">
        <is>
          <t>imffossilfuelsubsidiesdata.xlsb</t>
        </is>
      </c>
    </row>
    <row r="2832">
      <c r="A2832" s="7" t="inlineStr">
        <is>
          <t>VUT</t>
        </is>
      </c>
      <c r="B2832" s="7" t="inlineStr">
        <is>
          <t>Vanuatu</t>
        </is>
      </c>
      <c r="C2832" s="7" t="inlineStr">
        <is>
          <t>East Asia &amp; Pacific</t>
        </is>
      </c>
      <c r="D2832" s="7" t="inlineStr">
        <is>
          <t>Lower middle income</t>
        </is>
      </c>
      <c r="E2832" s="7" t="b">
        <v>0</v>
      </c>
      <c r="F2832" s="7" t="inlineStr">
        <is>
          <t>price_gas_industry_usd_gj</t>
        </is>
      </c>
      <c r="G2832" s="7" t="n">
        <v>13.543</v>
      </c>
      <c r="H2832" s="7" t="inlineStr">
        <is>
          <t>2024</t>
        </is>
      </c>
      <c r="I2832" s="7" t="inlineStr">
        <is>
          <t>imffossilfuelsubsidiesdata.xlsb</t>
        </is>
      </c>
    </row>
    <row r="2833">
      <c r="A2833" s="7" t="inlineStr">
        <is>
          <t>VUT</t>
        </is>
      </c>
      <c r="B2833" s="7" t="inlineStr">
        <is>
          <t>Vanuatu</t>
        </is>
      </c>
      <c r="C2833" s="7" t="inlineStr">
        <is>
          <t>East Asia &amp; Pacific</t>
        </is>
      </c>
      <c r="D2833" s="7" t="inlineStr">
        <is>
          <t>Lower middle income</t>
        </is>
      </c>
      <c r="E2833" s="7" t="b">
        <v>0</v>
      </c>
      <c r="F2833" s="7" t="inlineStr">
        <is>
          <t>price_gas_power_usd_gj</t>
        </is>
      </c>
      <c r="G2833" s="7" t="n">
        <v>12.219</v>
      </c>
      <c r="H2833" s="7" t="inlineStr">
        <is>
          <t>2024</t>
        </is>
      </c>
      <c r="I2833" s="7" t="inlineStr">
        <is>
          <t>imffossilfuelsubsidiesdata.xlsb</t>
        </is>
      </c>
    </row>
    <row r="2834">
      <c r="A2834" s="7" t="inlineStr">
        <is>
          <t>VUT</t>
        </is>
      </c>
      <c r="B2834" s="7" t="inlineStr">
        <is>
          <t>Vanuatu</t>
        </is>
      </c>
      <c r="C2834" s="7" t="inlineStr">
        <is>
          <t>East Asia &amp; Pacific</t>
        </is>
      </c>
      <c r="D2834" s="7" t="inlineStr">
        <is>
          <t>Lower middle income</t>
        </is>
      </c>
      <c r="E2834" s="7" t="b">
        <v>0</v>
      </c>
      <c r="F2834" s="7" t="inlineStr">
        <is>
          <t>rise_renewable_energy_score</t>
        </is>
      </c>
      <c r="G2834" s="7" t="n">
        <v>8.333</v>
      </c>
      <c r="H2834" s="7" t="inlineStr">
        <is>
          <t>2023</t>
        </is>
      </c>
      <c r="I2834" s="7" t="inlineStr">
        <is>
          <t>WB_RISE_WIDEF.csv</t>
        </is>
      </c>
    </row>
    <row r="2835">
      <c r="A2835" s="7" t="inlineStr">
        <is>
          <t>WSM</t>
        </is>
      </c>
      <c r="B2835" s="7" t="inlineStr">
        <is>
          <t>Samoa</t>
        </is>
      </c>
      <c r="C2835" s="7" t="inlineStr">
        <is>
          <t>East Asia &amp; Pacific</t>
        </is>
      </c>
      <c r="D2835" s="7" t="inlineStr">
        <is>
          <t>Upper middle income</t>
        </is>
      </c>
      <c r="E2835" s="7" t="b">
        <v>0</v>
      </c>
      <c r="F2835" s="7" t="inlineStr">
        <is>
          <t>coal_rents_pct_gdp</t>
        </is>
      </c>
      <c r="G2835" s="7" t="n">
        <v>0</v>
      </c>
      <c r="H2835" s="7" t="inlineStr">
        <is>
          <t>2021</t>
        </is>
      </c>
      <c r="I2835" s="7" t="inlineStr">
        <is>
          <t>API_NY_GDP_COAL_RT_ZS_DS2_en_csv_v2_35370.zip</t>
        </is>
      </c>
    </row>
    <row r="2836">
      <c r="A2836" s="7" t="inlineStr">
        <is>
          <t>WSM</t>
        </is>
      </c>
      <c r="B2836" s="7" t="inlineStr">
        <is>
          <t>Samoa</t>
        </is>
      </c>
      <c r="C2836" s="7" t="inlineStr">
        <is>
          <t>East Asia &amp; Pacific</t>
        </is>
      </c>
      <c r="D2836" s="7" t="inlineStr">
        <is>
          <t>Upper middle income</t>
        </is>
      </c>
      <c r="E2836" s="7" t="b">
        <v>0</v>
      </c>
      <c r="F2836" s="7" t="inlineStr">
        <is>
          <t>em_coal_mt</t>
        </is>
      </c>
      <c r="G2836" s="7" t="n">
        <v>0</v>
      </c>
      <c r="H2836" s="7" t="n">
        <v>2024</v>
      </c>
      <c r="I2836" s="7" t="inlineStr">
        <is>
          <t>release_generation_yearly_global.csv (Ember)</t>
        </is>
      </c>
    </row>
    <row r="2837">
      <c r="A2837" s="7" t="inlineStr">
        <is>
          <t>WSM</t>
        </is>
      </c>
      <c r="B2837" s="7" t="inlineStr">
        <is>
          <t>Samoa</t>
        </is>
      </c>
      <c r="C2837" s="7" t="inlineStr">
        <is>
          <t>East Asia &amp; Pacific</t>
        </is>
      </c>
      <c r="D2837" s="7" t="inlineStr">
        <is>
          <t>Upper middle income</t>
        </is>
      </c>
      <c r="E2837" s="7" t="b">
        <v>0</v>
      </c>
      <c r="F2837" s="7" t="inlineStr">
        <is>
          <t>em_gas_mt</t>
        </is>
      </c>
      <c r="G2837" s="7" t="n">
        <v>0</v>
      </c>
      <c r="H2837" s="7" t="n">
        <v>2024</v>
      </c>
      <c r="I2837" s="7" t="inlineStr">
        <is>
          <t>release_generation_yearly_global.csv (Ember)</t>
        </is>
      </c>
    </row>
    <row r="2838">
      <c r="A2838" s="7" t="inlineStr">
        <is>
          <t>WSM</t>
        </is>
      </c>
      <c r="B2838" s="7" t="inlineStr">
        <is>
          <t>Samoa</t>
        </is>
      </c>
      <c r="C2838" s="7" t="inlineStr">
        <is>
          <t>East Asia &amp; Pacific</t>
        </is>
      </c>
      <c r="D2838" s="7" t="inlineStr">
        <is>
          <t>Upper middle income</t>
        </is>
      </c>
      <c r="E2838" s="7" t="b">
        <v>0</v>
      </c>
      <c r="F2838" s="7" t="inlineStr">
        <is>
          <t>em_oil_mt</t>
        </is>
      </c>
      <c r="G2838" s="7" t="n">
        <v>0.059</v>
      </c>
      <c r="H2838" s="7" t="n">
        <v>2024</v>
      </c>
      <c r="I2838" s="7" t="inlineStr">
        <is>
          <t>release_generation_yearly_global.csv (Ember)</t>
        </is>
      </c>
    </row>
    <row r="2839">
      <c r="A2839" s="7" t="inlineStr">
        <is>
          <t>WSM</t>
        </is>
      </c>
      <c r="B2839" s="7" t="inlineStr">
        <is>
          <t>Samoa</t>
        </is>
      </c>
      <c r="C2839" s="7" t="inlineStr">
        <is>
          <t>East Asia &amp; Pacific</t>
        </is>
      </c>
      <c r="D2839" s="7" t="inlineStr">
        <is>
          <t>Upper middle income</t>
        </is>
      </c>
      <c r="E2839" s="7" t="b">
        <v>0</v>
      </c>
      <c r="F2839" s="7" t="inlineStr">
        <is>
          <t>ff_subsidy_explicit_pct_gdp</t>
        </is>
      </c>
      <c r="G2839" s="7" t="n">
        <v>0</v>
      </c>
      <c r="H2839" s="7" t="inlineStr">
        <is>
          <t>2024</t>
        </is>
      </c>
      <c r="I2839" s="7" t="inlineStr">
        <is>
          <t>imffossilfuelsubsidiesdata.xlsb</t>
        </is>
      </c>
    </row>
    <row r="2840">
      <c r="A2840" s="7" t="inlineStr">
        <is>
          <t>WSM</t>
        </is>
      </c>
      <c r="B2840" s="7" t="inlineStr">
        <is>
          <t>Samoa</t>
        </is>
      </c>
      <c r="C2840" s="7" t="inlineStr">
        <is>
          <t>East Asia &amp; Pacific</t>
        </is>
      </c>
      <c r="D2840" s="7" t="inlineStr">
        <is>
          <t>Upper middle income</t>
        </is>
      </c>
      <c r="E2840" s="7" t="b">
        <v>0</v>
      </c>
      <c r="F2840" s="7" t="inlineStr">
        <is>
          <t>fuel_exports_pct_merch</t>
        </is>
      </c>
      <c r="G2840" s="7" t="n">
        <v>33.264</v>
      </c>
      <c r="H2840" s="7" t="inlineStr">
        <is>
          <t>2024</t>
        </is>
      </c>
      <c r="I2840" s="7" t="inlineStr">
        <is>
          <t>API_TX_VAL_FUEL_ZS_UN_DS2_en_csv_v2_33055.zip</t>
        </is>
      </c>
    </row>
    <row r="2841">
      <c r="A2841" s="7" t="inlineStr">
        <is>
          <t>WSM</t>
        </is>
      </c>
      <c r="B2841" s="7" t="inlineStr">
        <is>
          <t>Samoa</t>
        </is>
      </c>
      <c r="C2841" s="7" t="inlineStr">
        <is>
          <t>East Asia &amp; Pacific</t>
        </is>
      </c>
      <c r="D2841" s="7" t="inlineStr">
        <is>
          <t>Upper middle income</t>
        </is>
      </c>
      <c r="E2841" s="7" t="b">
        <v>0</v>
      </c>
      <c r="F2841" s="7" t="inlineStr">
        <is>
          <t>gen_coal_twh</t>
        </is>
      </c>
      <c r="G2841" s="7" t="n">
        <v>0</v>
      </c>
      <c r="H2841" s="7" t="n">
        <v>2024</v>
      </c>
      <c r="I2841" s="7" t="inlineStr">
        <is>
          <t>release_generation_yearly_global.csv (Ember)</t>
        </is>
      </c>
    </row>
    <row r="2842">
      <c r="A2842" s="7" t="inlineStr">
        <is>
          <t>WSM</t>
        </is>
      </c>
      <c r="B2842" s="7" t="inlineStr">
        <is>
          <t>Samoa</t>
        </is>
      </c>
      <c r="C2842" s="7" t="inlineStr">
        <is>
          <t>East Asia &amp; Pacific</t>
        </is>
      </c>
      <c r="D2842" s="7" t="inlineStr">
        <is>
          <t>Upper middle income</t>
        </is>
      </c>
      <c r="E2842" s="7" t="b">
        <v>0</v>
      </c>
      <c r="F2842" s="7" t="inlineStr">
        <is>
          <t>gen_gas_twh</t>
        </is>
      </c>
      <c r="G2842" s="7" t="n">
        <v>0</v>
      </c>
      <c r="H2842" s="7" t="n">
        <v>2024</v>
      </c>
      <c r="I2842" s="7" t="inlineStr">
        <is>
          <t>release_generation_yearly_global.csv (Ember)</t>
        </is>
      </c>
    </row>
    <row r="2843">
      <c r="A2843" s="7" t="inlineStr">
        <is>
          <t>WSM</t>
        </is>
      </c>
      <c r="B2843" s="7" t="inlineStr">
        <is>
          <t>Samoa</t>
        </is>
      </c>
      <c r="C2843" s="7" t="inlineStr">
        <is>
          <t>East Asia &amp; Pacific</t>
        </is>
      </c>
      <c r="D2843" s="7" t="inlineStr">
        <is>
          <t>Upper middle income</t>
        </is>
      </c>
      <c r="E2843" s="7" t="b">
        <v>0</v>
      </c>
      <c r="F2843" s="7" t="inlineStr">
        <is>
          <t>gen_oil_twh</t>
        </is>
      </c>
      <c r="G2843" s="7" t="n">
        <v>0.09</v>
      </c>
      <c r="H2843" s="7" t="n">
        <v>2024</v>
      </c>
      <c r="I2843" s="7" t="inlineStr">
        <is>
          <t>release_generation_yearly_global.csv (Ember)</t>
        </is>
      </c>
    </row>
    <row r="2844">
      <c r="A2844" s="7" t="inlineStr">
        <is>
          <t>WSM</t>
        </is>
      </c>
      <c r="B2844" s="7" t="inlineStr">
        <is>
          <t>Samoa</t>
        </is>
      </c>
      <c r="C2844" s="7" t="inlineStr">
        <is>
          <t>East Asia &amp; Pacific</t>
        </is>
      </c>
      <c r="D2844" s="7" t="inlineStr">
        <is>
          <t>Upper middle income</t>
        </is>
      </c>
      <c r="E2844" s="7" t="b">
        <v>0</v>
      </c>
      <c r="F2844" s="7" t="inlineStr">
        <is>
          <t>gen_total_twh</t>
        </is>
      </c>
      <c r="G2844" s="7" t="n">
        <v>0.16</v>
      </c>
      <c r="H2844" s="7" t="n">
        <v>2024</v>
      </c>
      <c r="I2844" s="7" t="inlineStr">
        <is>
          <t>release_generation_yearly_global.csv (Ember)</t>
        </is>
      </c>
    </row>
    <row r="2845">
      <c r="A2845" s="7" t="inlineStr">
        <is>
          <t>WSM</t>
        </is>
      </c>
      <c r="B2845" s="7" t="inlineStr">
        <is>
          <t>Samoa</t>
        </is>
      </c>
      <c r="C2845" s="7" t="inlineStr">
        <is>
          <t>East Asia &amp; Pacific</t>
        </is>
      </c>
      <c r="D2845" s="7" t="inlineStr">
        <is>
          <t>Upper middle income</t>
        </is>
      </c>
      <c r="E2845" s="7" t="b">
        <v>0</v>
      </c>
      <c r="F2845" s="7" t="inlineStr">
        <is>
          <t>price_coal_power_usd_gj</t>
        </is>
      </c>
      <c r="G2845" s="7" t="n">
        <v>4.833</v>
      </c>
      <c r="H2845" s="7" t="inlineStr">
        <is>
          <t>2024</t>
        </is>
      </c>
      <c r="I2845" s="7" t="inlineStr">
        <is>
          <t>imffossilfuelsubsidiesdata.xlsb</t>
        </is>
      </c>
    </row>
    <row r="2846">
      <c r="A2846" s="7" t="inlineStr">
        <is>
          <t>WSM</t>
        </is>
      </c>
      <c r="B2846" s="7" t="inlineStr">
        <is>
          <t>Samoa</t>
        </is>
      </c>
      <c r="C2846" s="7" t="inlineStr">
        <is>
          <t>East Asia &amp; Pacific</t>
        </is>
      </c>
      <c r="D2846" s="7" t="inlineStr">
        <is>
          <t>Upper middle income</t>
        </is>
      </c>
      <c r="E2846" s="7" t="b">
        <v>0</v>
      </c>
      <c r="F2846" s="7" t="inlineStr">
        <is>
          <t>price_electricity_residential_usd_kwh</t>
        </is>
      </c>
      <c r="G2846" s="7" t="n">
        <v>0.267</v>
      </c>
      <c r="H2846" s="7" t="inlineStr">
        <is>
          <t>2024</t>
        </is>
      </c>
      <c r="I2846" s="7" t="inlineStr">
        <is>
          <t>imffossilfuelsubsidiesdata.xlsb</t>
        </is>
      </c>
    </row>
    <row r="2847">
      <c r="A2847" s="7" t="inlineStr">
        <is>
          <t>WSM</t>
        </is>
      </c>
      <c r="B2847" s="7" t="inlineStr">
        <is>
          <t>Samoa</t>
        </is>
      </c>
      <c r="C2847" s="7" t="inlineStr">
        <is>
          <t>East Asia &amp; Pacific</t>
        </is>
      </c>
      <c r="D2847" s="7" t="inlineStr">
        <is>
          <t>Upper middle income</t>
        </is>
      </c>
      <c r="E2847" s="7" t="b">
        <v>0</v>
      </c>
      <c r="F2847" s="7" t="inlineStr">
        <is>
          <t>price_gas_industry_usd_gj</t>
        </is>
      </c>
      <c r="G2847" s="7" t="n">
        <v>12.541</v>
      </c>
      <c r="H2847" s="7" t="inlineStr">
        <is>
          <t>2024</t>
        </is>
      </c>
      <c r="I2847" s="7" t="inlineStr">
        <is>
          <t>imffossilfuelsubsidiesdata.xlsb</t>
        </is>
      </c>
    </row>
    <row r="2848">
      <c r="A2848" s="7" t="inlineStr">
        <is>
          <t>WSM</t>
        </is>
      </c>
      <c r="B2848" s="7" t="inlineStr">
        <is>
          <t>Samoa</t>
        </is>
      </c>
      <c r="C2848" s="7" t="inlineStr">
        <is>
          <t>East Asia &amp; Pacific</t>
        </is>
      </c>
      <c r="D2848" s="7" t="inlineStr">
        <is>
          <t>Upper middle income</t>
        </is>
      </c>
      <c r="E2848" s="7" t="b">
        <v>0</v>
      </c>
      <c r="F2848" s="7" t="inlineStr">
        <is>
          <t>price_gas_power_usd_gj</t>
        </is>
      </c>
      <c r="G2848" s="7" t="n">
        <v>11.218</v>
      </c>
      <c r="H2848" s="7" t="inlineStr">
        <is>
          <t>2024</t>
        </is>
      </c>
      <c r="I2848" s="7" t="inlineStr">
        <is>
          <t>imffossilfuelsubsidiesdata.xlsb</t>
        </is>
      </c>
    </row>
    <row r="2849">
      <c r="A2849" s="7" t="inlineStr">
        <is>
          <t>XKX</t>
        </is>
      </c>
      <c r="B2849" s="7" t="inlineStr">
        <is>
          <t>Kosovo</t>
        </is>
      </c>
      <c r="C2849" s="7" t="inlineStr">
        <is>
          <t>Europe &amp; Central Asia</t>
        </is>
      </c>
      <c r="D2849" s="7" t="inlineStr">
        <is>
          <t>Upper middle income</t>
        </is>
      </c>
      <c r="E2849" s="7" t="b">
        <v>1</v>
      </c>
      <c r="F2849" s="7" t="inlineStr">
        <is>
          <t>coal_rents_pct_gdp</t>
        </is>
      </c>
      <c r="G2849" s="7" t="n">
        <v>0.379</v>
      </c>
      <c r="H2849" s="7" t="inlineStr">
        <is>
          <t>2021</t>
        </is>
      </c>
      <c r="I2849" s="7" t="inlineStr">
        <is>
          <t>API_NY_GDP_COAL_RT_ZS_DS2_en_csv_v2_35370.zip</t>
        </is>
      </c>
    </row>
    <row r="2850">
      <c r="A2850" s="7" t="inlineStr">
        <is>
          <t>XKX</t>
        </is>
      </c>
      <c r="B2850" s="7" t="inlineStr">
        <is>
          <t>Kosovo</t>
        </is>
      </c>
      <c r="C2850" s="7" t="inlineStr">
        <is>
          <t>Europe &amp; Central Asia</t>
        </is>
      </c>
      <c r="D2850" s="7" t="inlineStr">
        <is>
          <t>Upper middle income</t>
        </is>
      </c>
      <c r="E2850" s="7" t="b">
        <v>1</v>
      </c>
      <c r="F2850" s="7" t="inlineStr">
        <is>
          <t>em_coal_mt</t>
        </is>
      </c>
      <c r="G2850" s="7" t="n">
        <v>6.228</v>
      </c>
      <c r="H2850" s="7" t="n">
        <v>2024</v>
      </c>
      <c r="I2850" s="7" t="inlineStr">
        <is>
          <t>release_generation_yearly_global.csv (Ember)</t>
        </is>
      </c>
    </row>
    <row r="2851">
      <c r="A2851" s="7" t="inlineStr">
        <is>
          <t>XKX</t>
        </is>
      </c>
      <c r="B2851" s="7" t="inlineStr">
        <is>
          <t>Kosovo</t>
        </is>
      </c>
      <c r="C2851" s="7" t="inlineStr">
        <is>
          <t>Europe &amp; Central Asia</t>
        </is>
      </c>
      <c r="D2851" s="7" t="inlineStr">
        <is>
          <t>Upper middle income</t>
        </is>
      </c>
      <c r="E2851" s="7" t="b">
        <v>1</v>
      </c>
      <c r="F2851" s="7" t="inlineStr">
        <is>
          <t>em_gas_mt</t>
        </is>
      </c>
      <c r="G2851" s="7" t="n">
        <v>0</v>
      </c>
      <c r="H2851" s="7" t="n">
        <v>2024</v>
      </c>
      <c r="I2851" s="7" t="inlineStr">
        <is>
          <t>release_generation_yearly_global.csv (Ember)</t>
        </is>
      </c>
    </row>
    <row r="2852">
      <c r="A2852" s="7" t="inlineStr">
        <is>
          <t>XKX</t>
        </is>
      </c>
      <c r="B2852" s="7" t="inlineStr">
        <is>
          <t>Kosovo</t>
        </is>
      </c>
      <c r="C2852" s="7" t="inlineStr">
        <is>
          <t>Europe &amp; Central Asia</t>
        </is>
      </c>
      <c r="D2852" s="7" t="inlineStr">
        <is>
          <t>Upper middle income</t>
        </is>
      </c>
      <c r="E2852" s="7" t="b">
        <v>1</v>
      </c>
      <c r="F2852" s="7" t="inlineStr">
        <is>
          <t>em_oil_mt</t>
        </is>
      </c>
      <c r="G2852" s="7" t="n">
        <v>0.007</v>
      </c>
      <c r="H2852" s="7" t="n">
        <v>2024</v>
      </c>
      <c r="I2852" s="7" t="inlineStr">
        <is>
          <t>release_generation_yearly_global.csv (Ember)</t>
        </is>
      </c>
    </row>
    <row r="2853">
      <c r="A2853" s="7" t="inlineStr">
        <is>
          <t>XKX</t>
        </is>
      </c>
      <c r="B2853" s="7" t="inlineStr">
        <is>
          <t>Kosovo</t>
        </is>
      </c>
      <c r="C2853" s="7" t="inlineStr">
        <is>
          <t>Europe &amp; Central Asia</t>
        </is>
      </c>
      <c r="D2853" s="7" t="inlineStr">
        <is>
          <t>Upper middle income</t>
        </is>
      </c>
      <c r="E2853" s="7" t="b">
        <v>1</v>
      </c>
      <c r="F2853" s="7" t="inlineStr">
        <is>
          <t>ff_subsidy_explicit_pct_gdp</t>
        </is>
      </c>
      <c r="G2853" s="7" t="n">
        <v>0.185</v>
      </c>
      <c r="H2853" s="7" t="inlineStr">
        <is>
          <t>2024</t>
        </is>
      </c>
      <c r="I2853" s="7" t="inlineStr">
        <is>
          <t>imffossilfuelsubsidiesdata.xlsb</t>
        </is>
      </c>
    </row>
    <row r="2854">
      <c r="A2854" s="7" t="inlineStr">
        <is>
          <t>XKX</t>
        </is>
      </c>
      <c r="B2854" s="7" t="inlineStr">
        <is>
          <t>Kosovo</t>
        </is>
      </c>
      <c r="C2854" s="7" t="inlineStr">
        <is>
          <t>Europe &amp; Central Asia</t>
        </is>
      </c>
      <c r="D2854" s="7" t="inlineStr">
        <is>
          <t>Upper middle income</t>
        </is>
      </c>
      <c r="E2854" s="7" t="b">
        <v>1</v>
      </c>
      <c r="F2854" s="7" t="inlineStr">
        <is>
          <t>gen_coal_twh</t>
        </is>
      </c>
      <c r="G2854" s="7" t="n">
        <v>6.16</v>
      </c>
      <c r="H2854" s="7" t="n">
        <v>2024</v>
      </c>
      <c r="I2854" s="7" t="inlineStr">
        <is>
          <t>release_generation_yearly_global.csv (Ember)</t>
        </is>
      </c>
    </row>
    <row r="2855">
      <c r="A2855" s="7" t="inlineStr">
        <is>
          <t>XKX</t>
        </is>
      </c>
      <c r="B2855" s="7" t="inlineStr">
        <is>
          <t>Kosovo</t>
        </is>
      </c>
      <c r="C2855" s="7" t="inlineStr">
        <is>
          <t>Europe &amp; Central Asia</t>
        </is>
      </c>
      <c r="D2855" s="7" t="inlineStr">
        <is>
          <t>Upper middle income</t>
        </is>
      </c>
      <c r="E2855" s="7" t="b">
        <v>1</v>
      </c>
      <c r="F2855" s="7" t="inlineStr">
        <is>
          <t>gen_gas_twh</t>
        </is>
      </c>
      <c r="G2855" s="7" t="n">
        <v>0</v>
      </c>
      <c r="H2855" s="7" t="n">
        <v>2024</v>
      </c>
      <c r="I2855" s="7" t="inlineStr">
        <is>
          <t>release_generation_yearly_global.csv (Ember)</t>
        </is>
      </c>
    </row>
    <row r="2856">
      <c r="A2856" s="7" t="inlineStr">
        <is>
          <t>XKX</t>
        </is>
      </c>
      <c r="B2856" s="7" t="inlineStr">
        <is>
          <t>Kosovo</t>
        </is>
      </c>
      <c r="C2856" s="7" t="inlineStr">
        <is>
          <t>Europe &amp; Central Asia</t>
        </is>
      </c>
      <c r="D2856" s="7" t="inlineStr">
        <is>
          <t>Upper middle income</t>
        </is>
      </c>
      <c r="E2856" s="7" t="b">
        <v>1</v>
      </c>
      <c r="F2856" s="7" t="inlineStr">
        <is>
          <t>gen_oil_twh</t>
        </is>
      </c>
      <c r="G2856" s="7" t="n">
        <v>0.01</v>
      </c>
      <c r="H2856" s="7" t="n">
        <v>2024</v>
      </c>
      <c r="I2856" s="7" t="inlineStr">
        <is>
          <t>release_generation_yearly_global.csv (Ember)</t>
        </is>
      </c>
    </row>
    <row r="2857">
      <c r="A2857" s="7" t="inlineStr">
        <is>
          <t>XKX</t>
        </is>
      </c>
      <c r="B2857" s="7" t="inlineStr">
        <is>
          <t>Kosovo</t>
        </is>
      </c>
      <c r="C2857" s="7" t="inlineStr">
        <is>
          <t>Europe &amp; Central Asia</t>
        </is>
      </c>
      <c r="D2857" s="7" t="inlineStr">
        <is>
          <t>Upper middle income</t>
        </is>
      </c>
      <c r="E2857" s="7" t="b">
        <v>1</v>
      </c>
      <c r="F2857" s="7" t="inlineStr">
        <is>
          <t>gen_total_twh</t>
        </is>
      </c>
      <c r="G2857" s="7" t="n">
        <v>6.75</v>
      </c>
      <c r="H2857" s="7" t="n">
        <v>2024</v>
      </c>
      <c r="I2857" s="7" t="inlineStr">
        <is>
          <t>release_generation_yearly_global.csv (Ember)</t>
        </is>
      </c>
    </row>
    <row r="2858">
      <c r="A2858" s="7" t="inlineStr">
        <is>
          <t>XKX</t>
        </is>
      </c>
      <c r="B2858" s="7" t="inlineStr">
        <is>
          <t>Kosovo</t>
        </is>
      </c>
      <c r="C2858" s="7" t="inlineStr">
        <is>
          <t>Europe &amp; Central Asia</t>
        </is>
      </c>
      <c r="D2858" s="7" t="inlineStr">
        <is>
          <t>Upper middle income</t>
        </is>
      </c>
      <c r="E2858" s="7" t="b">
        <v>1</v>
      </c>
      <c r="F2858" s="7" t="inlineStr">
        <is>
          <t>power_market_structure</t>
        </is>
      </c>
      <c r="G2858" s="7" t="n">
        <v>1</v>
      </c>
      <c r="H2858" s="7" t="inlineStr">
        <is>
          <t>2013</t>
        </is>
      </c>
      <c r="I2858" s="7" t="inlineStr">
        <is>
          <t>dataverse_files.zip</t>
        </is>
      </c>
    </row>
    <row r="2859">
      <c r="A2859" s="7" t="inlineStr">
        <is>
          <t>XKX</t>
        </is>
      </c>
      <c r="B2859" s="7" t="inlineStr">
        <is>
          <t>Kosovo</t>
        </is>
      </c>
      <c r="C2859" s="7" t="inlineStr">
        <is>
          <t>Europe &amp; Central Asia</t>
        </is>
      </c>
      <c r="D2859" s="7" t="inlineStr">
        <is>
          <t>Upper middle income</t>
        </is>
      </c>
      <c r="E2859" s="7" t="b">
        <v>1</v>
      </c>
      <c r="F2859" s="7" t="inlineStr">
        <is>
          <t>price_coal_power_usd_gj</t>
        </is>
      </c>
      <c r="G2859" s="7" t="n">
        <v>2.067</v>
      </c>
      <c r="H2859" s="7" t="inlineStr">
        <is>
          <t>2024</t>
        </is>
      </c>
      <c r="I2859" s="7" t="inlineStr">
        <is>
          <t>imffossilfuelsubsidiesdata.xlsb</t>
        </is>
      </c>
    </row>
    <row r="2860">
      <c r="A2860" s="7" t="inlineStr">
        <is>
          <t>XKX</t>
        </is>
      </c>
      <c r="B2860" s="7" t="inlineStr">
        <is>
          <t>Kosovo</t>
        </is>
      </c>
      <c r="C2860" s="7" t="inlineStr">
        <is>
          <t>Europe &amp; Central Asia</t>
        </is>
      </c>
      <c r="D2860" s="7" t="inlineStr">
        <is>
          <t>Upper middle income</t>
        </is>
      </c>
      <c r="E2860" s="7" t="b">
        <v>1</v>
      </c>
      <c r="F2860" s="7" t="inlineStr">
        <is>
          <t>price_electricity_residential_usd_kwh</t>
        </is>
      </c>
      <c r="G2860" s="7" t="n">
        <v>0.078</v>
      </c>
      <c r="H2860" s="7" t="inlineStr">
        <is>
          <t>2024</t>
        </is>
      </c>
      <c r="I2860" s="7" t="inlineStr">
        <is>
          <t>imffossilfuelsubsidiesdata.xlsb</t>
        </is>
      </c>
    </row>
    <row r="2861">
      <c r="A2861" s="7" t="inlineStr">
        <is>
          <t>XKX</t>
        </is>
      </c>
      <c r="B2861" s="7" t="inlineStr">
        <is>
          <t>Kosovo</t>
        </is>
      </c>
      <c r="C2861" s="7" t="inlineStr">
        <is>
          <t>Europe &amp; Central Asia</t>
        </is>
      </c>
      <c r="D2861" s="7" t="inlineStr">
        <is>
          <t>Upper middle income</t>
        </is>
      </c>
      <c r="E2861" s="7" t="b">
        <v>1</v>
      </c>
      <c r="F2861" s="7" t="inlineStr">
        <is>
          <t>price_gas_industry_usd_gj</t>
        </is>
      </c>
      <c r="G2861" s="7" t="n">
        <v>12.916</v>
      </c>
      <c r="H2861" s="7" t="inlineStr">
        <is>
          <t>2024</t>
        </is>
      </c>
      <c r="I2861" s="7" t="inlineStr">
        <is>
          <t>imffossilfuelsubsidiesdata.xlsb</t>
        </is>
      </c>
    </row>
    <row r="2862">
      <c r="A2862" s="7" t="inlineStr">
        <is>
          <t>XKX</t>
        </is>
      </c>
      <c r="B2862" s="7" t="inlineStr">
        <is>
          <t>Kosovo</t>
        </is>
      </c>
      <c r="C2862" s="7" t="inlineStr">
        <is>
          <t>Europe &amp; Central Asia</t>
        </is>
      </c>
      <c r="D2862" s="7" t="inlineStr">
        <is>
          <t>Upper middle income</t>
        </is>
      </c>
      <c r="E2862" s="7" t="b">
        <v>1</v>
      </c>
      <c r="F2862" s="7" t="inlineStr">
        <is>
          <t>price_gas_power_usd_gj</t>
        </is>
      </c>
      <c r="G2862" s="7" t="n">
        <v>11.593</v>
      </c>
      <c r="H2862" s="7" t="inlineStr">
        <is>
          <t>2024</t>
        </is>
      </c>
      <c r="I2862" s="7" t="inlineStr">
        <is>
          <t>imffossilfuelsubsidiesdata.xlsb</t>
        </is>
      </c>
    </row>
    <row r="2863">
      <c r="A2863" s="7" t="inlineStr">
        <is>
          <t>XKX</t>
        </is>
      </c>
      <c r="B2863" s="7" t="inlineStr">
        <is>
          <t>Kosovo</t>
        </is>
      </c>
      <c r="C2863" s="7" t="inlineStr">
        <is>
          <t>Europe &amp; Central Asia</t>
        </is>
      </c>
      <c r="D2863" s="7" t="inlineStr">
        <is>
          <t>Upper middle income</t>
        </is>
      </c>
      <c r="E2863" s="7" t="b">
        <v>1</v>
      </c>
      <c r="F2863" s="7" t="inlineStr">
        <is>
          <t>rise_renewable_energy_score</t>
        </is>
      </c>
      <c r="G2863" s="7" t="n">
        <v>36.249</v>
      </c>
      <c r="H2863" s="7" t="inlineStr">
        <is>
          <t>2023</t>
        </is>
      </c>
      <c r="I2863" s="7" t="inlineStr">
        <is>
          <t>WB_RISE_WIDEF.csv</t>
        </is>
      </c>
    </row>
    <row r="2864">
      <c r="A2864" s="7" t="inlineStr">
        <is>
          <t>YEM</t>
        </is>
      </c>
      <c r="B2864" s="7" t="inlineStr">
        <is>
          <t>Yemen, Rep.</t>
        </is>
      </c>
      <c r="C2864" s="7" t="inlineStr">
        <is>
          <t>Middle East &amp; North Africa</t>
        </is>
      </c>
      <c r="D2864" s="7" t="inlineStr">
        <is>
          <t>Low income</t>
        </is>
      </c>
      <c r="E2864" s="7" t="b">
        <v>1</v>
      </c>
      <c r="F2864" s="7" t="inlineStr">
        <is>
          <t>coal_rents_pct_gdp</t>
        </is>
      </c>
      <c r="G2864" s="7" t="n">
        <v>0</v>
      </c>
      <c r="H2864" s="7" t="inlineStr">
        <is>
          <t>2018</t>
        </is>
      </c>
      <c r="I2864" s="7" t="inlineStr">
        <is>
          <t>API_NY_GDP_COAL_RT_ZS_DS2_en_csv_v2_35370.zip</t>
        </is>
      </c>
    </row>
    <row r="2865">
      <c r="A2865" s="7" t="inlineStr">
        <is>
          <t>YEM</t>
        </is>
      </c>
      <c r="B2865" s="7" t="inlineStr">
        <is>
          <t>Yemen, Rep.</t>
        </is>
      </c>
      <c r="C2865" s="7" t="inlineStr">
        <is>
          <t>Middle East &amp; North Africa</t>
        </is>
      </c>
      <c r="D2865" s="7" t="inlineStr">
        <is>
          <t>Low income</t>
        </is>
      </c>
      <c r="E2865" s="7" t="b">
        <v>1</v>
      </c>
      <c r="F2865" s="7" t="inlineStr">
        <is>
          <t>em_coal_mt</t>
        </is>
      </c>
      <c r="G2865" s="7" t="n">
        <v>0</v>
      </c>
      <c r="H2865" s="7" t="n">
        <v>2024</v>
      </c>
      <c r="I2865" s="7" t="inlineStr">
        <is>
          <t>release_generation_yearly_global.csv (Ember)</t>
        </is>
      </c>
    </row>
    <row r="2866">
      <c r="A2866" s="7" t="inlineStr">
        <is>
          <t>YEM</t>
        </is>
      </c>
      <c r="B2866" s="7" t="inlineStr">
        <is>
          <t>Yemen, Rep.</t>
        </is>
      </c>
      <c r="C2866" s="7" t="inlineStr">
        <is>
          <t>Middle East &amp; North Africa</t>
        </is>
      </c>
      <c r="D2866" s="7" t="inlineStr">
        <is>
          <t>Low income</t>
        </is>
      </c>
      <c r="E2866" s="7" t="b">
        <v>1</v>
      </c>
      <c r="F2866" s="7" t="inlineStr">
        <is>
          <t>em_gas_mt</t>
        </is>
      </c>
      <c r="G2866" s="7" t="n">
        <v>0.05</v>
      </c>
      <c r="H2866" s="7" t="n">
        <v>2024</v>
      </c>
      <c r="I2866" s="7" t="inlineStr">
        <is>
          <t>release_generation_yearly_global.csv (Ember)</t>
        </is>
      </c>
    </row>
    <row r="2867">
      <c r="A2867" s="7" t="inlineStr">
        <is>
          <t>YEM</t>
        </is>
      </c>
      <c r="B2867" s="7" t="inlineStr">
        <is>
          <t>Yemen, Rep.</t>
        </is>
      </c>
      <c r="C2867" s="7" t="inlineStr">
        <is>
          <t>Middle East &amp; North Africa</t>
        </is>
      </c>
      <c r="D2867" s="7" t="inlineStr">
        <is>
          <t>Low income</t>
        </is>
      </c>
      <c r="E2867" s="7" t="b">
        <v>1</v>
      </c>
      <c r="F2867" s="7" t="inlineStr">
        <is>
          <t>em_oil_mt</t>
        </is>
      </c>
      <c r="G2867" s="7" t="n">
        <v>3.027</v>
      </c>
      <c r="H2867" s="7" t="n">
        <v>2024</v>
      </c>
      <c r="I2867" s="7" t="inlineStr">
        <is>
          <t>release_generation_yearly_global.csv (Ember)</t>
        </is>
      </c>
    </row>
    <row r="2868">
      <c r="A2868" s="7" t="inlineStr">
        <is>
          <t>YEM</t>
        </is>
      </c>
      <c r="B2868" s="7" t="inlineStr">
        <is>
          <t>Yemen, Rep.</t>
        </is>
      </c>
      <c r="C2868" s="7" t="inlineStr">
        <is>
          <t>Middle East &amp; North Africa</t>
        </is>
      </c>
      <c r="D2868" s="7" t="inlineStr">
        <is>
          <t>Low income</t>
        </is>
      </c>
      <c r="E2868" s="7" t="b">
        <v>1</v>
      </c>
      <c r="F2868" s="7" t="inlineStr">
        <is>
          <t>ff_subsidy_explicit_pct_gdp</t>
        </is>
      </c>
      <c r="G2868" s="7" t="n">
        <v>0</v>
      </c>
      <c r="H2868" s="7" t="inlineStr">
        <is>
          <t>2024</t>
        </is>
      </c>
      <c r="I2868" s="7" t="inlineStr">
        <is>
          <t>imffossilfuelsubsidiesdata.xlsb</t>
        </is>
      </c>
    </row>
    <row r="2869">
      <c r="A2869" s="7" t="inlineStr">
        <is>
          <t>YEM</t>
        </is>
      </c>
      <c r="B2869" s="7" t="inlineStr">
        <is>
          <t>Yemen, Rep.</t>
        </is>
      </c>
      <c r="C2869" s="7" t="inlineStr">
        <is>
          <t>Middle East &amp; North Africa</t>
        </is>
      </c>
      <c r="D2869" s="7" t="inlineStr">
        <is>
          <t>Low income</t>
        </is>
      </c>
      <c r="E2869" s="7" t="b">
        <v>1</v>
      </c>
      <c r="F2869" s="7" t="inlineStr">
        <is>
          <t>fuel_exports_pct_merch</t>
        </is>
      </c>
      <c r="G2869" s="7" t="n">
        <v>0.145</v>
      </c>
      <c r="H2869" s="7" t="inlineStr">
        <is>
          <t>2019</t>
        </is>
      </c>
      <c r="I2869" s="7" t="inlineStr">
        <is>
          <t>API_TX_VAL_FUEL_ZS_UN_DS2_en_csv_v2_33055.zip</t>
        </is>
      </c>
    </row>
    <row r="2870">
      <c r="A2870" s="7" t="inlineStr">
        <is>
          <t>YEM</t>
        </is>
      </c>
      <c r="B2870" s="7" t="inlineStr">
        <is>
          <t>Yemen, Rep.</t>
        </is>
      </c>
      <c r="C2870" s="7" t="inlineStr">
        <is>
          <t>Middle East &amp; North Africa</t>
        </is>
      </c>
      <c r="D2870" s="7" t="inlineStr">
        <is>
          <t>Low income</t>
        </is>
      </c>
      <c r="E2870" s="7" t="b">
        <v>1</v>
      </c>
      <c r="F2870" s="7" t="inlineStr">
        <is>
          <t>gen_coal_twh</t>
        </is>
      </c>
      <c r="G2870" s="7" t="n">
        <v>0</v>
      </c>
      <c r="H2870" s="7" t="n">
        <v>2024</v>
      </c>
      <c r="I2870" s="7" t="inlineStr">
        <is>
          <t>release_generation_yearly_global.csv (Ember)</t>
        </is>
      </c>
    </row>
    <row r="2871">
      <c r="A2871" s="7" t="inlineStr">
        <is>
          <t>YEM</t>
        </is>
      </c>
      <c r="B2871" s="7" t="inlineStr">
        <is>
          <t>Yemen, Rep.</t>
        </is>
      </c>
      <c r="C2871" s="7" t="inlineStr">
        <is>
          <t>Middle East &amp; North Africa</t>
        </is>
      </c>
      <c r="D2871" s="7" t="inlineStr">
        <is>
          <t>Low income</t>
        </is>
      </c>
      <c r="E2871" s="7" t="b">
        <v>1</v>
      </c>
      <c r="F2871" s="7" t="inlineStr">
        <is>
          <t>gen_gas_twh</t>
        </is>
      </c>
      <c r="G2871" s="7" t="n">
        <v>0.06</v>
      </c>
      <c r="H2871" s="7" t="n">
        <v>2024</v>
      </c>
      <c r="I2871" s="7" t="inlineStr">
        <is>
          <t>release_generation_yearly_global.csv (Ember)</t>
        </is>
      </c>
    </row>
    <row r="2872">
      <c r="A2872" s="7" t="inlineStr">
        <is>
          <t>YEM</t>
        </is>
      </c>
      <c r="B2872" s="7" t="inlineStr">
        <is>
          <t>Yemen, Rep.</t>
        </is>
      </c>
      <c r="C2872" s="7" t="inlineStr">
        <is>
          <t>Middle East &amp; North Africa</t>
        </is>
      </c>
      <c r="D2872" s="7" t="inlineStr">
        <is>
          <t>Low income</t>
        </is>
      </c>
      <c r="E2872" s="7" t="b">
        <v>1</v>
      </c>
      <c r="F2872" s="7" t="inlineStr">
        <is>
          <t>gen_oil_twh</t>
        </is>
      </c>
      <c r="G2872" s="7" t="n">
        <v>4.6</v>
      </c>
      <c r="H2872" s="7" t="n">
        <v>2024</v>
      </c>
      <c r="I2872" s="7" t="inlineStr">
        <is>
          <t>release_generation_yearly_global.csv (Ember)</t>
        </is>
      </c>
    </row>
    <row r="2873">
      <c r="A2873" s="7" t="inlineStr">
        <is>
          <t>YEM</t>
        </is>
      </c>
      <c r="B2873" s="7" t="inlineStr">
        <is>
          <t>Yemen, Rep.</t>
        </is>
      </c>
      <c r="C2873" s="7" t="inlineStr">
        <is>
          <t>Middle East &amp; North Africa</t>
        </is>
      </c>
      <c r="D2873" s="7" t="inlineStr">
        <is>
          <t>Low income</t>
        </is>
      </c>
      <c r="E2873" s="7" t="b">
        <v>1</v>
      </c>
      <c r="F2873" s="7" t="inlineStr">
        <is>
          <t>gen_total_twh</t>
        </is>
      </c>
      <c r="G2873" s="7" t="n">
        <v>5.25</v>
      </c>
      <c r="H2873" s="7" t="n">
        <v>2024</v>
      </c>
      <c r="I2873" s="7" t="inlineStr">
        <is>
          <t>release_generation_yearly_global.csv (Ember)</t>
        </is>
      </c>
    </row>
    <row r="2874">
      <c r="A2874" s="7" t="inlineStr">
        <is>
          <t>YEM</t>
        </is>
      </c>
      <c r="B2874" s="7" t="inlineStr">
        <is>
          <t>Yemen, Rep.</t>
        </is>
      </c>
      <c r="C2874" s="7" t="inlineStr">
        <is>
          <t>Middle East &amp; North Africa</t>
        </is>
      </c>
      <c r="D2874" s="7" t="inlineStr">
        <is>
          <t>Low income</t>
        </is>
      </c>
      <c r="E2874" s="7" t="b">
        <v>1</v>
      </c>
      <c r="F2874" s="7" t="inlineStr">
        <is>
          <t>power_market_structure</t>
        </is>
      </c>
      <c r="G2874" s="7" t="n">
        <v>1</v>
      </c>
      <c r="H2874" s="7" t="inlineStr">
        <is>
          <t>2013</t>
        </is>
      </c>
      <c r="I2874" s="7" t="inlineStr">
        <is>
          <t>dataverse_files.zip</t>
        </is>
      </c>
    </row>
    <row r="2875">
      <c r="A2875" s="7" t="inlineStr">
        <is>
          <t>YEM</t>
        </is>
      </c>
      <c r="B2875" s="7" t="inlineStr">
        <is>
          <t>Yemen, Rep.</t>
        </is>
      </c>
      <c r="C2875" s="7" t="inlineStr">
        <is>
          <t>Middle East &amp; North Africa</t>
        </is>
      </c>
      <c r="D2875" s="7" t="inlineStr">
        <is>
          <t>Low income</t>
        </is>
      </c>
      <c r="E2875" s="7" t="b">
        <v>1</v>
      </c>
      <c r="F2875" s="7" t="inlineStr">
        <is>
          <t>price_coal_power_usd_gj</t>
        </is>
      </c>
      <c r="G2875" s="7" t="n">
        <v>5.575</v>
      </c>
      <c r="H2875" s="7" t="inlineStr">
        <is>
          <t>2024</t>
        </is>
      </c>
      <c r="I2875" s="7" t="inlineStr">
        <is>
          <t>imffossilfuelsubsidiesdata.xlsb</t>
        </is>
      </c>
    </row>
    <row r="2876">
      <c r="A2876" s="7" t="inlineStr">
        <is>
          <t>YEM</t>
        </is>
      </c>
      <c r="B2876" s="7" t="inlineStr">
        <is>
          <t>Yemen, Rep.</t>
        </is>
      </c>
      <c r="C2876" s="7" t="inlineStr">
        <is>
          <t>Middle East &amp; North Africa</t>
        </is>
      </c>
      <c r="D2876" s="7" t="inlineStr">
        <is>
          <t>Low income</t>
        </is>
      </c>
      <c r="E2876" s="7" t="b">
        <v>1</v>
      </c>
      <c r="F2876" s="7" t="inlineStr">
        <is>
          <t>price_electricity_residential_usd_kwh</t>
        </is>
      </c>
      <c r="G2876" s="7" t="n">
        <v>0.166</v>
      </c>
      <c r="H2876" s="7" t="inlineStr">
        <is>
          <t>2024</t>
        </is>
      </c>
      <c r="I2876" s="7" t="inlineStr">
        <is>
          <t>imffossilfuelsubsidiesdata.xlsb</t>
        </is>
      </c>
    </row>
    <row r="2877">
      <c r="A2877" s="7" t="inlineStr">
        <is>
          <t>YEM</t>
        </is>
      </c>
      <c r="B2877" s="7" t="inlineStr">
        <is>
          <t>Yemen, Rep.</t>
        </is>
      </c>
      <c r="C2877" s="7" t="inlineStr">
        <is>
          <t>Middle East &amp; North Africa</t>
        </is>
      </c>
      <c r="D2877" s="7" t="inlineStr">
        <is>
          <t>Low income</t>
        </is>
      </c>
      <c r="E2877" s="7" t="b">
        <v>1</v>
      </c>
      <c r="F2877" s="7" t="inlineStr">
        <is>
          <t>price_gas_industry_usd_gj</t>
        </is>
      </c>
      <c r="G2877" s="7" t="n">
        <v>6.978</v>
      </c>
      <c r="H2877" s="7" t="inlineStr">
        <is>
          <t>2024</t>
        </is>
      </c>
      <c r="I2877" s="7" t="inlineStr">
        <is>
          <t>imffossilfuelsubsidiesdata.xlsb</t>
        </is>
      </c>
    </row>
    <row r="2878">
      <c r="A2878" s="7" t="inlineStr">
        <is>
          <t>YEM</t>
        </is>
      </c>
      <c r="B2878" s="7" t="inlineStr">
        <is>
          <t>Yemen, Rep.</t>
        </is>
      </c>
      <c r="C2878" s="7" t="inlineStr">
        <is>
          <t>Middle East &amp; North Africa</t>
        </is>
      </c>
      <c r="D2878" s="7" t="inlineStr">
        <is>
          <t>Low income</t>
        </is>
      </c>
      <c r="E2878" s="7" t="b">
        <v>1</v>
      </c>
      <c r="F2878" s="7" t="inlineStr">
        <is>
          <t>price_gas_power_usd_gj</t>
        </is>
      </c>
      <c r="G2878" s="7" t="n">
        <v>6.316</v>
      </c>
      <c r="H2878" s="7" t="inlineStr">
        <is>
          <t>2024</t>
        </is>
      </c>
      <c r="I2878" s="7" t="inlineStr">
        <is>
          <t>imffossilfuelsubsidiesdata.xlsb</t>
        </is>
      </c>
    </row>
    <row r="2879">
      <c r="A2879" s="7" t="inlineStr">
        <is>
          <t>YEM</t>
        </is>
      </c>
      <c r="B2879" s="7" t="inlineStr">
        <is>
          <t>Yemen, Rep.</t>
        </is>
      </c>
      <c r="C2879" s="7" t="inlineStr">
        <is>
          <t>Middle East &amp; North Africa</t>
        </is>
      </c>
      <c r="D2879" s="7" t="inlineStr">
        <is>
          <t>Low income</t>
        </is>
      </c>
      <c r="E2879" s="7" t="b">
        <v>1</v>
      </c>
      <c r="F2879" s="7" t="inlineStr">
        <is>
          <t>rise_renewable_energy_score</t>
        </is>
      </c>
      <c r="G2879" s="7" t="n">
        <v>16.944</v>
      </c>
      <c r="H2879" s="7" t="inlineStr">
        <is>
          <t>2023</t>
        </is>
      </c>
      <c r="I2879" s="7" t="inlineStr">
        <is>
          <t>WB_RISE_WIDEF.csv</t>
        </is>
      </c>
    </row>
    <row r="2880">
      <c r="A2880" s="7" t="inlineStr">
        <is>
          <t>ZAF</t>
        </is>
      </c>
      <c r="B2880" s="7" t="inlineStr">
        <is>
          <t>South Africa</t>
        </is>
      </c>
      <c r="C2880" s="7" t="inlineStr">
        <is>
          <t>Sub-Saharan Africa</t>
        </is>
      </c>
      <c r="D2880" s="7" t="inlineStr">
        <is>
          <t>Upper middle income</t>
        </is>
      </c>
      <c r="E2880" s="7" t="b">
        <v>1</v>
      </c>
      <c r="F2880" s="7" t="inlineStr">
        <is>
          <t>coal_rents_pct_gdp</t>
        </is>
      </c>
      <c r="G2880" s="7" t="n">
        <v>2.441</v>
      </c>
      <c r="H2880" s="7" t="inlineStr">
        <is>
          <t>2021</t>
        </is>
      </c>
      <c r="I2880" s="7" t="inlineStr">
        <is>
          <t>API_NY_GDP_COAL_RT_ZS_DS2_en_csv_v2_35370.zip</t>
        </is>
      </c>
    </row>
    <row r="2881">
      <c r="A2881" s="7" t="inlineStr">
        <is>
          <t>ZAF</t>
        </is>
      </c>
      <c r="B2881" s="7" t="inlineStr">
        <is>
          <t>South Africa</t>
        </is>
      </c>
      <c r="C2881" s="7" t="inlineStr">
        <is>
          <t>Sub-Saharan Africa</t>
        </is>
      </c>
      <c r="D2881" s="7" t="inlineStr">
        <is>
          <t>Upper middle income</t>
        </is>
      </c>
      <c r="E2881" s="7" t="b">
        <v>1</v>
      </c>
      <c r="F2881" s="7" t="inlineStr">
        <is>
          <t>em_coal_mt</t>
        </is>
      </c>
      <c r="G2881" s="7" t="n">
        <v>175.22</v>
      </c>
      <c r="H2881" s="7" t="n">
        <v>2024</v>
      </c>
      <c r="I2881" s="7" t="inlineStr">
        <is>
          <t>release_generation_yearly_global.csv (Ember)</t>
        </is>
      </c>
    </row>
    <row r="2882">
      <c r="A2882" s="7" t="inlineStr">
        <is>
          <t>ZAF</t>
        </is>
      </c>
      <c r="B2882" s="7" t="inlineStr">
        <is>
          <t>South Africa</t>
        </is>
      </c>
      <c r="C2882" s="7" t="inlineStr">
        <is>
          <t>Sub-Saharan Africa</t>
        </is>
      </c>
      <c r="D2882" s="7" t="inlineStr">
        <is>
          <t>Upper middle income</t>
        </is>
      </c>
      <c r="E2882" s="7" t="b">
        <v>1</v>
      </c>
      <c r="F2882" s="7" t="inlineStr">
        <is>
          <t>em_gas_mt</t>
        </is>
      </c>
      <c r="G2882" s="7" t="n">
        <v>0</v>
      </c>
      <c r="H2882" s="7" t="n">
        <v>2024</v>
      </c>
      <c r="I2882" s="7" t="inlineStr">
        <is>
          <t>release_generation_yearly_global.csv (Ember)</t>
        </is>
      </c>
    </row>
    <row r="2883">
      <c r="A2883" s="7" t="inlineStr">
        <is>
          <t>ZAF</t>
        </is>
      </c>
      <c r="B2883" s="7" t="inlineStr">
        <is>
          <t>South Africa</t>
        </is>
      </c>
      <c r="C2883" s="7" t="inlineStr">
        <is>
          <t>Sub-Saharan Africa</t>
        </is>
      </c>
      <c r="D2883" s="7" t="inlineStr">
        <is>
          <t>Upper middle income</t>
        </is>
      </c>
      <c r="E2883" s="7" t="b">
        <v>1</v>
      </c>
      <c r="F2883" s="7" t="inlineStr">
        <is>
          <t>em_oil_mt</t>
        </is>
      </c>
      <c r="G2883" s="7" t="n">
        <v>1.277</v>
      </c>
      <c r="H2883" s="7" t="n">
        <v>2024</v>
      </c>
      <c r="I2883" s="7" t="inlineStr">
        <is>
          <t>release_generation_yearly_global.csv (Ember)</t>
        </is>
      </c>
    </row>
    <row r="2884">
      <c r="A2884" s="7" t="inlineStr">
        <is>
          <t>ZAF</t>
        </is>
      </c>
      <c r="B2884" s="7" t="inlineStr">
        <is>
          <t>South Africa</t>
        </is>
      </c>
      <c r="C2884" s="7" t="inlineStr">
        <is>
          <t>Sub-Saharan Africa</t>
        </is>
      </c>
      <c r="D2884" s="7" t="inlineStr">
        <is>
          <t>Upper middle income</t>
        </is>
      </c>
      <c r="E2884" s="7" t="b">
        <v>1</v>
      </c>
      <c r="F2884" s="7" t="inlineStr">
        <is>
          <t>ff_subsidy_explicit_pct_gdp</t>
        </is>
      </c>
      <c r="G2884" s="7" t="n">
        <v>0</v>
      </c>
      <c r="H2884" s="7" t="inlineStr">
        <is>
          <t>2024</t>
        </is>
      </c>
      <c r="I2884" s="7" t="inlineStr">
        <is>
          <t>imffossilfuelsubsidiesdata.xlsb</t>
        </is>
      </c>
    </row>
    <row r="2885">
      <c r="A2885" s="7" t="inlineStr">
        <is>
          <t>ZAF</t>
        </is>
      </c>
      <c r="B2885" s="7" t="inlineStr">
        <is>
          <t>South Africa</t>
        </is>
      </c>
      <c r="C2885" s="7" t="inlineStr">
        <is>
          <t>Sub-Saharan Africa</t>
        </is>
      </c>
      <c r="D2885" s="7" t="inlineStr">
        <is>
          <t>Upper middle income</t>
        </is>
      </c>
      <c r="E2885" s="7" t="b">
        <v>1</v>
      </c>
      <c r="F2885" s="7" t="inlineStr">
        <is>
          <t>fuel_exports_pct_merch</t>
        </is>
      </c>
      <c r="G2885" s="7" t="n">
        <v>8.211</v>
      </c>
      <c r="H2885" s="7" t="inlineStr">
        <is>
          <t>2025</t>
        </is>
      </c>
      <c r="I2885" s="7" t="inlineStr">
        <is>
          <t>API_TX_VAL_FUEL_ZS_UN_DS2_en_csv_v2_33055.zip</t>
        </is>
      </c>
    </row>
    <row r="2886">
      <c r="A2886" s="7" t="inlineStr">
        <is>
          <t>ZAF</t>
        </is>
      </c>
      <c r="B2886" s="7" t="inlineStr">
        <is>
          <t>South Africa</t>
        </is>
      </c>
      <c r="C2886" s="7" t="inlineStr">
        <is>
          <t>Sub-Saharan Africa</t>
        </is>
      </c>
      <c r="D2886" s="7" t="inlineStr">
        <is>
          <t>Upper middle income</t>
        </is>
      </c>
      <c r="E2886" s="7" t="b">
        <v>1</v>
      </c>
      <c r="F2886" s="7" t="inlineStr">
        <is>
          <t>gen_coal_twh</t>
        </is>
      </c>
      <c r="G2886" s="7" t="n">
        <v>206.81</v>
      </c>
      <c r="H2886" s="7" t="n">
        <v>2024</v>
      </c>
      <c r="I2886" s="7" t="inlineStr">
        <is>
          <t>release_generation_yearly_global.csv (Ember)</t>
        </is>
      </c>
    </row>
    <row r="2887">
      <c r="A2887" s="7" t="inlineStr">
        <is>
          <t>ZAF</t>
        </is>
      </c>
      <c r="B2887" s="7" t="inlineStr">
        <is>
          <t>South Africa</t>
        </is>
      </c>
      <c r="C2887" s="7" t="inlineStr">
        <is>
          <t>Sub-Saharan Africa</t>
        </is>
      </c>
      <c r="D2887" s="7" t="inlineStr">
        <is>
          <t>Upper middle income</t>
        </is>
      </c>
      <c r="E2887" s="7" t="b">
        <v>1</v>
      </c>
      <c r="F2887" s="7" t="inlineStr">
        <is>
          <t>gen_gas_twh</t>
        </is>
      </c>
      <c r="G2887" s="7" t="n">
        <v>0</v>
      </c>
      <c r="H2887" s="7" t="n">
        <v>2024</v>
      </c>
      <c r="I2887" s="7" t="inlineStr">
        <is>
          <t>release_generation_yearly_global.csv (Ember)</t>
        </is>
      </c>
    </row>
    <row r="2888">
      <c r="A2888" s="7" t="inlineStr">
        <is>
          <t>ZAF</t>
        </is>
      </c>
      <c r="B2888" s="7" t="inlineStr">
        <is>
          <t>South Africa</t>
        </is>
      </c>
      <c r="C2888" s="7" t="inlineStr">
        <is>
          <t>Sub-Saharan Africa</t>
        </is>
      </c>
      <c r="D2888" s="7" t="inlineStr">
        <is>
          <t>Upper middle income</t>
        </is>
      </c>
      <c r="E2888" s="7" t="b">
        <v>1</v>
      </c>
      <c r="F2888" s="7" t="inlineStr">
        <is>
          <t>gen_oil_twh</t>
        </is>
      </c>
      <c r="G2888" s="7" t="n">
        <v>1.94</v>
      </c>
      <c r="H2888" s="7" t="n">
        <v>2024</v>
      </c>
      <c r="I2888" s="7" t="inlineStr">
        <is>
          <t>release_generation_yearly_global.csv (Ember)</t>
        </is>
      </c>
    </row>
    <row r="2889">
      <c r="A2889" s="7" t="inlineStr">
        <is>
          <t>ZAF</t>
        </is>
      </c>
      <c r="B2889" s="7" t="inlineStr">
        <is>
          <t>South Africa</t>
        </is>
      </c>
      <c r="C2889" s="7" t="inlineStr">
        <is>
          <t>Sub-Saharan Africa</t>
        </is>
      </c>
      <c r="D2889" s="7" t="inlineStr">
        <is>
          <t>Upper middle income</t>
        </is>
      </c>
      <c r="E2889" s="7" t="b">
        <v>1</v>
      </c>
      <c r="F2889" s="7" t="inlineStr">
        <is>
          <t>gen_total_twh</t>
        </is>
      </c>
      <c r="G2889" s="7" t="n">
        <v>247.52</v>
      </c>
      <c r="H2889" s="7" t="n">
        <v>2024</v>
      </c>
      <c r="I2889" s="7" t="inlineStr">
        <is>
          <t>release_generation_yearly_global.csv (Ember)</t>
        </is>
      </c>
    </row>
    <row r="2890">
      <c r="A2890" s="7" t="inlineStr">
        <is>
          <t>ZAF</t>
        </is>
      </c>
      <c r="B2890" s="7" t="inlineStr">
        <is>
          <t>South Africa</t>
        </is>
      </c>
      <c r="C2890" s="7" t="inlineStr">
        <is>
          <t>Sub-Saharan Africa</t>
        </is>
      </c>
      <c r="D2890" s="7" t="inlineStr">
        <is>
          <t>Upper middle income</t>
        </is>
      </c>
      <c r="E2890" s="7" t="b">
        <v>1</v>
      </c>
      <c r="F2890" s="7" t="inlineStr">
        <is>
          <t>power_market_structure</t>
        </is>
      </c>
      <c r="G2890" s="7" t="n">
        <v>2</v>
      </c>
      <c r="H2890" s="7" t="inlineStr">
        <is>
          <t>2013</t>
        </is>
      </c>
      <c r="I2890" s="7" t="inlineStr">
        <is>
          <t>dataverse_files.zip</t>
        </is>
      </c>
    </row>
    <row r="2891">
      <c r="A2891" s="7" t="inlineStr">
        <is>
          <t>ZAF</t>
        </is>
      </c>
      <c r="B2891" s="7" t="inlineStr">
        <is>
          <t>South Africa</t>
        </is>
      </c>
      <c r="C2891" s="7" t="inlineStr">
        <is>
          <t>Sub-Saharan Africa</t>
        </is>
      </c>
      <c r="D2891" s="7" t="inlineStr">
        <is>
          <t>Upper middle income</t>
        </is>
      </c>
      <c r="E2891" s="7" t="b">
        <v>1</v>
      </c>
      <c r="F2891" s="7" t="inlineStr">
        <is>
          <t>price_coal_power_usd_gj</t>
        </is>
      </c>
      <c r="G2891" s="7" t="n">
        <v>2.986</v>
      </c>
      <c r="H2891" s="7" t="inlineStr">
        <is>
          <t>2024</t>
        </is>
      </c>
      <c r="I2891" s="7" t="inlineStr">
        <is>
          <t>imffossilfuelsubsidiesdata.xlsb</t>
        </is>
      </c>
    </row>
    <row r="2892">
      <c r="A2892" s="7" t="inlineStr">
        <is>
          <t>ZAF</t>
        </is>
      </c>
      <c r="B2892" s="7" t="inlineStr">
        <is>
          <t>South Africa</t>
        </is>
      </c>
      <c r="C2892" s="7" t="inlineStr">
        <is>
          <t>Sub-Saharan Africa</t>
        </is>
      </c>
      <c r="D2892" s="7" t="inlineStr">
        <is>
          <t>Upper middle income</t>
        </is>
      </c>
      <c r="E2892" s="7" t="b">
        <v>1</v>
      </c>
      <c r="F2892" s="7" t="inlineStr">
        <is>
          <t>price_electricity_residential_usd_kwh</t>
        </is>
      </c>
      <c r="G2892" s="7" t="n">
        <v>0.169</v>
      </c>
      <c r="H2892" s="7" t="inlineStr">
        <is>
          <t>2024</t>
        </is>
      </c>
      <c r="I2892" s="7" t="inlineStr">
        <is>
          <t>imffossilfuelsubsidiesdata.xlsb</t>
        </is>
      </c>
    </row>
    <row r="2893">
      <c r="A2893" s="7" t="inlineStr">
        <is>
          <t>ZAF</t>
        </is>
      </c>
      <c r="B2893" s="7" t="inlineStr">
        <is>
          <t>South Africa</t>
        </is>
      </c>
      <c r="C2893" s="7" t="inlineStr">
        <is>
          <t>Sub-Saharan Africa</t>
        </is>
      </c>
      <c r="D2893" s="7" t="inlineStr">
        <is>
          <t>Upper middle income</t>
        </is>
      </c>
      <c r="E2893" s="7" t="b">
        <v>1</v>
      </c>
      <c r="F2893" s="7" t="inlineStr">
        <is>
          <t>price_gas_industry_usd_gj</t>
        </is>
      </c>
      <c r="G2893" s="7" t="n">
        <v>8.124000000000001</v>
      </c>
      <c r="H2893" s="7" t="inlineStr">
        <is>
          <t>2024</t>
        </is>
      </c>
      <c r="I2893" s="7" t="inlineStr">
        <is>
          <t>imffossilfuelsubsidiesdata.xlsb</t>
        </is>
      </c>
    </row>
    <row r="2894">
      <c r="A2894" s="7" t="inlineStr">
        <is>
          <t>ZAF</t>
        </is>
      </c>
      <c r="B2894" s="7" t="inlineStr">
        <is>
          <t>South Africa</t>
        </is>
      </c>
      <c r="C2894" s="7" t="inlineStr">
        <is>
          <t>Sub-Saharan Africa</t>
        </is>
      </c>
      <c r="D2894" s="7" t="inlineStr">
        <is>
          <t>Upper middle income</t>
        </is>
      </c>
      <c r="E2894" s="7" t="b">
        <v>1</v>
      </c>
      <c r="F2894" s="7" t="inlineStr">
        <is>
          <t>price_gas_power_usd_gj</t>
        </is>
      </c>
      <c r="G2894" s="7" t="n">
        <v>6.802</v>
      </c>
      <c r="H2894" s="7" t="inlineStr">
        <is>
          <t>2024</t>
        </is>
      </c>
      <c r="I2894" s="7" t="inlineStr">
        <is>
          <t>imffossilfuelsubsidiesdata.xlsb</t>
        </is>
      </c>
    </row>
    <row r="2895">
      <c r="A2895" s="7" t="inlineStr">
        <is>
          <t>ZAF</t>
        </is>
      </c>
      <c r="B2895" s="7" t="inlineStr">
        <is>
          <t>South Africa</t>
        </is>
      </c>
      <c r="C2895" s="7" t="inlineStr">
        <is>
          <t>Sub-Saharan Africa</t>
        </is>
      </c>
      <c r="D2895" s="7" t="inlineStr">
        <is>
          <t>Upper middle income</t>
        </is>
      </c>
      <c r="E2895" s="7" t="b">
        <v>1</v>
      </c>
      <c r="F2895" s="7" t="inlineStr">
        <is>
          <t>rise_renewable_energy_score</t>
        </is>
      </c>
      <c r="G2895" s="7" t="n">
        <v>54.019</v>
      </c>
      <c r="H2895" s="7" t="inlineStr">
        <is>
          <t>2023</t>
        </is>
      </c>
      <c r="I2895" s="7" t="inlineStr">
        <is>
          <t>WB_RISE_WIDEF.csv</t>
        </is>
      </c>
    </row>
    <row r="2896">
      <c r="A2896" s="7" t="inlineStr">
        <is>
          <t>ZMB</t>
        </is>
      </c>
      <c r="B2896" s="7" t="inlineStr">
        <is>
          <t>Zambia</t>
        </is>
      </c>
      <c r="C2896" s="7" t="inlineStr">
        <is>
          <t>Sub-Saharan Africa</t>
        </is>
      </c>
      <c r="D2896" s="7" t="inlineStr">
        <is>
          <t>Lower middle income</t>
        </is>
      </c>
      <c r="E2896" s="7" t="b">
        <v>1</v>
      </c>
      <c r="F2896" s="7" t="inlineStr">
        <is>
          <t>coal_rents_pct_gdp</t>
        </is>
      </c>
      <c r="G2896" s="7" t="n">
        <v>0.231</v>
      </c>
      <c r="H2896" s="7" t="inlineStr">
        <is>
          <t>2021</t>
        </is>
      </c>
      <c r="I2896" s="7" t="inlineStr">
        <is>
          <t>API_NY_GDP_COAL_RT_ZS_DS2_en_csv_v2_35370.zip</t>
        </is>
      </c>
    </row>
    <row r="2897">
      <c r="A2897" s="7" t="inlineStr">
        <is>
          <t>ZMB</t>
        </is>
      </c>
      <c r="B2897" s="7" t="inlineStr">
        <is>
          <t>Zambia</t>
        </is>
      </c>
      <c r="C2897" s="7" t="inlineStr">
        <is>
          <t>Sub-Saharan Africa</t>
        </is>
      </c>
      <c r="D2897" s="7" t="inlineStr">
        <is>
          <t>Lower middle income</t>
        </is>
      </c>
      <c r="E2897" s="7" t="b">
        <v>1</v>
      </c>
      <c r="F2897" s="7" t="inlineStr">
        <is>
          <t>em_coal_mt</t>
        </is>
      </c>
      <c r="G2897" s="7" t="n">
        <v>1.827</v>
      </c>
      <c r="H2897" s="7" t="n">
        <v>2024</v>
      </c>
      <c r="I2897" s="7" t="inlineStr">
        <is>
          <t>release_generation_yearly_global.csv (Ember)</t>
        </is>
      </c>
    </row>
    <row r="2898">
      <c r="A2898" s="7" t="inlineStr">
        <is>
          <t>ZMB</t>
        </is>
      </c>
      <c r="B2898" s="7" t="inlineStr">
        <is>
          <t>Zambia</t>
        </is>
      </c>
      <c r="C2898" s="7" t="inlineStr">
        <is>
          <t>Sub-Saharan Africa</t>
        </is>
      </c>
      <c r="D2898" s="7" t="inlineStr">
        <is>
          <t>Lower middle income</t>
        </is>
      </c>
      <c r="E2898" s="7" t="b">
        <v>1</v>
      </c>
      <c r="F2898" s="7" t="inlineStr">
        <is>
          <t>em_gas_mt</t>
        </is>
      </c>
      <c r="G2898" s="7" t="n">
        <v>0</v>
      </c>
      <c r="H2898" s="7" t="n">
        <v>2024</v>
      </c>
      <c r="I2898" s="7" t="inlineStr">
        <is>
          <t>release_generation_yearly_global.csv (Ember)</t>
        </is>
      </c>
    </row>
    <row r="2899">
      <c r="A2899" s="7" t="inlineStr">
        <is>
          <t>ZMB</t>
        </is>
      </c>
      <c r="B2899" s="7" t="inlineStr">
        <is>
          <t>Zambia</t>
        </is>
      </c>
      <c r="C2899" s="7" t="inlineStr">
        <is>
          <t>Sub-Saharan Africa</t>
        </is>
      </c>
      <c r="D2899" s="7" t="inlineStr">
        <is>
          <t>Lower middle income</t>
        </is>
      </c>
      <c r="E2899" s="7" t="b">
        <v>1</v>
      </c>
      <c r="F2899" s="7" t="inlineStr">
        <is>
          <t>em_oil_mt</t>
        </is>
      </c>
      <c r="G2899" s="7" t="n">
        <v>0.224</v>
      </c>
      <c r="H2899" s="7" t="n">
        <v>2024</v>
      </c>
      <c r="I2899" s="7" t="inlineStr">
        <is>
          <t>release_generation_yearly_global.csv (Ember)</t>
        </is>
      </c>
    </row>
    <row r="2900">
      <c r="A2900" s="7" t="inlineStr">
        <is>
          <t>ZMB</t>
        </is>
      </c>
      <c r="B2900" s="7" t="inlineStr">
        <is>
          <t>Zambia</t>
        </is>
      </c>
      <c r="C2900" s="7" t="inlineStr">
        <is>
          <t>Sub-Saharan Africa</t>
        </is>
      </c>
      <c r="D2900" s="7" t="inlineStr">
        <is>
          <t>Lower middle income</t>
        </is>
      </c>
      <c r="E2900" s="7" t="b">
        <v>1</v>
      </c>
      <c r="F2900" s="7" t="inlineStr">
        <is>
          <t>ff_subsidy_explicit_pct_gdp</t>
        </is>
      </c>
      <c r="G2900" s="7" t="n">
        <v>0.344</v>
      </c>
      <c r="H2900" s="7" t="inlineStr">
        <is>
          <t>2024</t>
        </is>
      </c>
      <c r="I2900" s="7" t="inlineStr">
        <is>
          <t>imffossilfuelsubsidiesdata.xlsb</t>
        </is>
      </c>
    </row>
    <row r="2901">
      <c r="A2901" s="7" t="inlineStr">
        <is>
          <t>ZMB</t>
        </is>
      </c>
      <c r="B2901" s="7" t="inlineStr">
        <is>
          <t>Zambia</t>
        </is>
      </c>
      <c r="C2901" s="7" t="inlineStr">
        <is>
          <t>Sub-Saharan Africa</t>
        </is>
      </c>
      <c r="D2901" s="7" t="inlineStr">
        <is>
          <t>Lower middle income</t>
        </is>
      </c>
      <c r="E2901" s="7" t="b">
        <v>1</v>
      </c>
      <c r="F2901" s="7" t="inlineStr">
        <is>
          <t>fuel_exports_pct_merch</t>
        </is>
      </c>
      <c r="G2901" s="7" t="n">
        <v>2.721</v>
      </c>
      <c r="H2901" s="7" t="inlineStr">
        <is>
          <t>2024</t>
        </is>
      </c>
      <c r="I2901" s="7" t="inlineStr">
        <is>
          <t>API_TX_VAL_FUEL_ZS_UN_DS2_en_csv_v2_33055.zip</t>
        </is>
      </c>
    </row>
    <row r="2902">
      <c r="A2902" s="7" t="inlineStr">
        <is>
          <t>ZMB</t>
        </is>
      </c>
      <c r="B2902" s="7" t="inlineStr">
        <is>
          <t>Zambia</t>
        </is>
      </c>
      <c r="C2902" s="7" t="inlineStr">
        <is>
          <t>Sub-Saharan Africa</t>
        </is>
      </c>
      <c r="D2902" s="7" t="inlineStr">
        <is>
          <t>Lower middle income</t>
        </is>
      </c>
      <c r="E2902" s="7" t="b">
        <v>1</v>
      </c>
      <c r="F2902" s="7" t="inlineStr">
        <is>
          <t>gen_coal_twh</t>
        </is>
      </c>
      <c r="G2902" s="7" t="n">
        <v>2.13</v>
      </c>
      <c r="H2902" s="7" t="n">
        <v>2024</v>
      </c>
      <c r="I2902" s="7" t="inlineStr">
        <is>
          <t>release_generation_yearly_global.csv (Ember)</t>
        </is>
      </c>
    </row>
    <row r="2903">
      <c r="A2903" s="7" t="inlineStr">
        <is>
          <t>ZMB</t>
        </is>
      </c>
      <c r="B2903" s="7" t="inlineStr">
        <is>
          <t>Zambia</t>
        </is>
      </c>
      <c r="C2903" s="7" t="inlineStr">
        <is>
          <t>Sub-Saharan Africa</t>
        </is>
      </c>
      <c r="D2903" s="7" t="inlineStr">
        <is>
          <t>Lower middle income</t>
        </is>
      </c>
      <c r="E2903" s="7" t="b">
        <v>1</v>
      </c>
      <c r="F2903" s="7" t="inlineStr">
        <is>
          <t>gen_gas_twh</t>
        </is>
      </c>
      <c r="G2903" s="7" t="n">
        <v>0</v>
      </c>
      <c r="H2903" s="7" t="n">
        <v>2024</v>
      </c>
      <c r="I2903" s="7" t="inlineStr">
        <is>
          <t>release_generation_yearly_global.csv (Ember)</t>
        </is>
      </c>
    </row>
    <row r="2904">
      <c r="A2904" s="7" t="inlineStr">
        <is>
          <t>ZMB</t>
        </is>
      </c>
      <c r="B2904" s="7" t="inlineStr">
        <is>
          <t>Zambia</t>
        </is>
      </c>
      <c r="C2904" s="7" t="inlineStr">
        <is>
          <t>Sub-Saharan Africa</t>
        </is>
      </c>
      <c r="D2904" s="7" t="inlineStr">
        <is>
          <t>Lower middle income</t>
        </is>
      </c>
      <c r="E2904" s="7" t="b">
        <v>1</v>
      </c>
      <c r="F2904" s="7" t="inlineStr">
        <is>
          <t>gen_oil_twh</t>
        </is>
      </c>
      <c r="G2904" s="7" t="n">
        <v>0.34</v>
      </c>
      <c r="H2904" s="7" t="n">
        <v>2024</v>
      </c>
      <c r="I2904" s="7" t="inlineStr">
        <is>
          <t>release_generation_yearly_global.csv (Ember)</t>
        </is>
      </c>
    </row>
    <row r="2905">
      <c r="A2905" s="7" t="inlineStr">
        <is>
          <t>ZMB</t>
        </is>
      </c>
      <c r="B2905" s="7" t="inlineStr">
        <is>
          <t>Zambia</t>
        </is>
      </c>
      <c r="C2905" s="7" t="inlineStr">
        <is>
          <t>Sub-Saharan Africa</t>
        </is>
      </c>
      <c r="D2905" s="7" t="inlineStr">
        <is>
          <t>Lower middle income</t>
        </is>
      </c>
      <c r="E2905" s="7" t="b">
        <v>1</v>
      </c>
      <c r="F2905" s="7" t="inlineStr">
        <is>
          <t>gen_total_twh</t>
        </is>
      </c>
      <c r="G2905" s="7" t="n">
        <v>19.72</v>
      </c>
      <c r="H2905" s="7" t="n">
        <v>2024</v>
      </c>
      <c r="I2905" s="7" t="inlineStr">
        <is>
          <t>release_generation_yearly_global.csv (Ember)</t>
        </is>
      </c>
    </row>
    <row r="2906">
      <c r="A2906" s="7" t="inlineStr">
        <is>
          <t>ZMB</t>
        </is>
      </c>
      <c r="B2906" s="7" t="inlineStr">
        <is>
          <t>Zambia</t>
        </is>
      </c>
      <c r="C2906" s="7" t="inlineStr">
        <is>
          <t>Sub-Saharan Africa</t>
        </is>
      </c>
      <c r="D2906" s="7" t="inlineStr">
        <is>
          <t>Lower middle income</t>
        </is>
      </c>
      <c r="E2906" s="7" t="b">
        <v>1</v>
      </c>
      <c r="F2906" s="7" t="inlineStr">
        <is>
          <t>power_market_structure</t>
        </is>
      </c>
      <c r="G2906" s="7" t="n">
        <v>2</v>
      </c>
      <c r="H2906" s="7" t="inlineStr">
        <is>
          <t>2013</t>
        </is>
      </c>
      <c r="I2906" s="7" t="inlineStr">
        <is>
          <t>dataverse_files.zip</t>
        </is>
      </c>
    </row>
    <row r="2907">
      <c r="A2907" s="7" t="inlineStr">
        <is>
          <t>ZMB</t>
        </is>
      </c>
      <c r="B2907" s="7" t="inlineStr">
        <is>
          <t>Zambia</t>
        </is>
      </c>
      <c r="C2907" s="7" t="inlineStr">
        <is>
          <t>Sub-Saharan Africa</t>
        </is>
      </c>
      <c r="D2907" s="7" t="inlineStr">
        <is>
          <t>Lower middle income</t>
        </is>
      </c>
      <c r="E2907" s="7" t="b">
        <v>1</v>
      </c>
      <c r="F2907" s="7" t="inlineStr">
        <is>
          <t>price_coal_power_usd_gj</t>
        </is>
      </c>
      <c r="G2907" s="7" t="n">
        <v>2.618</v>
      </c>
      <c r="H2907" s="7" t="inlineStr">
        <is>
          <t>2024</t>
        </is>
      </c>
      <c r="I2907" s="7" t="inlineStr">
        <is>
          <t>imffossilfuelsubsidiesdata.xlsb</t>
        </is>
      </c>
    </row>
    <row r="2908">
      <c r="A2908" s="7" t="inlineStr">
        <is>
          <t>ZMB</t>
        </is>
      </c>
      <c r="B2908" s="7" t="inlineStr">
        <is>
          <t>Zambia</t>
        </is>
      </c>
      <c r="C2908" s="7" t="inlineStr">
        <is>
          <t>Sub-Saharan Africa</t>
        </is>
      </c>
      <c r="D2908" s="7" t="inlineStr">
        <is>
          <t>Lower middle income</t>
        </is>
      </c>
      <c r="E2908" s="7" t="b">
        <v>1</v>
      </c>
      <c r="F2908" s="7" t="inlineStr">
        <is>
          <t>price_electricity_residential_usd_kwh</t>
        </is>
      </c>
      <c r="G2908" s="7" t="n">
        <v>0.049</v>
      </c>
      <c r="H2908" s="7" t="inlineStr">
        <is>
          <t>2024</t>
        </is>
      </c>
      <c r="I2908" s="7" t="inlineStr">
        <is>
          <t>imffossilfuelsubsidiesdata.xlsb</t>
        </is>
      </c>
    </row>
    <row r="2909">
      <c r="A2909" s="7" t="inlineStr">
        <is>
          <t>ZMB</t>
        </is>
      </c>
      <c r="B2909" s="7" t="inlineStr">
        <is>
          <t>Zambia</t>
        </is>
      </c>
      <c r="C2909" s="7" t="inlineStr">
        <is>
          <t>Sub-Saharan Africa</t>
        </is>
      </c>
      <c r="D2909" s="7" t="inlineStr">
        <is>
          <t>Lower middle income</t>
        </is>
      </c>
      <c r="E2909" s="7" t="b">
        <v>1</v>
      </c>
      <c r="F2909" s="7" t="inlineStr">
        <is>
          <t>price_gas_industry_usd_gj</t>
        </is>
      </c>
      <c r="G2909" s="7" t="n">
        <v>10.611</v>
      </c>
      <c r="H2909" s="7" t="inlineStr">
        <is>
          <t>2024</t>
        </is>
      </c>
      <c r="I2909" s="7" t="inlineStr">
        <is>
          <t>imffossilfuelsubsidiesdata.xlsb</t>
        </is>
      </c>
    </row>
    <row r="2910">
      <c r="A2910" s="7" t="inlineStr">
        <is>
          <t>ZMB</t>
        </is>
      </c>
      <c r="B2910" s="7" t="inlineStr">
        <is>
          <t>Zambia</t>
        </is>
      </c>
      <c r="C2910" s="7" t="inlineStr">
        <is>
          <t>Sub-Saharan Africa</t>
        </is>
      </c>
      <c r="D2910" s="7" t="inlineStr">
        <is>
          <t>Lower middle income</t>
        </is>
      </c>
      <c r="E2910" s="7" t="b">
        <v>1</v>
      </c>
      <c r="F2910" s="7" t="inlineStr">
        <is>
          <t>price_gas_power_usd_gj</t>
        </is>
      </c>
      <c r="G2910" s="7" t="n">
        <v>9.287000000000001</v>
      </c>
      <c r="H2910" s="7" t="inlineStr">
        <is>
          <t>2024</t>
        </is>
      </c>
      <c r="I2910" s="7" t="inlineStr">
        <is>
          <t>imffossilfuelsubsidiesdata.xlsb</t>
        </is>
      </c>
    </row>
    <row r="2911">
      <c r="A2911" s="7" t="inlineStr">
        <is>
          <t>ZMB</t>
        </is>
      </c>
      <c r="B2911" s="7" t="inlineStr">
        <is>
          <t>Zambia</t>
        </is>
      </c>
      <c r="C2911" s="7" t="inlineStr">
        <is>
          <t>Sub-Saharan Africa</t>
        </is>
      </c>
      <c r="D2911" s="7" t="inlineStr">
        <is>
          <t>Lower middle income</t>
        </is>
      </c>
      <c r="E2911" s="7" t="b">
        <v>1</v>
      </c>
      <c r="F2911" s="7" t="inlineStr">
        <is>
          <t>rise_renewable_energy_score</t>
        </is>
      </c>
      <c r="G2911" s="7" t="n">
        <v>22.384</v>
      </c>
      <c r="H2911" s="7" t="inlineStr">
        <is>
          <t>2023</t>
        </is>
      </c>
      <c r="I2911" s="7" t="inlineStr">
        <is>
          <t>WB_RISE_WIDEF.csv</t>
        </is>
      </c>
    </row>
    <row r="2912">
      <c r="A2912" s="7" t="inlineStr">
        <is>
          <t>ZWE</t>
        </is>
      </c>
      <c r="B2912" s="7" t="inlineStr">
        <is>
          <t>Zimbabwe</t>
        </is>
      </c>
      <c r="C2912" s="7" t="inlineStr">
        <is>
          <t>Sub-Saharan Africa</t>
        </is>
      </c>
      <c r="D2912" s="7" t="inlineStr">
        <is>
          <t>Lower middle income</t>
        </is>
      </c>
      <c r="E2912" s="7" t="b">
        <v>1</v>
      </c>
      <c r="F2912" s="7" t="inlineStr">
        <is>
          <t>coal_rents_pct_gdp</t>
        </is>
      </c>
      <c r="G2912" s="7" t="n">
        <v>0.29</v>
      </c>
      <c r="H2912" s="7" t="inlineStr">
        <is>
          <t>2021</t>
        </is>
      </c>
      <c r="I2912" s="7" t="inlineStr">
        <is>
          <t>API_NY_GDP_COAL_RT_ZS_DS2_en_csv_v2_35370.zip</t>
        </is>
      </c>
    </row>
    <row r="2913">
      <c r="A2913" s="7" t="inlineStr">
        <is>
          <t>ZWE</t>
        </is>
      </c>
      <c r="B2913" s="7" t="inlineStr">
        <is>
          <t>Zimbabwe</t>
        </is>
      </c>
      <c r="C2913" s="7" t="inlineStr">
        <is>
          <t>Sub-Saharan Africa</t>
        </is>
      </c>
      <c r="D2913" s="7" t="inlineStr">
        <is>
          <t>Lower middle income</t>
        </is>
      </c>
      <c r="E2913" s="7" t="b">
        <v>1</v>
      </c>
      <c r="F2913" s="7" t="inlineStr">
        <is>
          <t>em_coal_mt</t>
        </is>
      </c>
      <c r="G2913" s="7" t="n">
        <v>3.774</v>
      </c>
      <c r="H2913" s="7" t="n">
        <v>2024</v>
      </c>
      <c r="I2913" s="7" t="inlineStr">
        <is>
          <t>release_generation_yearly_global.csv (Ember)</t>
        </is>
      </c>
    </row>
    <row r="2914">
      <c r="A2914" s="7" t="inlineStr">
        <is>
          <t>ZWE</t>
        </is>
      </c>
      <c r="B2914" s="7" t="inlineStr">
        <is>
          <t>Zimbabwe</t>
        </is>
      </c>
      <c r="C2914" s="7" t="inlineStr">
        <is>
          <t>Sub-Saharan Africa</t>
        </is>
      </c>
      <c r="D2914" s="7" t="inlineStr">
        <is>
          <t>Lower middle income</t>
        </is>
      </c>
      <c r="E2914" s="7" t="b">
        <v>1</v>
      </c>
      <c r="F2914" s="7" t="inlineStr">
        <is>
          <t>em_gas_mt</t>
        </is>
      </c>
      <c r="G2914" s="7" t="n">
        <v>0</v>
      </c>
      <c r="H2914" s="7" t="n">
        <v>2024</v>
      </c>
      <c r="I2914" s="7" t="inlineStr">
        <is>
          <t>release_generation_yearly_global.csv (Ember)</t>
        </is>
      </c>
    </row>
    <row r="2915">
      <c r="A2915" s="7" t="inlineStr">
        <is>
          <t>ZWE</t>
        </is>
      </c>
      <c r="B2915" s="7" t="inlineStr">
        <is>
          <t>Zimbabwe</t>
        </is>
      </c>
      <c r="C2915" s="7" t="inlineStr">
        <is>
          <t>Sub-Saharan Africa</t>
        </is>
      </c>
      <c r="D2915" s="7" t="inlineStr">
        <is>
          <t>Lower middle income</t>
        </is>
      </c>
      <c r="E2915" s="7" t="b">
        <v>1</v>
      </c>
      <c r="F2915" s="7" t="inlineStr">
        <is>
          <t>em_oil_mt</t>
        </is>
      </c>
      <c r="G2915" s="7" t="n">
        <v>0</v>
      </c>
      <c r="H2915" s="7" t="n">
        <v>2024</v>
      </c>
      <c r="I2915" s="7" t="inlineStr">
        <is>
          <t>release_generation_yearly_global.csv (Ember)</t>
        </is>
      </c>
    </row>
    <row r="2916">
      <c r="A2916" s="7" t="inlineStr">
        <is>
          <t>ZWE</t>
        </is>
      </c>
      <c r="B2916" s="7" t="inlineStr">
        <is>
          <t>Zimbabwe</t>
        </is>
      </c>
      <c r="C2916" s="7" t="inlineStr">
        <is>
          <t>Sub-Saharan Africa</t>
        </is>
      </c>
      <c r="D2916" s="7" t="inlineStr">
        <is>
          <t>Lower middle income</t>
        </is>
      </c>
      <c r="E2916" s="7" t="b">
        <v>1</v>
      </c>
      <c r="F2916" s="7" t="inlineStr">
        <is>
          <t>ff_subsidy_explicit_pct_gdp</t>
        </is>
      </c>
      <c r="G2916" s="7" t="n">
        <v>1.08</v>
      </c>
      <c r="H2916" s="7" t="inlineStr">
        <is>
          <t>2024</t>
        </is>
      </c>
      <c r="I2916" s="7" t="inlineStr">
        <is>
          <t>imffossilfuelsubsidiesdata.xlsb</t>
        </is>
      </c>
    </row>
    <row r="2917">
      <c r="A2917" s="7" t="inlineStr">
        <is>
          <t>ZWE</t>
        </is>
      </c>
      <c r="B2917" s="7" t="inlineStr">
        <is>
          <t>Zimbabwe</t>
        </is>
      </c>
      <c r="C2917" s="7" t="inlineStr">
        <is>
          <t>Sub-Saharan Africa</t>
        </is>
      </c>
      <c r="D2917" s="7" t="inlineStr">
        <is>
          <t>Lower middle income</t>
        </is>
      </c>
      <c r="E2917" s="7" t="b">
        <v>1</v>
      </c>
      <c r="F2917" s="7" t="inlineStr">
        <is>
          <t>fuel_exports_pct_merch</t>
        </is>
      </c>
      <c r="G2917" s="7" t="n">
        <v>2.911</v>
      </c>
      <c r="H2917" s="7" t="inlineStr">
        <is>
          <t>2024</t>
        </is>
      </c>
      <c r="I2917" s="7" t="inlineStr">
        <is>
          <t>API_TX_VAL_FUEL_ZS_UN_DS2_en_csv_v2_33055.zip</t>
        </is>
      </c>
    </row>
    <row r="2918">
      <c r="A2918" s="7" t="inlineStr">
        <is>
          <t>ZWE</t>
        </is>
      </c>
      <c r="B2918" s="7" t="inlineStr">
        <is>
          <t>Zimbabwe</t>
        </is>
      </c>
      <c r="C2918" s="7" t="inlineStr">
        <is>
          <t>Sub-Saharan Africa</t>
        </is>
      </c>
      <c r="D2918" s="7" t="inlineStr">
        <is>
          <t>Lower middle income</t>
        </is>
      </c>
      <c r="E2918" s="7" t="b">
        <v>1</v>
      </c>
      <c r="F2918" s="7" t="inlineStr">
        <is>
          <t>gen_coal_twh</t>
        </is>
      </c>
      <c r="G2918" s="7" t="n">
        <v>4.4</v>
      </c>
      <c r="H2918" s="7" t="n">
        <v>2024</v>
      </c>
      <c r="I2918" s="7" t="inlineStr">
        <is>
          <t>release_generation_yearly_global.csv (Ember)</t>
        </is>
      </c>
    </row>
    <row r="2919">
      <c r="A2919" s="7" t="inlineStr">
        <is>
          <t>ZWE</t>
        </is>
      </c>
      <c r="B2919" s="7" t="inlineStr">
        <is>
          <t>Zimbabwe</t>
        </is>
      </c>
      <c r="C2919" s="7" t="inlineStr">
        <is>
          <t>Sub-Saharan Africa</t>
        </is>
      </c>
      <c r="D2919" s="7" t="inlineStr">
        <is>
          <t>Lower middle income</t>
        </is>
      </c>
      <c r="E2919" s="7" t="b">
        <v>1</v>
      </c>
      <c r="F2919" s="7" t="inlineStr">
        <is>
          <t>gen_gas_twh</t>
        </is>
      </c>
      <c r="G2919" s="7" t="n">
        <v>0</v>
      </c>
      <c r="H2919" s="7" t="n">
        <v>2024</v>
      </c>
      <c r="I2919" s="7" t="inlineStr">
        <is>
          <t>release_generation_yearly_global.csv (Ember)</t>
        </is>
      </c>
    </row>
    <row r="2920">
      <c r="A2920" s="7" t="inlineStr">
        <is>
          <t>ZWE</t>
        </is>
      </c>
      <c r="B2920" s="7" t="inlineStr">
        <is>
          <t>Zimbabwe</t>
        </is>
      </c>
      <c r="C2920" s="7" t="inlineStr">
        <is>
          <t>Sub-Saharan Africa</t>
        </is>
      </c>
      <c r="D2920" s="7" t="inlineStr">
        <is>
          <t>Lower middle income</t>
        </is>
      </c>
      <c r="E2920" s="7" t="b">
        <v>1</v>
      </c>
      <c r="F2920" s="7" t="inlineStr">
        <is>
          <t>gen_oil_twh</t>
        </is>
      </c>
      <c r="G2920" s="7" t="n">
        <v>0</v>
      </c>
      <c r="H2920" s="7" t="n">
        <v>2024</v>
      </c>
      <c r="I2920" s="7" t="inlineStr">
        <is>
          <t>release_generation_yearly_global.csv (Ember)</t>
        </is>
      </c>
    </row>
    <row r="2921">
      <c r="A2921" s="7" t="inlineStr">
        <is>
          <t>ZWE</t>
        </is>
      </c>
      <c r="B2921" s="7" t="inlineStr">
        <is>
          <t>Zimbabwe</t>
        </is>
      </c>
      <c r="C2921" s="7" t="inlineStr">
        <is>
          <t>Sub-Saharan Africa</t>
        </is>
      </c>
      <c r="D2921" s="7" t="inlineStr">
        <is>
          <t>Lower middle income</t>
        </is>
      </c>
      <c r="E2921" s="7" t="b">
        <v>1</v>
      </c>
      <c r="F2921" s="7" t="inlineStr">
        <is>
          <t>gen_total_twh</t>
        </is>
      </c>
      <c r="G2921" s="7" t="n">
        <v>10.26</v>
      </c>
      <c r="H2921" s="7" t="n">
        <v>2024</v>
      </c>
      <c r="I2921" s="7" t="inlineStr">
        <is>
          <t>release_generation_yearly_global.csv (Ember)</t>
        </is>
      </c>
    </row>
    <row r="2922">
      <c r="A2922" s="7" t="inlineStr">
        <is>
          <t>ZWE</t>
        </is>
      </c>
      <c r="B2922" s="7" t="inlineStr">
        <is>
          <t>Zimbabwe</t>
        </is>
      </c>
      <c r="C2922" s="7" t="inlineStr">
        <is>
          <t>Sub-Saharan Africa</t>
        </is>
      </c>
      <c r="D2922" s="7" t="inlineStr">
        <is>
          <t>Lower middle income</t>
        </is>
      </c>
      <c r="E2922" s="7" t="b">
        <v>1</v>
      </c>
      <c r="F2922" s="7" t="inlineStr">
        <is>
          <t>power_market_structure</t>
        </is>
      </c>
      <c r="G2922" s="7" t="n">
        <v>2</v>
      </c>
      <c r="H2922" s="7" t="inlineStr">
        <is>
          <t>2013</t>
        </is>
      </c>
      <c r="I2922" s="7" t="inlineStr">
        <is>
          <t>dataverse_files.zip</t>
        </is>
      </c>
    </row>
    <row r="2923">
      <c r="A2923" s="7" t="inlineStr">
        <is>
          <t>ZWE</t>
        </is>
      </c>
      <c r="B2923" s="7" t="inlineStr">
        <is>
          <t>Zimbabwe</t>
        </is>
      </c>
      <c r="C2923" s="7" t="inlineStr">
        <is>
          <t>Sub-Saharan Africa</t>
        </is>
      </c>
      <c r="D2923" s="7" t="inlineStr">
        <is>
          <t>Lower middle income</t>
        </is>
      </c>
      <c r="E2923" s="7" t="b">
        <v>1</v>
      </c>
      <c r="F2923" s="7" t="inlineStr">
        <is>
          <t>price_coal_power_usd_gj</t>
        </is>
      </c>
      <c r="G2923" s="7" t="n">
        <v>2.051</v>
      </c>
      <c r="H2923" s="7" t="inlineStr">
        <is>
          <t>2024</t>
        </is>
      </c>
      <c r="I2923" s="7" t="inlineStr">
        <is>
          <t>imffossilfuelsubsidiesdata.xlsb</t>
        </is>
      </c>
    </row>
    <row r="2924">
      <c r="A2924" s="7" t="inlineStr">
        <is>
          <t>ZWE</t>
        </is>
      </c>
      <c r="B2924" s="7" t="inlineStr">
        <is>
          <t>Zimbabwe</t>
        </is>
      </c>
      <c r="C2924" s="7" t="inlineStr">
        <is>
          <t>Sub-Saharan Africa</t>
        </is>
      </c>
      <c r="D2924" s="7" t="inlineStr">
        <is>
          <t>Lower middle income</t>
        </is>
      </c>
      <c r="E2924" s="7" t="b">
        <v>1</v>
      </c>
      <c r="F2924" s="7" t="inlineStr">
        <is>
          <t>price_electricity_residential_usd_kwh</t>
        </is>
      </c>
      <c r="G2924" s="7" t="n">
        <v>0.078</v>
      </c>
      <c r="H2924" s="7" t="inlineStr">
        <is>
          <t>2024</t>
        </is>
      </c>
      <c r="I2924" s="7" t="inlineStr">
        <is>
          <t>imffossilfuelsubsidiesdata.xlsb</t>
        </is>
      </c>
    </row>
    <row r="2925">
      <c r="A2925" s="7" t="inlineStr">
        <is>
          <t>ZWE</t>
        </is>
      </c>
      <c r="B2925" s="7" t="inlineStr">
        <is>
          <t>Zimbabwe</t>
        </is>
      </c>
      <c r="C2925" s="7" t="inlineStr">
        <is>
          <t>Sub-Saharan Africa</t>
        </is>
      </c>
      <c r="D2925" s="7" t="inlineStr">
        <is>
          <t>Lower middle income</t>
        </is>
      </c>
      <c r="E2925" s="7" t="b">
        <v>1</v>
      </c>
      <c r="F2925" s="7" t="inlineStr">
        <is>
          <t>price_gas_industry_usd_gj</t>
        </is>
      </c>
      <c r="G2925" s="7" t="n">
        <v>12.782</v>
      </c>
      <c r="H2925" s="7" t="inlineStr">
        <is>
          <t>2024</t>
        </is>
      </c>
      <c r="I2925" s="7" t="inlineStr">
        <is>
          <t>imffossilfuelsubsidiesdata.xlsb</t>
        </is>
      </c>
    </row>
    <row r="2926">
      <c r="A2926" s="7" t="inlineStr">
        <is>
          <t>ZWE</t>
        </is>
      </c>
      <c r="B2926" s="7" t="inlineStr">
        <is>
          <t>Zimbabwe</t>
        </is>
      </c>
      <c r="C2926" s="7" t="inlineStr">
        <is>
          <t>Sub-Saharan Africa</t>
        </is>
      </c>
      <c r="D2926" s="7" t="inlineStr">
        <is>
          <t>Lower middle income</t>
        </is>
      </c>
      <c r="E2926" s="7" t="b">
        <v>1</v>
      </c>
      <c r="F2926" s="7" t="inlineStr">
        <is>
          <t>price_gas_power_usd_gj</t>
        </is>
      </c>
      <c r="G2926" s="7" t="n">
        <v>11.458</v>
      </c>
      <c r="H2926" s="7" t="inlineStr">
        <is>
          <t>2024</t>
        </is>
      </c>
      <c r="I2926" s="7" t="inlineStr">
        <is>
          <t>imffossilfuelsubsidiesdata.xlsb</t>
        </is>
      </c>
    </row>
    <row r="2927">
      <c r="A2927" s="7" t="inlineStr">
        <is>
          <t>ZWE</t>
        </is>
      </c>
      <c r="B2927" s="7" t="inlineStr">
        <is>
          <t>Zimbabwe</t>
        </is>
      </c>
      <c r="C2927" s="7" t="inlineStr">
        <is>
          <t>Sub-Saharan Africa</t>
        </is>
      </c>
      <c r="D2927" s="7" t="inlineStr">
        <is>
          <t>Lower middle income</t>
        </is>
      </c>
      <c r="E2927" s="7" t="b">
        <v>1</v>
      </c>
      <c r="F2927" s="7" t="inlineStr">
        <is>
          <t>rise_renewable_energy_score</t>
        </is>
      </c>
      <c r="G2927" s="7" t="n">
        <v>32.81</v>
      </c>
      <c r="H2927" s="7" t="inlineStr">
        <is>
          <t>2023</t>
        </is>
      </c>
      <c r="I2927" s="7" t="inlineStr">
        <is>
          <t>WB_RISE_WIDEF.csv</t>
        </is>
      </c>
    </row>
  </sheetData>
  <autoFilter ref="A1:I29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2026-10-20T14:48:58Z</dcterms:created>
  <dcterms:modified xmlns:dcterms="http://purl.org/dc/terms/" xmlns:xsi="http://www.w3.org/2001/XMLSchema-instance" xsi:type="dcterms:W3CDTF">2026-10-20T14:48:59Z</dcterms:modified>
</cp:coreProperties>
</file>